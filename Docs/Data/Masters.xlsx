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aikvinglobal-my.sharepoint.com/personal/aalok_shah_jaikvinglobal_com/Documents/Jaikvin Global/Jaikvin Process/"/>
    </mc:Choice>
  </mc:AlternateContent>
  <xr:revisionPtr revIDLastSave="27" documentId="8_{1987F709-AADF-466A-B57F-32A28F097488}" xr6:coauthVersionLast="47" xr6:coauthVersionMax="47" xr10:uidLastSave="{F7A419F2-2A7D-481E-AB30-EC4A7BE4CFE9}"/>
  <bookViews>
    <workbookView xWindow="-110" yWindow="-110" windowWidth="19420" windowHeight="10300" xr2:uid="{79540420-8B94-4788-83F2-DA3D08944D74}"/>
  </bookViews>
  <sheets>
    <sheet name="Sheet1" sheetId="1" r:id="rId1"/>
    <sheet name="Kiran" sheetId="5" r:id="rId2"/>
    <sheet name="Hansa-PP" sheetId="4" r:id="rId3"/>
    <sheet name="Hansa-GRN" sheetId="2" r:id="rId4"/>
    <sheet name="Oswin" sheetId="7" r:id="rId5"/>
    <sheet name="VP-PP" sheetId="6" r:id="rId6"/>
    <sheet name="VP-GRN" sheetId="3" r:id="rId7"/>
  </sheets>
  <definedNames>
    <definedName name="_xlnm._FilterDatabase" localSheetId="3" hidden="1">'Hansa-GRN'!$C$1:$G$38</definedName>
    <definedName name="_xlnm._FilterDatabase" localSheetId="2" hidden="1">'Hansa-PP'!$B$2:$H$11</definedName>
    <definedName name="_xlnm._FilterDatabase" localSheetId="1" hidden="1">Kiran!$B$2:$H$15</definedName>
    <definedName name="_xlnm._FilterDatabase" localSheetId="4" hidden="1">Oswin!$A$1:$A$140</definedName>
    <definedName name="_xlnm._FilterDatabase" localSheetId="6" hidden="1">'VP-GRN'!$V$2:$V$40</definedName>
    <definedName name="_xlnm._FilterDatabase" localSheetId="5" hidden="1">'VP-PP'!$B$2:$H$45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165" i="7" l="1"/>
  <c r="Y165" i="7"/>
  <c r="T165" i="7"/>
  <c r="M165" i="7"/>
  <c r="P165" i="7" s="1"/>
  <c r="AB164" i="7"/>
  <c r="Y164" i="7"/>
  <c r="T164" i="7"/>
  <c r="U164" i="7" s="1"/>
  <c r="V164" i="7" s="1"/>
  <c r="M164" i="7"/>
  <c r="P164" i="7" s="1"/>
  <c r="AB163" i="7"/>
  <c r="Y163" i="7"/>
  <c r="U163" i="7"/>
  <c r="V163" i="7" s="1"/>
  <c r="T163" i="7"/>
  <c r="P163" i="7"/>
  <c r="M163" i="7"/>
  <c r="AB162" i="7"/>
  <c r="Y162" i="7"/>
  <c r="T162" i="7"/>
  <c r="M162" i="7"/>
  <c r="P162" i="7" s="1"/>
  <c r="AB161" i="7"/>
  <c r="Y161" i="7"/>
  <c r="T161" i="7"/>
  <c r="M161" i="7"/>
  <c r="AB160" i="7"/>
  <c r="Y160" i="7"/>
  <c r="T160" i="7"/>
  <c r="M160" i="7"/>
  <c r="P160" i="7" s="1"/>
  <c r="N156" i="7"/>
  <c r="L156" i="7"/>
  <c r="AB155" i="7"/>
  <c r="AD155" i="7" s="1"/>
  <c r="T155" i="7"/>
  <c r="M155" i="7"/>
  <c r="P155" i="7" s="1"/>
  <c r="P156" i="7" s="1"/>
  <c r="L155" i="7"/>
  <c r="Y155" i="7" s="1"/>
  <c r="Y156" i="7" s="1"/>
  <c r="N150" i="7"/>
  <c r="T149" i="7"/>
  <c r="L149" i="7"/>
  <c r="T148" i="7"/>
  <c r="L148" i="7"/>
  <c r="T147" i="7"/>
  <c r="L147" i="7"/>
  <c r="Y146" i="7"/>
  <c r="T146" i="7"/>
  <c r="L146" i="7"/>
  <c r="T145" i="7"/>
  <c r="L145" i="7"/>
  <c r="T144" i="7"/>
  <c r="L144" i="7"/>
  <c r="L140" i="7"/>
  <c r="AD139" i="7"/>
  <c r="AC139" i="7"/>
  <c r="AB139" i="7"/>
  <c r="Y139" i="7"/>
  <c r="S139" i="7"/>
  <c r="R139" i="7"/>
  <c r="M139" i="7"/>
  <c r="P139" i="7" s="1"/>
  <c r="AB138" i="7"/>
  <c r="AD138" i="7" s="1"/>
  <c r="AC138" i="7" s="1"/>
  <c r="Y138" i="7"/>
  <c r="S138" i="7"/>
  <c r="R138" i="7"/>
  <c r="M138" i="7"/>
  <c r="AB137" i="7"/>
  <c r="AD137" i="7" s="1"/>
  <c r="AC137" i="7" s="1"/>
  <c r="Y137" i="7"/>
  <c r="S137" i="7"/>
  <c r="T137" i="7" s="1"/>
  <c r="R137" i="7"/>
  <c r="M137" i="7"/>
  <c r="AB136" i="7"/>
  <c r="AD136" i="7" s="1"/>
  <c r="AC136" i="7" s="1"/>
  <c r="Y136" i="7"/>
  <c r="S136" i="7"/>
  <c r="R136" i="7"/>
  <c r="T136" i="7" s="1"/>
  <c r="M136" i="7"/>
  <c r="AD135" i="7"/>
  <c r="AC135" i="7" s="1"/>
  <c r="AB135" i="7"/>
  <c r="Y135" i="7"/>
  <c r="S135" i="7"/>
  <c r="R135" i="7"/>
  <c r="M135" i="7"/>
  <c r="P135" i="7" s="1"/>
  <c r="AB134" i="7"/>
  <c r="AD134" i="7" s="1"/>
  <c r="AC134" i="7" s="1"/>
  <c r="Y134" i="7"/>
  <c r="T134" i="7"/>
  <c r="S134" i="7"/>
  <c r="R134" i="7"/>
  <c r="M134" i="7"/>
  <c r="AB133" i="7"/>
  <c r="AD133" i="7" s="1"/>
  <c r="AC133" i="7" s="1"/>
  <c r="Y133" i="7"/>
  <c r="S133" i="7"/>
  <c r="T133" i="7" s="1"/>
  <c r="U133" i="7" s="1"/>
  <c r="V133" i="7" s="1"/>
  <c r="R133" i="7"/>
  <c r="P133" i="7"/>
  <c r="M133" i="7"/>
  <c r="AB132" i="7"/>
  <c r="AD132" i="7" s="1"/>
  <c r="AC132" i="7" s="1"/>
  <c r="Y132" i="7"/>
  <c r="S132" i="7"/>
  <c r="R132" i="7"/>
  <c r="M132" i="7"/>
  <c r="AD131" i="7"/>
  <c r="AC131" i="7"/>
  <c r="AB131" i="7"/>
  <c r="Y131" i="7"/>
  <c r="S131" i="7"/>
  <c r="R131" i="7"/>
  <c r="M131" i="7"/>
  <c r="P131" i="7" s="1"/>
  <c r="AB130" i="7"/>
  <c r="AD130" i="7" s="1"/>
  <c r="AC130" i="7" s="1"/>
  <c r="Y130" i="7"/>
  <c r="S130" i="7"/>
  <c r="R130" i="7"/>
  <c r="M130" i="7"/>
  <c r="AB129" i="7"/>
  <c r="AD129" i="7" s="1"/>
  <c r="AC129" i="7" s="1"/>
  <c r="Y129" i="7"/>
  <c r="S129" i="7"/>
  <c r="T129" i="7" s="1"/>
  <c r="R129" i="7"/>
  <c r="M129" i="7"/>
  <c r="AB128" i="7"/>
  <c r="AD128" i="7" s="1"/>
  <c r="AC128" i="7" s="1"/>
  <c r="Y128" i="7"/>
  <c r="S128" i="7"/>
  <c r="R128" i="7"/>
  <c r="T128" i="7" s="1"/>
  <c r="M128" i="7"/>
  <c r="AD127" i="7"/>
  <c r="AC127" i="7" s="1"/>
  <c r="AB127" i="7"/>
  <c r="Y127" i="7"/>
  <c r="S127" i="7"/>
  <c r="R127" i="7"/>
  <c r="M127" i="7"/>
  <c r="P127" i="7" s="1"/>
  <c r="AB126" i="7"/>
  <c r="AD126" i="7" s="1"/>
  <c r="AC126" i="7" s="1"/>
  <c r="Y126" i="7"/>
  <c r="T126" i="7"/>
  <c r="S126" i="7"/>
  <c r="R126" i="7"/>
  <c r="M126" i="7"/>
  <c r="U126" i="7" s="1"/>
  <c r="V126" i="7" s="1"/>
  <c r="AB125" i="7"/>
  <c r="AD125" i="7" s="1"/>
  <c r="AC125" i="7" s="1"/>
  <c r="Y125" i="7"/>
  <c r="S125" i="7"/>
  <c r="T125" i="7" s="1"/>
  <c r="R125" i="7"/>
  <c r="P125" i="7"/>
  <c r="M125" i="7"/>
  <c r="U125" i="7" s="1"/>
  <c r="V125" i="7" s="1"/>
  <c r="AB124" i="7"/>
  <c r="AD124" i="7" s="1"/>
  <c r="AC124" i="7" s="1"/>
  <c r="Y124" i="7"/>
  <c r="S124" i="7"/>
  <c r="R124" i="7"/>
  <c r="M124" i="7"/>
  <c r="AB123" i="7"/>
  <c r="AD123" i="7" s="1"/>
  <c r="AC123" i="7" s="1"/>
  <c r="Y123" i="7"/>
  <c r="S123" i="7"/>
  <c r="R123" i="7"/>
  <c r="M123" i="7"/>
  <c r="P123" i="7" s="1"/>
  <c r="AB122" i="7"/>
  <c r="AD122" i="7" s="1"/>
  <c r="AC122" i="7" s="1"/>
  <c r="Y122" i="7"/>
  <c r="S122" i="7"/>
  <c r="R122" i="7"/>
  <c r="P122" i="7"/>
  <c r="M122" i="7"/>
  <c r="AB121" i="7"/>
  <c r="AD121" i="7" s="1"/>
  <c r="AC121" i="7" s="1"/>
  <c r="Y121" i="7"/>
  <c r="S121" i="7"/>
  <c r="R121" i="7"/>
  <c r="M121" i="7"/>
  <c r="P121" i="7" s="1"/>
  <c r="AB120" i="7"/>
  <c r="AD120" i="7" s="1"/>
  <c r="AC120" i="7" s="1"/>
  <c r="Y120" i="7"/>
  <c r="S120" i="7"/>
  <c r="T120" i="7" s="1"/>
  <c r="R120" i="7"/>
  <c r="P120" i="7"/>
  <c r="M120" i="7"/>
  <c r="U120" i="7" s="1"/>
  <c r="V120" i="7" s="1"/>
  <c r="AD119" i="7"/>
  <c r="AC119" i="7" s="1"/>
  <c r="AB119" i="7"/>
  <c r="Y119" i="7"/>
  <c r="S119" i="7"/>
  <c r="R119" i="7"/>
  <c r="P119" i="7"/>
  <c r="M119" i="7"/>
  <c r="AB118" i="7"/>
  <c r="AD118" i="7" s="1"/>
  <c r="AC118" i="7" s="1"/>
  <c r="Y118" i="7"/>
  <c r="T118" i="7"/>
  <c r="S118" i="7"/>
  <c r="R118" i="7"/>
  <c r="M118" i="7"/>
  <c r="AD117" i="7"/>
  <c r="AC117" i="7" s="1"/>
  <c r="AB117" i="7"/>
  <c r="Y117" i="7"/>
  <c r="S117" i="7"/>
  <c r="T117" i="7" s="1"/>
  <c r="R117" i="7"/>
  <c r="M117" i="7"/>
  <c r="AB116" i="7"/>
  <c r="AD116" i="7" s="1"/>
  <c r="AC116" i="7" s="1"/>
  <c r="Y116" i="7"/>
  <c r="S116" i="7"/>
  <c r="R116" i="7"/>
  <c r="P116" i="7"/>
  <c r="M116" i="7"/>
  <c r="AC115" i="7"/>
  <c r="AB115" i="7"/>
  <c r="AD115" i="7" s="1"/>
  <c r="Y115" i="7"/>
  <c r="S115" i="7"/>
  <c r="R115" i="7"/>
  <c r="T115" i="7" s="1"/>
  <c r="M115" i="7"/>
  <c r="U115" i="7" s="1"/>
  <c r="V115" i="7" s="1"/>
  <c r="AB114" i="7"/>
  <c r="AD114" i="7" s="1"/>
  <c r="AC114" i="7" s="1"/>
  <c r="Y114" i="7"/>
  <c r="S114" i="7"/>
  <c r="T114" i="7" s="1"/>
  <c r="U114" i="7" s="1"/>
  <c r="V114" i="7" s="1"/>
  <c r="R114" i="7"/>
  <c r="P114" i="7"/>
  <c r="M114" i="7"/>
  <c r="AB113" i="7"/>
  <c r="AD113" i="7" s="1"/>
  <c r="AC113" i="7" s="1"/>
  <c r="Y113" i="7"/>
  <c r="S113" i="7"/>
  <c r="T113" i="7" s="1"/>
  <c r="R113" i="7"/>
  <c r="M113" i="7"/>
  <c r="AD112" i="7"/>
  <c r="AC112" i="7"/>
  <c r="AB112" i="7"/>
  <c r="Y112" i="7"/>
  <c r="S112" i="7"/>
  <c r="T112" i="7" s="1"/>
  <c r="R112" i="7"/>
  <c r="P112" i="7"/>
  <c r="M112" i="7"/>
  <c r="U112" i="7" s="1"/>
  <c r="V112" i="7" s="1"/>
  <c r="AD111" i="7"/>
  <c r="AC111" i="7" s="1"/>
  <c r="AB111" i="7"/>
  <c r="Y111" i="7"/>
  <c r="S111" i="7"/>
  <c r="R111" i="7"/>
  <c r="P111" i="7"/>
  <c r="M111" i="7"/>
  <c r="AC110" i="7"/>
  <c r="AB110" i="7"/>
  <c r="AD110" i="7" s="1"/>
  <c r="Y110" i="7"/>
  <c r="S110" i="7"/>
  <c r="T110" i="7" s="1"/>
  <c r="R110" i="7"/>
  <c r="M110" i="7"/>
  <c r="AB109" i="7"/>
  <c r="AD109" i="7" s="1"/>
  <c r="AC109" i="7" s="1"/>
  <c r="Y109" i="7"/>
  <c r="T109" i="7"/>
  <c r="S109" i="7"/>
  <c r="R109" i="7"/>
  <c r="M109" i="7"/>
  <c r="AD108" i="7"/>
  <c r="AC108" i="7" s="1"/>
  <c r="AB108" i="7"/>
  <c r="Y108" i="7"/>
  <c r="S108" i="7"/>
  <c r="R108" i="7"/>
  <c r="M108" i="7"/>
  <c r="P108" i="7" s="1"/>
  <c r="AB107" i="7"/>
  <c r="AD107" i="7" s="1"/>
  <c r="AC107" i="7" s="1"/>
  <c r="Y107" i="7"/>
  <c r="S107" i="7"/>
  <c r="T107" i="7" s="1"/>
  <c r="R107" i="7"/>
  <c r="M107" i="7"/>
  <c r="AB106" i="7"/>
  <c r="AD106" i="7" s="1"/>
  <c r="AC106" i="7" s="1"/>
  <c r="Y106" i="7"/>
  <c r="S106" i="7"/>
  <c r="T106" i="7" s="1"/>
  <c r="U106" i="7" s="1"/>
  <c r="V106" i="7" s="1"/>
  <c r="R106" i="7"/>
  <c r="P106" i="7"/>
  <c r="M106" i="7"/>
  <c r="AB104" i="7"/>
  <c r="AD104" i="7" s="1"/>
  <c r="AC104" i="7" s="1"/>
  <c r="Y104" i="7"/>
  <c r="S104" i="7"/>
  <c r="T104" i="7" s="1"/>
  <c r="R104" i="7"/>
  <c r="M104" i="7"/>
  <c r="AB103" i="7"/>
  <c r="AD103" i="7" s="1"/>
  <c r="AC103" i="7" s="1"/>
  <c r="Y103" i="7"/>
  <c r="S103" i="7"/>
  <c r="R103" i="7"/>
  <c r="M103" i="7"/>
  <c r="P103" i="7" s="1"/>
  <c r="AB102" i="7"/>
  <c r="AD102" i="7" s="1"/>
  <c r="AC102" i="7" s="1"/>
  <c r="Y102" i="7"/>
  <c r="S102" i="7"/>
  <c r="R102" i="7"/>
  <c r="P102" i="7"/>
  <c r="M102" i="7"/>
  <c r="AB101" i="7"/>
  <c r="AD101" i="7" s="1"/>
  <c r="AC101" i="7" s="1"/>
  <c r="Y101" i="7"/>
  <c r="S101" i="7"/>
  <c r="T101" i="7" s="1"/>
  <c r="R101" i="7"/>
  <c r="M101" i="7"/>
  <c r="AB100" i="7"/>
  <c r="AD100" i="7" s="1"/>
  <c r="AC100" i="7" s="1"/>
  <c r="Y100" i="7"/>
  <c r="S100" i="7"/>
  <c r="R100" i="7"/>
  <c r="T100" i="7" s="1"/>
  <c r="M100" i="7"/>
  <c r="AD99" i="7"/>
  <c r="AC99" i="7" s="1"/>
  <c r="AB99" i="7"/>
  <c r="Y99" i="7"/>
  <c r="S99" i="7"/>
  <c r="R99" i="7"/>
  <c r="M99" i="7"/>
  <c r="P99" i="7" s="1"/>
  <c r="AB98" i="7"/>
  <c r="AD98" i="7" s="1"/>
  <c r="AC98" i="7" s="1"/>
  <c r="Y98" i="7"/>
  <c r="S98" i="7"/>
  <c r="T98" i="7" s="1"/>
  <c r="R98" i="7"/>
  <c r="M98" i="7"/>
  <c r="AB97" i="7"/>
  <c r="AD97" i="7" s="1"/>
  <c r="AC97" i="7" s="1"/>
  <c r="Y97" i="7"/>
  <c r="S97" i="7"/>
  <c r="R97" i="7"/>
  <c r="M97" i="7"/>
  <c r="AD96" i="7"/>
  <c r="AC96" i="7" s="1"/>
  <c r="AB96" i="7"/>
  <c r="Y96" i="7"/>
  <c r="S96" i="7"/>
  <c r="R96" i="7"/>
  <c r="P96" i="7"/>
  <c r="M96" i="7"/>
  <c r="AB95" i="7"/>
  <c r="AD95" i="7" s="1"/>
  <c r="AC95" i="7" s="1"/>
  <c r="Y95" i="7"/>
  <c r="S95" i="7"/>
  <c r="R95" i="7"/>
  <c r="T95" i="7" s="1"/>
  <c r="M95" i="7"/>
  <c r="AB94" i="7"/>
  <c r="AD94" i="7" s="1"/>
  <c r="AC94" i="7" s="1"/>
  <c r="Y94" i="7"/>
  <c r="S94" i="7"/>
  <c r="T94" i="7" s="1"/>
  <c r="R94" i="7"/>
  <c r="M94" i="7"/>
  <c r="AB93" i="7"/>
  <c r="AD93" i="7" s="1"/>
  <c r="AC93" i="7" s="1"/>
  <c r="Y93" i="7"/>
  <c r="S93" i="7"/>
  <c r="R93" i="7"/>
  <c r="M93" i="7"/>
  <c r="AB92" i="7"/>
  <c r="AD92" i="7" s="1"/>
  <c r="AC92" i="7" s="1"/>
  <c r="Y92" i="7"/>
  <c r="S92" i="7"/>
  <c r="R92" i="7"/>
  <c r="M92" i="7"/>
  <c r="P92" i="7" s="1"/>
  <c r="AB91" i="7"/>
  <c r="AD91" i="7" s="1"/>
  <c r="AC91" i="7" s="1"/>
  <c r="Y91" i="7"/>
  <c r="S91" i="7"/>
  <c r="T91" i="7" s="1"/>
  <c r="R91" i="7"/>
  <c r="M91" i="7"/>
  <c r="AB90" i="7"/>
  <c r="AD90" i="7" s="1"/>
  <c r="AC90" i="7" s="1"/>
  <c r="Y90" i="7"/>
  <c r="S90" i="7"/>
  <c r="R90" i="7"/>
  <c r="M90" i="7"/>
  <c r="AD89" i="7"/>
  <c r="AC89" i="7" s="1"/>
  <c r="AB89" i="7"/>
  <c r="Y89" i="7"/>
  <c r="S89" i="7"/>
  <c r="R89" i="7"/>
  <c r="M89" i="7"/>
  <c r="AB88" i="7"/>
  <c r="AD88" i="7" s="1"/>
  <c r="AC88" i="7" s="1"/>
  <c r="Y88" i="7"/>
  <c r="S88" i="7"/>
  <c r="R88" i="7"/>
  <c r="P88" i="7"/>
  <c r="M88" i="7"/>
  <c r="AB87" i="7"/>
  <c r="AD87" i="7" s="1"/>
  <c r="AC87" i="7" s="1"/>
  <c r="Y87" i="7"/>
  <c r="T87" i="7"/>
  <c r="S87" i="7"/>
  <c r="R87" i="7"/>
  <c r="M87" i="7"/>
  <c r="AB86" i="7"/>
  <c r="AD86" i="7" s="1"/>
  <c r="AC86" i="7" s="1"/>
  <c r="Y86" i="7"/>
  <c r="S86" i="7"/>
  <c r="T86" i="7" s="1"/>
  <c r="R86" i="7"/>
  <c r="M86" i="7"/>
  <c r="AB84" i="7"/>
  <c r="AD84" i="7" s="1"/>
  <c r="AC84" i="7" s="1"/>
  <c r="Y84" i="7"/>
  <c r="S84" i="7"/>
  <c r="R84" i="7"/>
  <c r="M84" i="7"/>
  <c r="AB83" i="7"/>
  <c r="AD83" i="7" s="1"/>
  <c r="AC83" i="7" s="1"/>
  <c r="Y83" i="7"/>
  <c r="S83" i="7"/>
  <c r="R83" i="7"/>
  <c r="M83" i="7"/>
  <c r="AD82" i="7"/>
  <c r="AC82" i="7" s="1"/>
  <c r="AB82" i="7"/>
  <c r="Y82" i="7"/>
  <c r="S82" i="7"/>
  <c r="R82" i="7"/>
  <c r="M82" i="7"/>
  <c r="AD81" i="7"/>
  <c r="AC81" i="7" s="1"/>
  <c r="AB81" i="7"/>
  <c r="Y81" i="7"/>
  <c r="S81" i="7"/>
  <c r="T81" i="7" s="1"/>
  <c r="U81" i="7" s="1"/>
  <c r="V81" i="7" s="1"/>
  <c r="R81" i="7"/>
  <c r="P81" i="7"/>
  <c r="M81" i="7"/>
  <c r="AC80" i="7"/>
  <c r="AB80" i="7"/>
  <c r="AD80" i="7" s="1"/>
  <c r="Y80" i="7"/>
  <c r="S80" i="7"/>
  <c r="T80" i="7" s="1"/>
  <c r="R80" i="7"/>
  <c r="M80" i="7"/>
  <c r="AB79" i="7"/>
  <c r="AD79" i="7" s="1"/>
  <c r="AC79" i="7" s="1"/>
  <c r="Y79" i="7"/>
  <c r="S79" i="7"/>
  <c r="R79" i="7"/>
  <c r="M79" i="7"/>
  <c r="AD78" i="7"/>
  <c r="AC78" i="7" s="1"/>
  <c r="AB78" i="7"/>
  <c r="Y78" i="7"/>
  <c r="S78" i="7"/>
  <c r="R78" i="7"/>
  <c r="M78" i="7"/>
  <c r="AB77" i="7"/>
  <c r="AD77" i="7" s="1"/>
  <c r="AC77" i="7" s="1"/>
  <c r="Y77" i="7"/>
  <c r="S77" i="7"/>
  <c r="T77" i="7" s="1"/>
  <c r="U77" i="7" s="1"/>
  <c r="V77" i="7" s="1"/>
  <c r="R77" i="7"/>
  <c r="P77" i="7"/>
  <c r="M77" i="7"/>
  <c r="AC76" i="7"/>
  <c r="AB76" i="7"/>
  <c r="AD76" i="7" s="1"/>
  <c r="Y76" i="7"/>
  <c r="S76" i="7"/>
  <c r="T76" i="7" s="1"/>
  <c r="R76" i="7"/>
  <c r="M76" i="7"/>
  <c r="AB75" i="7"/>
  <c r="AD75" i="7" s="1"/>
  <c r="AC75" i="7" s="1"/>
  <c r="Y75" i="7"/>
  <c r="S75" i="7"/>
  <c r="R75" i="7"/>
  <c r="M75" i="7"/>
  <c r="AD74" i="7"/>
  <c r="AC74" i="7" s="1"/>
  <c r="AB74" i="7"/>
  <c r="Y74" i="7"/>
  <c r="S74" i="7"/>
  <c r="R74" i="7"/>
  <c r="M74" i="7"/>
  <c r="AD73" i="7"/>
  <c r="AC73" i="7" s="1"/>
  <c r="AB73" i="7"/>
  <c r="Y73" i="7"/>
  <c r="S73" i="7"/>
  <c r="T73" i="7" s="1"/>
  <c r="U73" i="7" s="1"/>
  <c r="V73" i="7" s="1"/>
  <c r="R73" i="7"/>
  <c r="P73" i="7"/>
  <c r="M73" i="7"/>
  <c r="AC72" i="7"/>
  <c r="AB72" i="7"/>
  <c r="AD72" i="7" s="1"/>
  <c r="Y72" i="7"/>
  <c r="S72" i="7"/>
  <c r="T72" i="7" s="1"/>
  <c r="R72" i="7"/>
  <c r="M72" i="7"/>
  <c r="AB71" i="7"/>
  <c r="AD71" i="7" s="1"/>
  <c r="AC71" i="7" s="1"/>
  <c r="Y71" i="7"/>
  <c r="S71" i="7"/>
  <c r="R71" i="7"/>
  <c r="M71" i="7"/>
  <c r="AD70" i="7"/>
  <c r="AC70" i="7" s="1"/>
  <c r="AB70" i="7"/>
  <c r="Y70" i="7"/>
  <c r="S70" i="7"/>
  <c r="R70" i="7"/>
  <c r="M70" i="7"/>
  <c r="AB69" i="7"/>
  <c r="AD69" i="7" s="1"/>
  <c r="AC69" i="7" s="1"/>
  <c r="Y69" i="7"/>
  <c r="S69" i="7"/>
  <c r="T69" i="7" s="1"/>
  <c r="U69" i="7" s="1"/>
  <c r="V69" i="7" s="1"/>
  <c r="R69" i="7"/>
  <c r="P69" i="7"/>
  <c r="M69" i="7"/>
  <c r="AC67" i="7"/>
  <c r="AB67" i="7"/>
  <c r="AD67" i="7" s="1"/>
  <c r="Y67" i="7"/>
  <c r="S67" i="7"/>
  <c r="T67" i="7" s="1"/>
  <c r="R67" i="7"/>
  <c r="M67" i="7"/>
  <c r="AB66" i="7"/>
  <c r="AD66" i="7" s="1"/>
  <c r="AC66" i="7" s="1"/>
  <c r="Y66" i="7"/>
  <c r="S66" i="7"/>
  <c r="R66" i="7"/>
  <c r="M66" i="7"/>
  <c r="AD65" i="7"/>
  <c r="AC65" i="7" s="1"/>
  <c r="AB65" i="7"/>
  <c r="Y65" i="7"/>
  <c r="S65" i="7"/>
  <c r="R65" i="7"/>
  <c r="M65" i="7"/>
  <c r="AD64" i="7"/>
  <c r="AC64" i="7" s="1"/>
  <c r="AB64" i="7"/>
  <c r="Y64" i="7"/>
  <c r="S64" i="7"/>
  <c r="T64" i="7" s="1"/>
  <c r="U64" i="7" s="1"/>
  <c r="V64" i="7" s="1"/>
  <c r="R64" i="7"/>
  <c r="P64" i="7"/>
  <c r="M64" i="7"/>
  <c r="AC63" i="7"/>
  <c r="AB63" i="7"/>
  <c r="AD63" i="7" s="1"/>
  <c r="Y63" i="7"/>
  <c r="S63" i="7"/>
  <c r="T63" i="7" s="1"/>
  <c r="R63" i="7"/>
  <c r="M63" i="7"/>
  <c r="AB62" i="7"/>
  <c r="AD62" i="7" s="1"/>
  <c r="AC62" i="7" s="1"/>
  <c r="Y62" i="7"/>
  <c r="S62" i="7"/>
  <c r="R62" i="7"/>
  <c r="M62" i="7"/>
  <c r="AD61" i="7"/>
  <c r="AC61" i="7" s="1"/>
  <c r="AB61" i="7"/>
  <c r="Y61" i="7"/>
  <c r="S61" i="7"/>
  <c r="R61" i="7"/>
  <c r="M61" i="7"/>
  <c r="AB60" i="7"/>
  <c r="AD60" i="7" s="1"/>
  <c r="AC60" i="7" s="1"/>
  <c r="Y60" i="7"/>
  <c r="S60" i="7"/>
  <c r="T60" i="7" s="1"/>
  <c r="U60" i="7" s="1"/>
  <c r="V60" i="7" s="1"/>
  <c r="R60" i="7"/>
  <c r="P60" i="7"/>
  <c r="M60" i="7"/>
  <c r="AC59" i="7"/>
  <c r="AB59" i="7"/>
  <c r="AD59" i="7" s="1"/>
  <c r="Y59" i="7"/>
  <c r="S59" i="7"/>
  <c r="T59" i="7" s="1"/>
  <c r="R59" i="7"/>
  <c r="M59" i="7"/>
  <c r="AB58" i="7"/>
  <c r="AD58" i="7" s="1"/>
  <c r="AC58" i="7" s="1"/>
  <c r="Y58" i="7"/>
  <c r="S58" i="7"/>
  <c r="R58" i="7"/>
  <c r="M58" i="7"/>
  <c r="AD57" i="7"/>
  <c r="AC57" i="7" s="1"/>
  <c r="AB57" i="7"/>
  <c r="Y57" i="7"/>
  <c r="S57" i="7"/>
  <c r="R57" i="7"/>
  <c r="M57" i="7"/>
  <c r="AD56" i="7"/>
  <c r="AC56" i="7" s="1"/>
  <c r="AB56" i="7"/>
  <c r="Y56" i="7"/>
  <c r="S56" i="7"/>
  <c r="R56" i="7"/>
  <c r="T56" i="7" s="1"/>
  <c r="M56" i="7"/>
  <c r="P56" i="7" s="1"/>
  <c r="AB55" i="7"/>
  <c r="AD55" i="7" s="1"/>
  <c r="AC55" i="7" s="1"/>
  <c r="Y55" i="7"/>
  <c r="T55" i="7"/>
  <c r="S55" i="7"/>
  <c r="R55" i="7"/>
  <c r="M55" i="7"/>
  <c r="AB54" i="7"/>
  <c r="AD54" i="7" s="1"/>
  <c r="AC54" i="7" s="1"/>
  <c r="Y54" i="7"/>
  <c r="S54" i="7"/>
  <c r="T54" i="7" s="1"/>
  <c r="R54" i="7"/>
  <c r="M54" i="7"/>
  <c r="AB53" i="7"/>
  <c r="AD53" i="7" s="1"/>
  <c r="AC53" i="7" s="1"/>
  <c r="Y53" i="7"/>
  <c r="S53" i="7"/>
  <c r="R53" i="7"/>
  <c r="M53" i="7"/>
  <c r="AD51" i="7"/>
  <c r="AC51" i="7"/>
  <c r="AB51" i="7"/>
  <c r="Y51" i="7"/>
  <c r="S51" i="7"/>
  <c r="T51" i="7" s="1"/>
  <c r="M51" i="7"/>
  <c r="P51" i="7" s="1"/>
  <c r="AB50" i="7"/>
  <c r="AD50" i="7" s="1"/>
  <c r="AC50" i="7" s="1"/>
  <c r="Y50" i="7"/>
  <c r="S50" i="7"/>
  <c r="T50" i="7" s="1"/>
  <c r="M50" i="7"/>
  <c r="P50" i="7" s="1"/>
  <c r="AB49" i="7"/>
  <c r="AD49" i="7" s="1"/>
  <c r="AC49" i="7" s="1"/>
  <c r="Y49" i="7"/>
  <c r="S49" i="7"/>
  <c r="T49" i="7" s="1"/>
  <c r="M49" i="7"/>
  <c r="AB48" i="7"/>
  <c r="AD48" i="7" s="1"/>
  <c r="AC48" i="7" s="1"/>
  <c r="Y48" i="7"/>
  <c r="S48" i="7"/>
  <c r="T48" i="7" s="1"/>
  <c r="M48" i="7"/>
  <c r="P48" i="7" s="1"/>
  <c r="AB47" i="7"/>
  <c r="AD47" i="7" s="1"/>
  <c r="AC47" i="7" s="1"/>
  <c r="Y47" i="7"/>
  <c r="S47" i="7"/>
  <c r="T47" i="7" s="1"/>
  <c r="U47" i="7" s="1"/>
  <c r="V47" i="7" s="1"/>
  <c r="M47" i="7"/>
  <c r="P47" i="7" s="1"/>
  <c r="AB46" i="7"/>
  <c r="AD46" i="7" s="1"/>
  <c r="AC46" i="7" s="1"/>
  <c r="Y46" i="7"/>
  <c r="S46" i="7"/>
  <c r="T46" i="7" s="1"/>
  <c r="M46" i="7"/>
  <c r="P46" i="7" s="1"/>
  <c r="AD45" i="7"/>
  <c r="AC45" i="7" s="1"/>
  <c r="AB45" i="7"/>
  <c r="Y45" i="7"/>
  <c r="S45" i="7"/>
  <c r="T45" i="7" s="1"/>
  <c r="M45" i="7"/>
  <c r="U45" i="7" s="1"/>
  <c r="V45" i="7" s="1"/>
  <c r="AB44" i="7"/>
  <c r="AD44" i="7" s="1"/>
  <c r="AC44" i="7" s="1"/>
  <c r="Y44" i="7"/>
  <c r="S44" i="7"/>
  <c r="T44" i="7" s="1"/>
  <c r="M44" i="7"/>
  <c r="P44" i="7" s="1"/>
  <c r="AB43" i="7"/>
  <c r="AD43" i="7" s="1"/>
  <c r="AC43" i="7" s="1"/>
  <c r="Y43" i="7"/>
  <c r="S43" i="7"/>
  <c r="T43" i="7" s="1"/>
  <c r="M43" i="7"/>
  <c r="P43" i="7" s="1"/>
  <c r="AB42" i="7"/>
  <c r="AD42" i="7" s="1"/>
  <c r="AC42" i="7" s="1"/>
  <c r="Y42" i="7"/>
  <c r="S42" i="7"/>
  <c r="T42" i="7" s="1"/>
  <c r="M42" i="7"/>
  <c r="P42" i="7" s="1"/>
  <c r="AB41" i="7"/>
  <c r="AD41" i="7" s="1"/>
  <c r="AC41" i="7" s="1"/>
  <c r="Y41" i="7"/>
  <c r="S41" i="7"/>
  <c r="T41" i="7" s="1"/>
  <c r="M41" i="7"/>
  <c r="AB40" i="7"/>
  <c r="AD40" i="7" s="1"/>
  <c r="AC40" i="7" s="1"/>
  <c r="Y40" i="7"/>
  <c r="S40" i="7"/>
  <c r="T40" i="7" s="1"/>
  <c r="M40" i="7"/>
  <c r="P40" i="7" s="1"/>
  <c r="AD39" i="7"/>
  <c r="AC39" i="7" s="1"/>
  <c r="AB39" i="7"/>
  <c r="Y39" i="7"/>
  <c r="S39" i="7"/>
  <c r="T39" i="7" s="1"/>
  <c r="U39" i="7" s="1"/>
  <c r="V39" i="7" s="1"/>
  <c r="M39" i="7"/>
  <c r="P39" i="7" s="1"/>
  <c r="AB38" i="7"/>
  <c r="AD38" i="7" s="1"/>
  <c r="AC38" i="7" s="1"/>
  <c r="Y38" i="7"/>
  <c r="S38" i="7"/>
  <c r="T38" i="7" s="1"/>
  <c r="M38" i="7"/>
  <c r="P38" i="7" s="1"/>
  <c r="AD37" i="7"/>
  <c r="AC37" i="7" s="1"/>
  <c r="AB37" i="7"/>
  <c r="Y37" i="7"/>
  <c r="S37" i="7"/>
  <c r="T37" i="7" s="1"/>
  <c r="M37" i="7"/>
  <c r="U37" i="7" s="1"/>
  <c r="V37" i="7" s="1"/>
  <c r="AB36" i="7"/>
  <c r="AD36" i="7" s="1"/>
  <c r="AC36" i="7" s="1"/>
  <c r="Y36" i="7"/>
  <c r="S36" i="7"/>
  <c r="T36" i="7" s="1"/>
  <c r="M36" i="7"/>
  <c r="P36" i="7" s="1"/>
  <c r="AD35" i="7"/>
  <c r="AC35" i="7"/>
  <c r="AB35" i="7"/>
  <c r="Y35" i="7"/>
  <c r="S35" i="7"/>
  <c r="T35" i="7" s="1"/>
  <c r="M35" i="7"/>
  <c r="P35" i="7" s="1"/>
  <c r="AB34" i="7"/>
  <c r="AD34" i="7" s="1"/>
  <c r="AC34" i="7" s="1"/>
  <c r="Y34" i="7"/>
  <c r="S34" i="7"/>
  <c r="T34" i="7" s="1"/>
  <c r="M34" i="7"/>
  <c r="P34" i="7" s="1"/>
  <c r="AB32" i="7"/>
  <c r="AD32" i="7" s="1"/>
  <c r="AC32" i="7" s="1"/>
  <c r="Y32" i="7"/>
  <c r="S32" i="7"/>
  <c r="R32" i="7"/>
  <c r="P32" i="7"/>
  <c r="M32" i="7"/>
  <c r="AB31" i="7"/>
  <c r="AD31" i="7" s="1"/>
  <c r="AC31" i="7" s="1"/>
  <c r="Y31" i="7"/>
  <c r="S31" i="7"/>
  <c r="R31" i="7"/>
  <c r="T31" i="7" s="1"/>
  <c r="M31" i="7"/>
  <c r="AB30" i="7"/>
  <c r="AD30" i="7" s="1"/>
  <c r="AC30" i="7" s="1"/>
  <c r="Y30" i="7"/>
  <c r="S30" i="7"/>
  <c r="T30" i="7" s="1"/>
  <c r="R30" i="7"/>
  <c r="M30" i="7"/>
  <c r="AB29" i="7"/>
  <c r="AD29" i="7" s="1"/>
  <c r="AC29" i="7" s="1"/>
  <c r="Y29" i="7"/>
  <c r="S29" i="7"/>
  <c r="R29" i="7"/>
  <c r="M29" i="7"/>
  <c r="AB28" i="7"/>
  <c r="AD28" i="7" s="1"/>
  <c r="AC28" i="7" s="1"/>
  <c r="Y28" i="7"/>
  <c r="S28" i="7"/>
  <c r="R28" i="7"/>
  <c r="P28" i="7"/>
  <c r="M28" i="7"/>
  <c r="AB27" i="7"/>
  <c r="AD27" i="7" s="1"/>
  <c r="AC27" i="7" s="1"/>
  <c r="Y27" i="7"/>
  <c r="S27" i="7"/>
  <c r="R27" i="7"/>
  <c r="T27" i="7" s="1"/>
  <c r="M27" i="7"/>
  <c r="AB26" i="7"/>
  <c r="AD26" i="7" s="1"/>
  <c r="AC26" i="7" s="1"/>
  <c r="Y26" i="7"/>
  <c r="S26" i="7"/>
  <c r="T26" i="7" s="1"/>
  <c r="R26" i="7"/>
  <c r="M26" i="7"/>
  <c r="AB25" i="7"/>
  <c r="AD25" i="7" s="1"/>
  <c r="AC25" i="7" s="1"/>
  <c r="Y25" i="7"/>
  <c r="S25" i="7"/>
  <c r="R25" i="7"/>
  <c r="M25" i="7"/>
  <c r="AB24" i="7"/>
  <c r="AD24" i="7" s="1"/>
  <c r="AC24" i="7" s="1"/>
  <c r="Y24" i="7"/>
  <c r="S24" i="7"/>
  <c r="R24" i="7"/>
  <c r="P24" i="7"/>
  <c r="M24" i="7"/>
  <c r="AB23" i="7"/>
  <c r="AD23" i="7" s="1"/>
  <c r="AC23" i="7" s="1"/>
  <c r="Y23" i="7"/>
  <c r="S23" i="7"/>
  <c r="R23" i="7"/>
  <c r="T23" i="7" s="1"/>
  <c r="M23" i="7"/>
  <c r="AB22" i="7"/>
  <c r="AD22" i="7" s="1"/>
  <c r="AC22" i="7" s="1"/>
  <c r="Y22" i="7"/>
  <c r="S22" i="7"/>
  <c r="T22" i="7" s="1"/>
  <c r="R22" i="7"/>
  <c r="M22" i="7"/>
  <c r="AB21" i="7"/>
  <c r="AD21" i="7" s="1"/>
  <c r="AC21" i="7" s="1"/>
  <c r="Y21" i="7"/>
  <c r="S21" i="7"/>
  <c r="R21" i="7"/>
  <c r="M21" i="7"/>
  <c r="AB20" i="7"/>
  <c r="AD20" i="7" s="1"/>
  <c r="AC20" i="7" s="1"/>
  <c r="Y20" i="7"/>
  <c r="S20" i="7"/>
  <c r="R20" i="7"/>
  <c r="P20" i="7"/>
  <c r="M20" i="7"/>
  <c r="AB19" i="7"/>
  <c r="AD19" i="7" s="1"/>
  <c r="AC19" i="7" s="1"/>
  <c r="Y19" i="7"/>
  <c r="S19" i="7"/>
  <c r="R19" i="7"/>
  <c r="T19" i="7" s="1"/>
  <c r="M19" i="7"/>
  <c r="AB18" i="7"/>
  <c r="AD18" i="7" s="1"/>
  <c r="AC18" i="7" s="1"/>
  <c r="Y18" i="7"/>
  <c r="S18" i="7"/>
  <c r="T18" i="7" s="1"/>
  <c r="R18" i="7"/>
  <c r="M18" i="7"/>
  <c r="AB17" i="7"/>
  <c r="AD17" i="7" s="1"/>
  <c r="AC17" i="7" s="1"/>
  <c r="Y17" i="7"/>
  <c r="S17" i="7"/>
  <c r="R17" i="7"/>
  <c r="M17" i="7"/>
  <c r="AB15" i="7"/>
  <c r="AD15" i="7" s="1"/>
  <c r="AC15" i="7" s="1"/>
  <c r="Y15" i="7"/>
  <c r="S15" i="7"/>
  <c r="R15" i="7"/>
  <c r="P15" i="7"/>
  <c r="M15" i="7"/>
  <c r="AB14" i="7"/>
  <c r="AD14" i="7" s="1"/>
  <c r="AC14" i="7" s="1"/>
  <c r="Y14" i="7"/>
  <c r="S14" i="7"/>
  <c r="R14" i="7"/>
  <c r="T14" i="7" s="1"/>
  <c r="M14" i="7"/>
  <c r="AB13" i="7"/>
  <c r="AD13" i="7" s="1"/>
  <c r="AC13" i="7" s="1"/>
  <c r="Y13" i="7"/>
  <c r="S13" i="7"/>
  <c r="T13" i="7" s="1"/>
  <c r="R13" i="7"/>
  <c r="M13" i="7"/>
  <c r="AB12" i="7"/>
  <c r="AD12" i="7" s="1"/>
  <c r="AC12" i="7" s="1"/>
  <c r="Y12" i="7"/>
  <c r="S12" i="7"/>
  <c r="R12" i="7"/>
  <c r="M12" i="7"/>
  <c r="AB11" i="7"/>
  <c r="AD11" i="7" s="1"/>
  <c r="AC11" i="7" s="1"/>
  <c r="Y11" i="7"/>
  <c r="S11" i="7"/>
  <c r="R11" i="7"/>
  <c r="P11" i="7"/>
  <c r="M11" i="7"/>
  <c r="AB10" i="7"/>
  <c r="AD10" i="7" s="1"/>
  <c r="AC10" i="7" s="1"/>
  <c r="Y10" i="7"/>
  <c r="S10" i="7"/>
  <c r="R10" i="7"/>
  <c r="T10" i="7" s="1"/>
  <c r="M10" i="7"/>
  <c r="AB9" i="7"/>
  <c r="AD9" i="7" s="1"/>
  <c r="AC9" i="7" s="1"/>
  <c r="Y9" i="7"/>
  <c r="S9" i="7"/>
  <c r="T9" i="7" s="1"/>
  <c r="R9" i="7"/>
  <c r="M9" i="7"/>
  <c r="AB8" i="7"/>
  <c r="AD8" i="7" s="1"/>
  <c r="AC8" i="7" s="1"/>
  <c r="Y8" i="7"/>
  <c r="S8" i="7"/>
  <c r="R8" i="7"/>
  <c r="M8" i="7"/>
  <c r="AB7" i="7"/>
  <c r="AD7" i="7" s="1"/>
  <c r="AC7" i="7" s="1"/>
  <c r="Y7" i="7"/>
  <c r="S7" i="7"/>
  <c r="R7" i="7"/>
  <c r="P7" i="7"/>
  <c r="M7" i="7"/>
  <c r="AB6" i="7"/>
  <c r="AD6" i="7" s="1"/>
  <c r="AC6" i="7" s="1"/>
  <c r="Y6" i="7"/>
  <c r="S6" i="7"/>
  <c r="R6" i="7"/>
  <c r="T6" i="7" s="1"/>
  <c r="M6" i="7"/>
  <c r="AB5" i="7"/>
  <c r="AD5" i="7" s="1"/>
  <c r="AC5" i="7" s="1"/>
  <c r="Y5" i="7"/>
  <c r="S5" i="7"/>
  <c r="T5" i="7" s="1"/>
  <c r="R5" i="7"/>
  <c r="M5" i="7"/>
  <c r="AB4" i="7"/>
  <c r="AD4" i="7" s="1"/>
  <c r="AC4" i="7" s="1"/>
  <c r="Y4" i="7"/>
  <c r="S4" i="7"/>
  <c r="R4" i="7"/>
  <c r="M4" i="7"/>
  <c r="AB3" i="7"/>
  <c r="AD3" i="7" s="1"/>
  <c r="Y3" i="7"/>
  <c r="S3" i="7"/>
  <c r="R3" i="7"/>
  <c r="P3" i="7"/>
  <c r="M3" i="7"/>
  <c r="AD140" i="7" l="1"/>
  <c r="U56" i="7"/>
  <c r="V56" i="7" s="1"/>
  <c r="U59" i="7"/>
  <c r="V59" i="7" s="1"/>
  <c r="U67" i="7"/>
  <c r="V67" i="7" s="1"/>
  <c r="U35" i="7"/>
  <c r="V35" i="7" s="1"/>
  <c r="U41" i="7"/>
  <c r="V41" i="7" s="1"/>
  <c r="U51" i="7"/>
  <c r="V51" i="7" s="1"/>
  <c r="U55" i="7"/>
  <c r="V55" i="7" s="1"/>
  <c r="T58" i="7"/>
  <c r="T66" i="7"/>
  <c r="U66" i="7" s="1"/>
  <c r="V66" i="7" s="1"/>
  <c r="T75" i="7"/>
  <c r="T83" i="7"/>
  <c r="T102" i="7"/>
  <c r="U102" i="7" s="1"/>
  <c r="V102" i="7" s="1"/>
  <c r="T103" i="7"/>
  <c r="U103" i="7" s="1"/>
  <c r="V103" i="7" s="1"/>
  <c r="T111" i="7"/>
  <c r="U111" i="7" s="1"/>
  <c r="V111" i="7" s="1"/>
  <c r="T119" i="7"/>
  <c r="U119" i="7" s="1"/>
  <c r="V119" i="7" s="1"/>
  <c r="P126" i="7"/>
  <c r="T130" i="7"/>
  <c r="U130" i="7" s="1"/>
  <c r="V130" i="7" s="1"/>
  <c r="T131" i="7"/>
  <c r="U131" i="7" s="1"/>
  <c r="V131" i="7" s="1"/>
  <c r="T138" i="7"/>
  <c r="U138" i="7" s="1"/>
  <c r="V138" i="7" s="1"/>
  <c r="T139" i="7"/>
  <c r="U139" i="7" s="1"/>
  <c r="V139" i="7" s="1"/>
  <c r="U160" i="7"/>
  <c r="V160" i="7" s="1"/>
  <c r="U165" i="7"/>
  <c r="V165" i="7" s="1"/>
  <c r="U63" i="7"/>
  <c r="V63" i="7" s="1"/>
  <c r="U72" i="7"/>
  <c r="V72" i="7" s="1"/>
  <c r="U80" i="7"/>
  <c r="V80" i="7" s="1"/>
  <c r="U98" i="7"/>
  <c r="V98" i="7" s="1"/>
  <c r="AB156" i="7"/>
  <c r="U76" i="7"/>
  <c r="V76" i="7" s="1"/>
  <c r="U6" i="7"/>
  <c r="V6" i="7" s="1"/>
  <c r="U10" i="7"/>
  <c r="V10" i="7" s="1"/>
  <c r="U14" i="7"/>
  <c r="V14" i="7" s="1"/>
  <c r="U19" i="7"/>
  <c r="V19" i="7" s="1"/>
  <c r="U23" i="7"/>
  <c r="V23" i="7" s="1"/>
  <c r="U27" i="7"/>
  <c r="V27" i="7" s="1"/>
  <c r="U31" i="7"/>
  <c r="V31" i="7" s="1"/>
  <c r="T32" i="7"/>
  <c r="U32" i="7" s="1"/>
  <c r="V32" i="7" s="1"/>
  <c r="U43" i="7"/>
  <c r="V43" i="7" s="1"/>
  <c r="U49" i="7"/>
  <c r="V49" i="7" s="1"/>
  <c r="T62" i="7"/>
  <c r="T71" i="7"/>
  <c r="T79" i="7"/>
  <c r="T90" i="7"/>
  <c r="P115" i="7"/>
  <c r="T122" i="7"/>
  <c r="U122" i="7" s="1"/>
  <c r="V122" i="7" s="1"/>
  <c r="T123" i="7"/>
  <c r="U123" i="7" s="1"/>
  <c r="V123" i="7" s="1"/>
  <c r="U5" i="7"/>
  <c r="V5" i="7" s="1"/>
  <c r="P5" i="7"/>
  <c r="U9" i="7"/>
  <c r="V9" i="7" s="1"/>
  <c r="P9" i="7"/>
  <c r="U13" i="7"/>
  <c r="V13" i="7" s="1"/>
  <c r="P13" i="7"/>
  <c r="U18" i="7"/>
  <c r="V18" i="7" s="1"/>
  <c r="P18" i="7"/>
  <c r="U22" i="7"/>
  <c r="V22" i="7" s="1"/>
  <c r="P22" i="7"/>
  <c r="U26" i="7"/>
  <c r="V26" i="7" s="1"/>
  <c r="P26" i="7"/>
  <c r="U30" i="7"/>
  <c r="V30" i="7" s="1"/>
  <c r="P30" i="7"/>
  <c r="U107" i="7"/>
  <c r="V107" i="7" s="1"/>
  <c r="P107" i="7"/>
  <c r="U117" i="7"/>
  <c r="V117" i="7" s="1"/>
  <c r="P117" i="7"/>
  <c r="U118" i="7"/>
  <c r="V118" i="7" s="1"/>
  <c r="P118" i="7"/>
  <c r="P134" i="7"/>
  <c r="U134" i="7"/>
  <c r="V134" i="7" s="1"/>
  <c r="AB145" i="7"/>
  <c r="AD145" i="7" s="1"/>
  <c r="AC145" i="7" s="1"/>
  <c r="Y145" i="7"/>
  <c r="M145" i="7"/>
  <c r="U161" i="7"/>
  <c r="V161" i="7" s="1"/>
  <c r="P161" i="7"/>
  <c r="U8" i="7"/>
  <c r="V8" i="7" s="1"/>
  <c r="P37" i="7"/>
  <c r="P41" i="7"/>
  <c r="P45" i="7"/>
  <c r="P49" i="7"/>
  <c r="T53" i="7"/>
  <c r="P55" i="7"/>
  <c r="T57" i="7"/>
  <c r="U57" i="7" s="1"/>
  <c r="V57" i="7" s="1"/>
  <c r="P59" i="7"/>
  <c r="T61" i="7"/>
  <c r="P63" i="7"/>
  <c r="T65" i="7"/>
  <c r="U65" i="7" s="1"/>
  <c r="V65" i="7" s="1"/>
  <c r="P67" i="7"/>
  <c r="T70" i="7"/>
  <c r="P72" i="7"/>
  <c r="T74" i="7"/>
  <c r="U74" i="7" s="1"/>
  <c r="V74" i="7" s="1"/>
  <c r="P76" i="7"/>
  <c r="T78" i="7"/>
  <c r="P80" i="7"/>
  <c r="T82" i="7"/>
  <c r="U82" i="7" s="1"/>
  <c r="V82" i="7" s="1"/>
  <c r="U87" i="7"/>
  <c r="V87" i="7" s="1"/>
  <c r="P87" i="7"/>
  <c r="T92" i="7"/>
  <c r="U92" i="7" s="1"/>
  <c r="V92" i="7" s="1"/>
  <c r="U95" i="7"/>
  <c r="V95" i="7" s="1"/>
  <c r="P95" i="7"/>
  <c r="M148" i="7"/>
  <c r="AB148" i="7"/>
  <c r="AD148" i="7" s="1"/>
  <c r="AC148" i="7" s="1"/>
  <c r="Y148" i="7"/>
  <c r="T3" i="7"/>
  <c r="U3" i="7" s="1"/>
  <c r="T7" i="7"/>
  <c r="U7" i="7" s="1"/>
  <c r="V7" i="7" s="1"/>
  <c r="T11" i="7"/>
  <c r="U11" i="7" s="1"/>
  <c r="V11" i="7" s="1"/>
  <c r="T15" i="7"/>
  <c r="U15" i="7" s="1"/>
  <c r="V15" i="7" s="1"/>
  <c r="T20" i="7"/>
  <c r="U20" i="7" s="1"/>
  <c r="V20" i="7" s="1"/>
  <c r="T24" i="7"/>
  <c r="U24" i="7" s="1"/>
  <c r="V24" i="7" s="1"/>
  <c r="T28" i="7"/>
  <c r="U28" i="7" s="1"/>
  <c r="V28" i="7" s="1"/>
  <c r="U54" i="7"/>
  <c r="V54" i="7" s="1"/>
  <c r="P54" i="7"/>
  <c r="U58" i="7"/>
  <c r="V58" i="7" s="1"/>
  <c r="P58" i="7"/>
  <c r="U62" i="7"/>
  <c r="V62" i="7" s="1"/>
  <c r="P62" i="7"/>
  <c r="P66" i="7"/>
  <c r="U71" i="7"/>
  <c r="V71" i="7" s="1"/>
  <c r="P71" i="7"/>
  <c r="U75" i="7"/>
  <c r="V75" i="7" s="1"/>
  <c r="P75" i="7"/>
  <c r="U79" i="7"/>
  <c r="V79" i="7" s="1"/>
  <c r="P79" i="7"/>
  <c r="U83" i="7"/>
  <c r="V83" i="7" s="1"/>
  <c r="P83" i="7"/>
  <c r="U84" i="7"/>
  <c r="V84" i="7" s="1"/>
  <c r="P84" i="7"/>
  <c r="M144" i="7"/>
  <c r="AB144" i="7"/>
  <c r="Y144" i="7"/>
  <c r="L150" i="7"/>
  <c r="L151" i="7" s="1"/>
  <c r="AC3" i="7"/>
  <c r="T4" i="7"/>
  <c r="U4" i="7" s="1"/>
  <c r="V4" i="7" s="1"/>
  <c r="P6" i="7"/>
  <c r="T8" i="7"/>
  <c r="P10" i="7"/>
  <c r="T12" i="7"/>
  <c r="U12" i="7" s="1"/>
  <c r="V12" i="7" s="1"/>
  <c r="P14" i="7"/>
  <c r="T17" i="7"/>
  <c r="U17" i="7" s="1"/>
  <c r="V17" i="7" s="1"/>
  <c r="P19" i="7"/>
  <c r="T21" i="7"/>
  <c r="U21" i="7" s="1"/>
  <c r="V21" i="7" s="1"/>
  <c r="P23" i="7"/>
  <c r="T25" i="7"/>
  <c r="U25" i="7" s="1"/>
  <c r="V25" i="7" s="1"/>
  <c r="P27" i="7"/>
  <c r="T29" i="7"/>
  <c r="U29" i="7" s="1"/>
  <c r="V29" i="7" s="1"/>
  <c r="P31" i="7"/>
  <c r="U53" i="7"/>
  <c r="V53" i="7" s="1"/>
  <c r="U61" i="7"/>
  <c r="V61" i="7" s="1"/>
  <c r="U70" i="7"/>
  <c r="V70" i="7" s="1"/>
  <c r="U78" i="7"/>
  <c r="V78" i="7" s="1"/>
  <c r="T88" i="7"/>
  <c r="U88" i="7" s="1"/>
  <c r="V88" i="7" s="1"/>
  <c r="U91" i="7"/>
  <c r="V91" i="7" s="1"/>
  <c r="P91" i="7"/>
  <c r="T96" i="7"/>
  <c r="U96" i="7" s="1"/>
  <c r="V96" i="7" s="1"/>
  <c r="AB149" i="7"/>
  <c r="AD149" i="7" s="1"/>
  <c r="AC149" i="7" s="1"/>
  <c r="Y149" i="7"/>
  <c r="M149" i="7"/>
  <c r="AC155" i="7"/>
  <c r="AD156" i="7"/>
  <c r="U128" i="7"/>
  <c r="V128" i="7" s="1"/>
  <c r="P128" i="7"/>
  <c r="Y140" i="7"/>
  <c r="U34" i="7"/>
  <c r="V34" i="7" s="1"/>
  <c r="U36" i="7"/>
  <c r="V36" i="7" s="1"/>
  <c r="U38" i="7"/>
  <c r="V38" i="7" s="1"/>
  <c r="U40" i="7"/>
  <c r="V40" i="7" s="1"/>
  <c r="U42" i="7"/>
  <c r="V42" i="7" s="1"/>
  <c r="U44" i="7"/>
  <c r="V44" i="7" s="1"/>
  <c r="U46" i="7"/>
  <c r="V46" i="7" s="1"/>
  <c r="U48" i="7"/>
  <c r="V48" i="7" s="1"/>
  <c r="U50" i="7"/>
  <c r="V50" i="7" s="1"/>
  <c r="T84" i="7"/>
  <c r="T89" i="7"/>
  <c r="U89" i="7" s="1"/>
  <c r="V89" i="7" s="1"/>
  <c r="T93" i="7"/>
  <c r="U93" i="7" s="1"/>
  <c r="V93" i="7" s="1"/>
  <c r="T97" i="7"/>
  <c r="U97" i="7" s="1"/>
  <c r="V97" i="7" s="1"/>
  <c r="U109" i="7"/>
  <c r="V109" i="7" s="1"/>
  <c r="P109" i="7"/>
  <c r="U110" i="7"/>
  <c r="V110" i="7" s="1"/>
  <c r="P110" i="7"/>
  <c r="T124" i="7"/>
  <c r="U124" i="7" s="1"/>
  <c r="V124" i="7" s="1"/>
  <c r="T132" i="7"/>
  <c r="U132" i="7" s="1"/>
  <c r="V132" i="7" s="1"/>
  <c r="M146" i="7"/>
  <c r="AB146" i="7"/>
  <c r="AD146" i="7" s="1"/>
  <c r="AC146" i="7" s="1"/>
  <c r="AB147" i="7"/>
  <c r="AD147" i="7" s="1"/>
  <c r="AC147" i="7" s="1"/>
  <c r="Y147" i="7"/>
  <c r="U129" i="7"/>
  <c r="V129" i="7" s="1"/>
  <c r="P129" i="7"/>
  <c r="U136" i="7"/>
  <c r="V136" i="7" s="1"/>
  <c r="P136" i="7"/>
  <c r="U137" i="7"/>
  <c r="V137" i="7" s="1"/>
  <c r="P137" i="7"/>
  <c r="M140" i="7"/>
  <c r="AB140" i="7"/>
  <c r="P4" i="7"/>
  <c r="P8" i="7"/>
  <c r="P12" i="7"/>
  <c r="P17" i="7"/>
  <c r="P21" i="7"/>
  <c r="P25" i="7"/>
  <c r="P29" i="7"/>
  <c r="P53" i="7"/>
  <c r="P57" i="7"/>
  <c r="P61" i="7"/>
  <c r="P65" i="7"/>
  <c r="P70" i="7"/>
  <c r="P74" i="7"/>
  <c r="P78" i="7"/>
  <c r="P82" i="7"/>
  <c r="U86" i="7"/>
  <c r="V86" i="7" s="1"/>
  <c r="P86" i="7"/>
  <c r="U90" i="7"/>
  <c r="V90" i="7" s="1"/>
  <c r="P90" i="7"/>
  <c r="U94" i="7"/>
  <c r="V94" i="7" s="1"/>
  <c r="P94" i="7"/>
  <c r="P98" i="7"/>
  <c r="U100" i="7"/>
  <c r="V100" i="7" s="1"/>
  <c r="P100" i="7"/>
  <c r="U101" i="7"/>
  <c r="V101" i="7" s="1"/>
  <c r="P101" i="7"/>
  <c r="M147" i="7"/>
  <c r="T99" i="7"/>
  <c r="U99" i="7" s="1"/>
  <c r="V99" i="7" s="1"/>
  <c r="T108" i="7"/>
  <c r="U108" i="7" s="1"/>
  <c r="V108" i="7" s="1"/>
  <c r="T116" i="7"/>
  <c r="U116" i="7" s="1"/>
  <c r="V116" i="7" s="1"/>
  <c r="U121" i="7"/>
  <c r="V121" i="7" s="1"/>
  <c r="T127" i="7"/>
  <c r="U127" i="7" s="1"/>
  <c r="V127" i="7" s="1"/>
  <c r="T135" i="7"/>
  <c r="U135" i="7" s="1"/>
  <c r="V135" i="7" s="1"/>
  <c r="P89" i="7"/>
  <c r="P93" i="7"/>
  <c r="P97" i="7"/>
  <c r="U104" i="7"/>
  <c r="V104" i="7" s="1"/>
  <c r="P104" i="7"/>
  <c r="U113" i="7"/>
  <c r="V113" i="7" s="1"/>
  <c r="P113" i="7"/>
  <c r="P124" i="7"/>
  <c r="P130" i="7"/>
  <c r="P132" i="7"/>
  <c r="P138" i="7"/>
  <c r="U155" i="7"/>
  <c r="M156" i="7"/>
  <c r="U162" i="7"/>
  <c r="V162" i="7" s="1"/>
  <c r="P140" i="7" l="1"/>
  <c r="P149" i="7"/>
  <c r="U149" i="7"/>
  <c r="V149" i="7" s="1"/>
  <c r="AD144" i="7"/>
  <c r="AB150" i="7"/>
  <c r="AB151" i="7" s="1"/>
  <c r="P145" i="7"/>
  <c r="U145" i="7"/>
  <c r="V145" i="7" s="1"/>
  <c r="U156" i="7"/>
  <c r="V155" i="7"/>
  <c r="V156" i="7" s="1"/>
  <c r="P147" i="7"/>
  <c r="U147" i="7"/>
  <c r="V147" i="7" s="1"/>
  <c r="M150" i="7"/>
  <c r="M151" i="7" s="1"/>
  <c r="P144" i="7"/>
  <c r="U144" i="7"/>
  <c r="P148" i="7"/>
  <c r="U148" i="7"/>
  <c r="V148" i="7" s="1"/>
  <c r="P146" i="7"/>
  <c r="U146" i="7"/>
  <c r="V146" i="7" s="1"/>
  <c r="Y150" i="7"/>
  <c r="Y151" i="7" s="1"/>
  <c r="U140" i="7"/>
  <c r="V3" i="7"/>
  <c r="V140" i="7" s="1"/>
  <c r="P150" i="7" l="1"/>
  <c r="P151" i="7" s="1"/>
  <c r="AD150" i="7"/>
  <c r="AD151" i="7" s="1"/>
  <c r="AC144" i="7"/>
  <c r="V144" i="7"/>
  <c r="V150" i="7" s="1"/>
  <c r="V151" i="7" s="1"/>
  <c r="U150" i="7"/>
  <c r="U151" i="7" s="1"/>
  <c r="K46" i="6"/>
  <c r="AE45" i="6"/>
  <c r="AG45" i="6" s="1"/>
  <c r="AF45" i="6" s="1"/>
  <c r="AB45" i="6"/>
  <c r="U45" i="6"/>
  <c r="V45" i="6" s="1"/>
  <c r="T45" i="6"/>
  <c r="L45" i="6"/>
  <c r="R45" i="6" s="1"/>
  <c r="AE44" i="6"/>
  <c r="AG44" i="6" s="1"/>
  <c r="AF44" i="6" s="1"/>
  <c r="AB44" i="6"/>
  <c r="U44" i="6"/>
  <c r="V44" i="6" s="1"/>
  <c r="T44" i="6"/>
  <c r="L44" i="6"/>
  <c r="M44" i="6" s="1"/>
  <c r="AE43" i="6"/>
  <c r="AG43" i="6" s="1"/>
  <c r="AF43" i="6" s="1"/>
  <c r="AB43" i="6"/>
  <c r="U43" i="6"/>
  <c r="V43" i="6" s="1"/>
  <c r="W43" i="6" s="1"/>
  <c r="Y43" i="6" s="1"/>
  <c r="T43" i="6"/>
  <c r="L43" i="6"/>
  <c r="R43" i="6" s="1"/>
  <c r="AE42" i="6"/>
  <c r="AG42" i="6" s="1"/>
  <c r="AF42" i="6" s="1"/>
  <c r="AB42" i="6"/>
  <c r="V42" i="6"/>
  <c r="W42" i="6" s="1"/>
  <c r="Y42" i="6" s="1"/>
  <c r="U42" i="6"/>
  <c r="T42" i="6"/>
  <c r="P42" i="6"/>
  <c r="R42" i="6" s="1"/>
  <c r="L42" i="6"/>
  <c r="M42" i="6" s="1"/>
  <c r="AE41" i="6"/>
  <c r="AG41" i="6" s="1"/>
  <c r="AF41" i="6" s="1"/>
  <c r="AB41" i="6"/>
  <c r="U41" i="6"/>
  <c r="V41" i="6" s="1"/>
  <c r="T41" i="6"/>
  <c r="Q41" i="6"/>
  <c r="P41" i="6"/>
  <c r="R41" i="6" s="1"/>
  <c r="M41" i="6"/>
  <c r="L41" i="6"/>
  <c r="AE40" i="6"/>
  <c r="AG40" i="6" s="1"/>
  <c r="AF40" i="6" s="1"/>
  <c r="AB40" i="6"/>
  <c r="U40" i="6"/>
  <c r="V40" i="6" s="1"/>
  <c r="T40" i="6"/>
  <c r="P40" i="6"/>
  <c r="L40" i="6"/>
  <c r="M40" i="6" s="1"/>
  <c r="AG39" i="6"/>
  <c r="AF39" i="6" s="1"/>
  <c r="AE39" i="6"/>
  <c r="AB39" i="6"/>
  <c r="U39" i="6"/>
  <c r="T39" i="6"/>
  <c r="P39" i="6"/>
  <c r="L39" i="6"/>
  <c r="Q39" i="6" s="1"/>
  <c r="AE38" i="6"/>
  <c r="AG38" i="6" s="1"/>
  <c r="AF38" i="6" s="1"/>
  <c r="AB38" i="6"/>
  <c r="U38" i="6"/>
  <c r="V38" i="6" s="1"/>
  <c r="T38" i="6"/>
  <c r="P38" i="6"/>
  <c r="M38" i="6"/>
  <c r="L38" i="6"/>
  <c r="Q38" i="6" s="1"/>
  <c r="AE37" i="6"/>
  <c r="AG37" i="6" s="1"/>
  <c r="AF37" i="6" s="1"/>
  <c r="AB37" i="6"/>
  <c r="U37" i="6"/>
  <c r="T37" i="6"/>
  <c r="V37" i="6" s="1"/>
  <c r="M37" i="6"/>
  <c r="L37" i="6"/>
  <c r="AE36" i="6"/>
  <c r="AG36" i="6" s="1"/>
  <c r="AF36" i="6" s="1"/>
  <c r="AB36" i="6"/>
  <c r="U36" i="6"/>
  <c r="T36" i="6"/>
  <c r="V36" i="6" s="1"/>
  <c r="W36" i="6" s="1"/>
  <c r="Y36" i="6" s="1"/>
  <c r="R36" i="6"/>
  <c r="L36" i="6"/>
  <c r="Q36" i="6" s="1"/>
  <c r="AG35" i="6"/>
  <c r="AF35" i="6" s="1"/>
  <c r="AE35" i="6"/>
  <c r="AB35" i="6"/>
  <c r="U35" i="6"/>
  <c r="T35" i="6"/>
  <c r="L35" i="6"/>
  <c r="M35" i="6" s="1"/>
  <c r="AG34" i="6"/>
  <c r="AF34" i="6"/>
  <c r="AE34" i="6"/>
  <c r="AB34" i="6"/>
  <c r="U34" i="6"/>
  <c r="T34" i="6"/>
  <c r="M34" i="6"/>
  <c r="L34" i="6"/>
  <c r="Q34" i="6" s="1"/>
  <c r="AE33" i="6"/>
  <c r="AG33" i="6" s="1"/>
  <c r="AF33" i="6" s="1"/>
  <c r="AB33" i="6"/>
  <c r="U33" i="6"/>
  <c r="T33" i="6"/>
  <c r="V33" i="6" s="1"/>
  <c r="Q33" i="6"/>
  <c r="P33" i="6"/>
  <c r="L33" i="6"/>
  <c r="M33" i="6" s="1"/>
  <c r="AE32" i="6"/>
  <c r="AG32" i="6" s="1"/>
  <c r="AF32" i="6" s="1"/>
  <c r="AB32" i="6"/>
  <c r="U32" i="6"/>
  <c r="T32" i="6"/>
  <c r="V32" i="6" s="1"/>
  <c r="P32" i="6"/>
  <c r="L32" i="6"/>
  <c r="M32" i="6" s="1"/>
  <c r="AE31" i="6"/>
  <c r="AG31" i="6" s="1"/>
  <c r="AF31" i="6" s="1"/>
  <c r="AB31" i="6"/>
  <c r="U31" i="6"/>
  <c r="V31" i="6" s="1"/>
  <c r="T31" i="6"/>
  <c r="L31" i="6"/>
  <c r="Q31" i="6" s="1"/>
  <c r="AE30" i="6"/>
  <c r="AG30" i="6" s="1"/>
  <c r="AF30" i="6" s="1"/>
  <c r="AB30" i="6"/>
  <c r="U30" i="6"/>
  <c r="T30" i="6"/>
  <c r="R30" i="6"/>
  <c r="L30" i="6"/>
  <c r="Q30" i="6" s="1"/>
  <c r="AE29" i="6"/>
  <c r="AG29" i="6" s="1"/>
  <c r="AF29" i="6" s="1"/>
  <c r="AB29" i="6"/>
  <c r="U29" i="6"/>
  <c r="V29" i="6" s="1"/>
  <c r="W29" i="6" s="1"/>
  <c r="Y29" i="6" s="1"/>
  <c r="T29" i="6"/>
  <c r="L29" i="6"/>
  <c r="M29" i="6" s="1"/>
  <c r="AG28" i="6"/>
  <c r="AF28" i="6" s="1"/>
  <c r="AE28" i="6"/>
  <c r="AB28" i="6"/>
  <c r="U28" i="6"/>
  <c r="T28" i="6"/>
  <c r="L28" i="6"/>
  <c r="Q28" i="6" s="1"/>
  <c r="AE27" i="6"/>
  <c r="AG27" i="6" s="1"/>
  <c r="AF27" i="6" s="1"/>
  <c r="AB27" i="6"/>
  <c r="U27" i="6"/>
  <c r="V27" i="6" s="1"/>
  <c r="T27" i="6"/>
  <c r="L27" i="6"/>
  <c r="Q27" i="6" s="1"/>
  <c r="AE26" i="6"/>
  <c r="AG26" i="6" s="1"/>
  <c r="AF26" i="6" s="1"/>
  <c r="AB26" i="6"/>
  <c r="U26" i="6"/>
  <c r="T26" i="6"/>
  <c r="Q26" i="6"/>
  <c r="P26" i="6"/>
  <c r="R26" i="6" s="1"/>
  <c r="L26" i="6"/>
  <c r="M26" i="6" s="1"/>
  <c r="AE25" i="6"/>
  <c r="AG25" i="6" s="1"/>
  <c r="AF25" i="6" s="1"/>
  <c r="AB25" i="6"/>
  <c r="U25" i="6"/>
  <c r="T25" i="6"/>
  <c r="R25" i="6"/>
  <c r="P25" i="6"/>
  <c r="L25" i="6"/>
  <c r="Q25" i="6" s="1"/>
  <c r="AF24" i="6"/>
  <c r="AE24" i="6"/>
  <c r="AG24" i="6" s="1"/>
  <c r="AB24" i="6"/>
  <c r="U24" i="6"/>
  <c r="V24" i="6" s="1"/>
  <c r="T24" i="6"/>
  <c r="P24" i="6"/>
  <c r="L24" i="6"/>
  <c r="M24" i="6" s="1"/>
  <c r="AG23" i="6"/>
  <c r="AF23" i="6" s="1"/>
  <c r="AE23" i="6"/>
  <c r="AB23" i="6"/>
  <c r="U23" i="6"/>
  <c r="T23" i="6"/>
  <c r="P23" i="6"/>
  <c r="L23" i="6"/>
  <c r="Q23" i="6" s="1"/>
  <c r="AE22" i="6"/>
  <c r="AG22" i="6" s="1"/>
  <c r="AF22" i="6" s="1"/>
  <c r="AB22" i="6"/>
  <c r="U22" i="6"/>
  <c r="T22" i="6"/>
  <c r="R22" i="6"/>
  <c r="P22" i="6"/>
  <c r="L22" i="6"/>
  <c r="M22" i="6" s="1"/>
  <c r="AE21" i="6"/>
  <c r="AG21" i="6" s="1"/>
  <c r="AF21" i="6" s="1"/>
  <c r="AB21" i="6"/>
  <c r="U21" i="6"/>
  <c r="T21" i="6"/>
  <c r="R21" i="6"/>
  <c r="P21" i="6"/>
  <c r="L21" i="6"/>
  <c r="Q21" i="6" s="1"/>
  <c r="AF20" i="6"/>
  <c r="AE20" i="6"/>
  <c r="AG20" i="6" s="1"/>
  <c r="AB20" i="6"/>
  <c r="U20" i="6"/>
  <c r="V20" i="6" s="1"/>
  <c r="T20" i="6"/>
  <c r="P20" i="6"/>
  <c r="L20" i="6"/>
  <c r="M20" i="6" s="1"/>
  <c r="AE19" i="6"/>
  <c r="AG19" i="6" s="1"/>
  <c r="AF19" i="6" s="1"/>
  <c r="AB19" i="6"/>
  <c r="U19" i="6"/>
  <c r="T19" i="6"/>
  <c r="P19" i="6"/>
  <c r="L19" i="6"/>
  <c r="Q19" i="6" s="1"/>
  <c r="AE18" i="6"/>
  <c r="AG18" i="6" s="1"/>
  <c r="AF18" i="6" s="1"/>
  <c r="AB18" i="6"/>
  <c r="U18" i="6"/>
  <c r="T18" i="6"/>
  <c r="P18" i="6"/>
  <c r="R18" i="6" s="1"/>
  <c r="L18" i="6"/>
  <c r="M18" i="6" s="1"/>
  <c r="AE17" i="6"/>
  <c r="AG17" i="6" s="1"/>
  <c r="AF17" i="6" s="1"/>
  <c r="AB17" i="6"/>
  <c r="U17" i="6"/>
  <c r="T17" i="6"/>
  <c r="L17" i="6"/>
  <c r="Q17" i="6" s="1"/>
  <c r="AE16" i="6"/>
  <c r="AG16" i="6" s="1"/>
  <c r="AF16" i="6" s="1"/>
  <c r="AB16" i="6"/>
  <c r="T16" i="6"/>
  <c r="V16" i="6" s="1"/>
  <c r="W16" i="6" s="1"/>
  <c r="L16" i="6"/>
  <c r="M16" i="6" s="1"/>
  <c r="AE15" i="6"/>
  <c r="AG15" i="6" s="1"/>
  <c r="AF15" i="6" s="1"/>
  <c r="AB15" i="6"/>
  <c r="U15" i="6"/>
  <c r="T15" i="6"/>
  <c r="R15" i="6"/>
  <c r="M15" i="6"/>
  <c r="L15" i="6"/>
  <c r="Q15" i="6" s="1"/>
  <c r="AE14" i="6"/>
  <c r="AG14" i="6" s="1"/>
  <c r="AF14" i="6" s="1"/>
  <c r="AB14" i="6"/>
  <c r="U14" i="6"/>
  <c r="V14" i="6" s="1"/>
  <c r="T14" i="6"/>
  <c r="L14" i="6"/>
  <c r="M14" i="6" s="1"/>
  <c r="AE13" i="6"/>
  <c r="AG13" i="6" s="1"/>
  <c r="AF13" i="6" s="1"/>
  <c r="AB13" i="6"/>
  <c r="U13" i="6"/>
  <c r="V13" i="6" s="1"/>
  <c r="T13" i="6"/>
  <c r="P13" i="6"/>
  <c r="L13" i="6"/>
  <c r="M13" i="6" s="1"/>
  <c r="AG12" i="6"/>
  <c r="AF12" i="6"/>
  <c r="AE12" i="6"/>
  <c r="AB12" i="6"/>
  <c r="U12" i="6"/>
  <c r="T12" i="6"/>
  <c r="P12" i="6"/>
  <c r="L12" i="6"/>
  <c r="Q12" i="6" s="1"/>
  <c r="AE11" i="6"/>
  <c r="AG11" i="6" s="1"/>
  <c r="AF11" i="6" s="1"/>
  <c r="AB11" i="6"/>
  <c r="U11" i="6"/>
  <c r="V11" i="6" s="1"/>
  <c r="W11" i="6" s="1"/>
  <c r="Y11" i="6" s="1"/>
  <c r="T11" i="6"/>
  <c r="R11" i="6"/>
  <c r="Q11" i="6"/>
  <c r="M11" i="6"/>
  <c r="L11" i="6"/>
  <c r="AE10" i="6"/>
  <c r="AG10" i="6" s="1"/>
  <c r="AF10" i="6" s="1"/>
  <c r="AB10" i="6"/>
  <c r="U10" i="6"/>
  <c r="T10" i="6"/>
  <c r="V10" i="6" s="1"/>
  <c r="W10" i="6" s="1"/>
  <c r="Y10" i="6" s="1"/>
  <c r="R10" i="6"/>
  <c r="Q10" i="6"/>
  <c r="L10" i="6"/>
  <c r="M10" i="6" s="1"/>
  <c r="AE9" i="6"/>
  <c r="AG9" i="6" s="1"/>
  <c r="AF9" i="6" s="1"/>
  <c r="AB9" i="6"/>
  <c r="U9" i="6"/>
  <c r="T9" i="6"/>
  <c r="R9" i="6"/>
  <c r="L9" i="6"/>
  <c r="Q9" i="6" s="1"/>
  <c r="AE8" i="6"/>
  <c r="AG8" i="6" s="1"/>
  <c r="AF8" i="6" s="1"/>
  <c r="AB8" i="6"/>
  <c r="U8" i="6"/>
  <c r="V8" i="6" s="1"/>
  <c r="T8" i="6"/>
  <c r="L8" i="6"/>
  <c r="AE7" i="6"/>
  <c r="AG7" i="6" s="1"/>
  <c r="AF7" i="6" s="1"/>
  <c r="AB7" i="6"/>
  <c r="U7" i="6"/>
  <c r="T7" i="6"/>
  <c r="Q7" i="6"/>
  <c r="P7" i="6"/>
  <c r="R7" i="6" s="1"/>
  <c r="M7" i="6"/>
  <c r="L7" i="6"/>
  <c r="AE6" i="6"/>
  <c r="AG6" i="6" s="1"/>
  <c r="AF6" i="6" s="1"/>
  <c r="AB6" i="6"/>
  <c r="U6" i="6"/>
  <c r="T6" i="6"/>
  <c r="V6" i="6" s="1"/>
  <c r="Q6" i="6"/>
  <c r="P6" i="6"/>
  <c r="L6" i="6"/>
  <c r="M6" i="6" s="1"/>
  <c r="AE5" i="6"/>
  <c r="AG5" i="6" s="1"/>
  <c r="AF5" i="6" s="1"/>
  <c r="AB5" i="6"/>
  <c r="U5" i="6"/>
  <c r="T5" i="6"/>
  <c r="V5" i="6" s="1"/>
  <c r="Q5" i="6"/>
  <c r="P5" i="6"/>
  <c r="L5" i="6"/>
  <c r="M5" i="6" s="1"/>
  <c r="AG4" i="6"/>
  <c r="AF4" i="6" s="1"/>
  <c r="AE4" i="6"/>
  <c r="AB4" i="6"/>
  <c r="U4" i="6"/>
  <c r="T4" i="6"/>
  <c r="V4" i="6" s="1"/>
  <c r="P4" i="6"/>
  <c r="L4" i="6"/>
  <c r="Q4" i="6" s="1"/>
  <c r="AG3" i="6"/>
  <c r="AE3" i="6"/>
  <c r="AB3" i="6"/>
  <c r="V3" i="6"/>
  <c r="U3" i="6"/>
  <c r="T3" i="6"/>
  <c r="Q3" i="6"/>
  <c r="P3" i="6"/>
  <c r="R3" i="6" s="1"/>
  <c r="M3" i="6"/>
  <c r="L3" i="6"/>
  <c r="R19" i="6" l="1"/>
  <c r="R20" i="6"/>
  <c r="M39" i="6"/>
  <c r="M43" i="6"/>
  <c r="R4" i="6"/>
  <c r="V7" i="6"/>
  <c r="W7" i="6" s="1"/>
  <c r="Y7" i="6" s="1"/>
  <c r="V17" i="6"/>
  <c r="W17" i="6" s="1"/>
  <c r="Y17" i="6" s="1"/>
  <c r="Q20" i="6"/>
  <c r="M21" i="6"/>
  <c r="V21" i="6"/>
  <c r="V22" i="6"/>
  <c r="W22" i="6" s="1"/>
  <c r="Y22" i="6" s="1"/>
  <c r="R23" i="6"/>
  <c r="R24" i="6"/>
  <c r="M25" i="6"/>
  <c r="V25" i="6"/>
  <c r="W25" i="6" s="1"/>
  <c r="Y25" i="6" s="1"/>
  <c r="V26" i="6"/>
  <c r="W26" i="6" s="1"/>
  <c r="Y26" i="6" s="1"/>
  <c r="Q29" i="6"/>
  <c r="M30" i="6"/>
  <c r="V30" i="6"/>
  <c r="W30" i="6" s="1"/>
  <c r="Y30" i="6" s="1"/>
  <c r="M36" i="6"/>
  <c r="R39" i="6"/>
  <c r="Q43" i="6"/>
  <c r="AB46" i="6"/>
  <c r="M4" i="6"/>
  <c r="V18" i="6"/>
  <c r="W18" i="6" s="1"/>
  <c r="Y18" i="6" s="1"/>
  <c r="V28" i="6"/>
  <c r="V39" i="6"/>
  <c r="W39" i="6" s="1"/>
  <c r="Y39" i="6" s="1"/>
  <c r="R5" i="6"/>
  <c r="R6" i="6"/>
  <c r="R12" i="6"/>
  <c r="R13" i="6"/>
  <c r="R29" i="6"/>
  <c r="R33" i="6"/>
  <c r="V35" i="6"/>
  <c r="W38" i="6"/>
  <c r="Y38" i="6" s="1"/>
  <c r="Q40" i="6"/>
  <c r="AG46" i="6"/>
  <c r="AF3" i="6"/>
  <c r="W5" i="6"/>
  <c r="Y5" i="6" s="1"/>
  <c r="W4" i="6"/>
  <c r="Y4" i="6" s="1"/>
  <c r="W8" i="6"/>
  <c r="Y8" i="6" s="1"/>
  <c r="R8" i="6"/>
  <c r="M8" i="6"/>
  <c r="Q8" i="6"/>
  <c r="AE46" i="6"/>
  <c r="W6" i="6"/>
  <c r="Y6" i="6" s="1"/>
  <c r="Q13" i="6"/>
  <c r="R16" i="6"/>
  <c r="R17" i="6"/>
  <c r="Q24" i="6"/>
  <c r="W27" i="6"/>
  <c r="Y27" i="6" s="1"/>
  <c r="R27" i="6"/>
  <c r="R28" i="6"/>
  <c r="W31" i="6"/>
  <c r="Y31" i="6" s="1"/>
  <c r="R31" i="6"/>
  <c r="W33" i="6"/>
  <c r="Y33" i="6" s="1"/>
  <c r="R35" i="6"/>
  <c r="W35" i="6"/>
  <c r="Y35" i="6" s="1"/>
  <c r="L46" i="6"/>
  <c r="W3" i="6"/>
  <c r="M9" i="6"/>
  <c r="W13" i="6"/>
  <c r="Y13" i="6" s="1"/>
  <c r="W14" i="6"/>
  <c r="Y14" i="6" s="1"/>
  <c r="R14" i="6"/>
  <c r="M19" i="6"/>
  <c r="V19" i="6"/>
  <c r="W19" i="6" s="1"/>
  <c r="Y19" i="6" s="1"/>
  <c r="W21" i="6"/>
  <c r="Y21" i="6" s="1"/>
  <c r="Q22" i="6"/>
  <c r="W24" i="6"/>
  <c r="Y24" i="6" s="1"/>
  <c r="M27" i="6"/>
  <c r="M31" i="6"/>
  <c r="Q32" i="6"/>
  <c r="R34" i="6"/>
  <c r="W37" i="6"/>
  <c r="Y37" i="6" s="1"/>
  <c r="R37" i="6"/>
  <c r="W44" i="6"/>
  <c r="Y44" i="6" s="1"/>
  <c r="R44" i="6"/>
  <c r="Q44" i="6"/>
  <c r="Q45" i="6"/>
  <c r="M45" i="6"/>
  <c r="W45" i="6"/>
  <c r="Y45" i="6" s="1"/>
  <c r="R32" i="6"/>
  <c r="W32" i="6"/>
  <c r="Y32" i="6" s="1"/>
  <c r="V9" i="6"/>
  <c r="W9" i="6" s="1"/>
  <c r="Y9" i="6" s="1"/>
  <c r="M12" i="6"/>
  <c r="V12" i="6"/>
  <c r="W12" i="6" s="1"/>
  <c r="Y12" i="6" s="1"/>
  <c r="Q14" i="6"/>
  <c r="V15" i="6"/>
  <c r="W15" i="6" s="1"/>
  <c r="Y15" i="6" s="1"/>
  <c r="Q16" i="6"/>
  <c r="M17" i="6"/>
  <c r="Q18" i="6"/>
  <c r="W20" i="6"/>
  <c r="Y20" i="6" s="1"/>
  <c r="M23" i="6"/>
  <c r="V23" i="6"/>
  <c r="W23" i="6" s="1"/>
  <c r="Y23" i="6" s="1"/>
  <c r="M28" i="6"/>
  <c r="W28" i="6"/>
  <c r="Y28" i="6" s="1"/>
  <c r="V34" i="6"/>
  <c r="W34" i="6" s="1"/>
  <c r="Y34" i="6" s="1"/>
  <c r="Q35" i="6"/>
  <c r="Q37" i="6"/>
  <c r="R38" i="6"/>
  <c r="R40" i="6"/>
  <c r="W40" i="6"/>
  <c r="Y40" i="6" s="1"/>
  <c r="W41" i="6"/>
  <c r="Y41" i="6" s="1"/>
  <c r="Q42" i="6"/>
  <c r="M46" i="6" l="1"/>
  <c r="R46" i="6"/>
  <c r="Q46" i="6"/>
  <c r="W46" i="6"/>
  <c r="Y3" i="6"/>
  <c r="Y46" i="6" s="1"/>
  <c r="K16" i="5"/>
  <c r="AE15" i="5"/>
  <c r="AG15" i="5" s="1"/>
  <c r="AF15" i="5" s="1"/>
  <c r="AB15" i="5"/>
  <c r="U15" i="5"/>
  <c r="V15" i="5" s="1"/>
  <c r="W15" i="5" s="1"/>
  <c r="Y15" i="5" s="1"/>
  <c r="T15" i="5"/>
  <c r="L15" i="5"/>
  <c r="M15" i="5" s="1"/>
  <c r="AG14" i="5"/>
  <c r="AF14" i="5" s="1"/>
  <c r="AE14" i="5"/>
  <c r="AB14" i="5"/>
  <c r="U14" i="5"/>
  <c r="V14" i="5" s="1"/>
  <c r="W14" i="5" s="1"/>
  <c r="Y14" i="5" s="1"/>
  <c r="T14" i="5"/>
  <c r="L14" i="5"/>
  <c r="Q14" i="5" s="1"/>
  <c r="AG13" i="5"/>
  <c r="AF13" i="5" s="1"/>
  <c r="AE13" i="5"/>
  <c r="AB13" i="5"/>
  <c r="U13" i="5"/>
  <c r="T13" i="5"/>
  <c r="P13" i="5"/>
  <c r="L13" i="5"/>
  <c r="Q13" i="5" s="1"/>
  <c r="AE12" i="5"/>
  <c r="AG12" i="5" s="1"/>
  <c r="AF12" i="5" s="1"/>
  <c r="AB12" i="5"/>
  <c r="U12" i="5"/>
  <c r="V12" i="5" s="1"/>
  <c r="W12" i="5" s="1"/>
  <c r="Y12" i="5" s="1"/>
  <c r="T12" i="5"/>
  <c r="L12" i="5"/>
  <c r="M12" i="5" s="1"/>
  <c r="AG11" i="5"/>
  <c r="AF11" i="5" s="1"/>
  <c r="AE11" i="5"/>
  <c r="AB11" i="5"/>
  <c r="U11" i="5"/>
  <c r="V11" i="5" s="1"/>
  <c r="T11" i="5"/>
  <c r="L11" i="5"/>
  <c r="Q11" i="5" s="1"/>
  <c r="AG10" i="5"/>
  <c r="AF10" i="5" s="1"/>
  <c r="AE10" i="5"/>
  <c r="AB10" i="5"/>
  <c r="U10" i="5"/>
  <c r="V10" i="5" s="1"/>
  <c r="T10" i="5"/>
  <c r="P10" i="5"/>
  <c r="M10" i="5"/>
  <c r="L10" i="5"/>
  <c r="Q10" i="5" s="1"/>
  <c r="AE9" i="5"/>
  <c r="AG9" i="5" s="1"/>
  <c r="AF9" i="5" s="1"/>
  <c r="AB9" i="5"/>
  <c r="V9" i="5"/>
  <c r="U9" i="5"/>
  <c r="T9" i="5"/>
  <c r="P9" i="5"/>
  <c r="L9" i="5"/>
  <c r="M9" i="5" s="1"/>
  <c r="AE8" i="5"/>
  <c r="AG8" i="5" s="1"/>
  <c r="AF8" i="5" s="1"/>
  <c r="AB8" i="5"/>
  <c r="U8" i="5"/>
  <c r="V8" i="5" s="1"/>
  <c r="T8" i="5"/>
  <c r="P8" i="5"/>
  <c r="R8" i="5" s="1"/>
  <c r="M8" i="5"/>
  <c r="L8" i="5"/>
  <c r="Q8" i="5" s="1"/>
  <c r="AE7" i="5"/>
  <c r="AG7" i="5" s="1"/>
  <c r="AF7" i="5" s="1"/>
  <c r="AB7" i="5"/>
  <c r="V7" i="5"/>
  <c r="U7" i="5"/>
  <c r="T7" i="5"/>
  <c r="Q7" i="5"/>
  <c r="P7" i="5"/>
  <c r="L7" i="5"/>
  <c r="M7" i="5" s="1"/>
  <c r="AE6" i="5"/>
  <c r="AG6" i="5" s="1"/>
  <c r="AF6" i="5" s="1"/>
  <c r="AB6" i="5"/>
  <c r="U6" i="5"/>
  <c r="V6" i="5" s="1"/>
  <c r="T6" i="5"/>
  <c r="L6" i="5"/>
  <c r="AE5" i="5"/>
  <c r="AG5" i="5" s="1"/>
  <c r="AF5" i="5" s="1"/>
  <c r="AB5" i="5"/>
  <c r="U5" i="5"/>
  <c r="T5" i="5"/>
  <c r="L5" i="5"/>
  <c r="R5" i="5" s="1"/>
  <c r="AE4" i="5"/>
  <c r="AG4" i="5" s="1"/>
  <c r="AB4" i="5"/>
  <c r="U4" i="5"/>
  <c r="V4" i="5" s="1"/>
  <c r="W4" i="5" s="1"/>
  <c r="Y4" i="5" s="1"/>
  <c r="T4" i="5"/>
  <c r="L4" i="5"/>
  <c r="M4" i="5" s="1"/>
  <c r="AG3" i="5"/>
  <c r="AF3" i="5" s="1"/>
  <c r="AE3" i="5"/>
  <c r="AB3" i="5"/>
  <c r="AB16" i="5" s="1"/>
  <c r="U3" i="5"/>
  <c r="V3" i="5" s="1"/>
  <c r="T3" i="5"/>
  <c r="P3" i="5"/>
  <c r="L3" i="5"/>
  <c r="Q3" i="5" s="1"/>
  <c r="AE16" i="5" l="1"/>
  <c r="Q4" i="5"/>
  <c r="M5" i="5"/>
  <c r="V5" i="5"/>
  <c r="W5" i="5" s="1"/>
  <c r="Y5" i="5" s="1"/>
  <c r="Q9" i="5"/>
  <c r="R10" i="5"/>
  <c r="R11" i="5"/>
  <c r="Q12" i="5"/>
  <c r="M13" i="5"/>
  <c r="V13" i="5"/>
  <c r="R4" i="5"/>
  <c r="Q5" i="5"/>
  <c r="W8" i="5"/>
  <c r="Y8" i="5" s="1"/>
  <c r="R12" i="5"/>
  <c r="R13" i="5"/>
  <c r="R14" i="5"/>
  <c r="Q15" i="5"/>
  <c r="W10" i="5"/>
  <c r="Y10" i="5" s="1"/>
  <c r="W11" i="5"/>
  <c r="Y11" i="5" s="1"/>
  <c r="R15" i="5"/>
  <c r="AF4" i="5"/>
  <c r="AG16" i="5"/>
  <c r="W6" i="5"/>
  <c r="Y6" i="5" s="1"/>
  <c r="W13" i="5"/>
  <c r="Y13" i="5" s="1"/>
  <c r="R3" i="5"/>
  <c r="W3" i="5"/>
  <c r="L16" i="5"/>
  <c r="M3" i="5"/>
  <c r="M6" i="5"/>
  <c r="R7" i="5"/>
  <c r="W7" i="5"/>
  <c r="Y7" i="5" s="1"/>
  <c r="R9" i="5"/>
  <c r="W9" i="5"/>
  <c r="Y9" i="5" s="1"/>
  <c r="Q6" i="5"/>
  <c r="M11" i="5"/>
  <c r="M14" i="5"/>
  <c r="R6" i="5"/>
  <c r="Q16" i="5" l="1"/>
  <c r="Y3" i="5"/>
  <c r="Y16" i="5" s="1"/>
  <c r="W16" i="5"/>
  <c r="R16" i="5"/>
  <c r="M16" i="5"/>
  <c r="K15" i="4"/>
  <c r="AE14" i="4"/>
  <c r="AG14" i="4" s="1"/>
  <c r="AF14" i="4" s="1"/>
  <c r="AB14" i="4"/>
  <c r="U14" i="4"/>
  <c r="T14" i="4"/>
  <c r="P14" i="4"/>
  <c r="L14" i="4"/>
  <c r="Q14" i="4" s="1"/>
  <c r="AE13" i="4"/>
  <c r="AG13" i="4" s="1"/>
  <c r="AF13" i="4" s="1"/>
  <c r="AB13" i="4"/>
  <c r="U13" i="4"/>
  <c r="V13" i="4" s="1"/>
  <c r="T13" i="4"/>
  <c r="P13" i="4"/>
  <c r="L13" i="4"/>
  <c r="M13" i="4" s="1"/>
  <c r="AE12" i="4"/>
  <c r="AG12" i="4" s="1"/>
  <c r="AF12" i="4" s="1"/>
  <c r="AB12" i="4"/>
  <c r="U12" i="4"/>
  <c r="V12" i="4" s="1"/>
  <c r="T12" i="4"/>
  <c r="P12" i="4"/>
  <c r="L12" i="4"/>
  <c r="Q12" i="4" s="1"/>
  <c r="AE11" i="4"/>
  <c r="AG11" i="4" s="1"/>
  <c r="AF11" i="4" s="1"/>
  <c r="AB11" i="4"/>
  <c r="T11" i="4"/>
  <c r="V11" i="4" s="1"/>
  <c r="R11" i="4"/>
  <c r="L11" i="4"/>
  <c r="AE10" i="4"/>
  <c r="AG10" i="4" s="1"/>
  <c r="AF10" i="4" s="1"/>
  <c r="AB10" i="4"/>
  <c r="U10" i="4"/>
  <c r="V10" i="4" s="1"/>
  <c r="T10" i="4"/>
  <c r="Q10" i="4"/>
  <c r="P10" i="4"/>
  <c r="R10" i="4" s="1"/>
  <c r="M10" i="4"/>
  <c r="L10" i="4"/>
  <c r="AE9" i="4"/>
  <c r="AG9" i="4" s="1"/>
  <c r="AF9" i="4" s="1"/>
  <c r="AB9" i="4"/>
  <c r="U9" i="4"/>
  <c r="T9" i="4"/>
  <c r="V9" i="4" s="1"/>
  <c r="Q9" i="4"/>
  <c r="P9" i="4"/>
  <c r="L9" i="4"/>
  <c r="M9" i="4" s="1"/>
  <c r="AE8" i="4"/>
  <c r="AG8" i="4" s="1"/>
  <c r="AF8" i="4" s="1"/>
  <c r="AB8" i="4"/>
  <c r="U8" i="4"/>
  <c r="T8" i="4"/>
  <c r="Q8" i="4"/>
  <c r="P8" i="4"/>
  <c r="L8" i="4"/>
  <c r="M8" i="4" s="1"/>
  <c r="AE7" i="4"/>
  <c r="AG7" i="4" s="1"/>
  <c r="AF7" i="4" s="1"/>
  <c r="AB7" i="4"/>
  <c r="U7" i="4"/>
  <c r="V7" i="4" s="1"/>
  <c r="T7" i="4"/>
  <c r="P7" i="4"/>
  <c r="L7" i="4"/>
  <c r="M7" i="4" s="1"/>
  <c r="AG6" i="4"/>
  <c r="AF6" i="4" s="1"/>
  <c r="AE6" i="4"/>
  <c r="AB6" i="4"/>
  <c r="U6" i="4"/>
  <c r="T6" i="4"/>
  <c r="P6" i="4"/>
  <c r="L6" i="4"/>
  <c r="AE5" i="4"/>
  <c r="AG5" i="4" s="1"/>
  <c r="AF5" i="4" s="1"/>
  <c r="AB5" i="4"/>
  <c r="U5" i="4"/>
  <c r="V5" i="4" s="1"/>
  <c r="T5" i="4"/>
  <c r="P5" i="4"/>
  <c r="L5" i="4"/>
  <c r="M5" i="4" s="1"/>
  <c r="AG4" i="4"/>
  <c r="AF4" i="4" s="1"/>
  <c r="AE4" i="4"/>
  <c r="AB4" i="4"/>
  <c r="U4" i="4"/>
  <c r="V4" i="4" s="1"/>
  <c r="T4" i="4"/>
  <c r="L4" i="4"/>
  <c r="AE3" i="4"/>
  <c r="AG3" i="4" s="1"/>
  <c r="AB3" i="4"/>
  <c r="AB15" i="4" s="1"/>
  <c r="U3" i="4"/>
  <c r="V3" i="4" s="1"/>
  <c r="T3" i="4"/>
  <c r="P3" i="4"/>
  <c r="R3" i="4" s="1"/>
  <c r="L3" i="4"/>
  <c r="Q3" i="4" s="1"/>
  <c r="W6" i="4" l="1"/>
  <c r="Y6" i="4" s="1"/>
  <c r="M6" i="4"/>
  <c r="V6" i="4"/>
  <c r="R13" i="4"/>
  <c r="Q5" i="4"/>
  <c r="R6" i="4"/>
  <c r="V8" i="4"/>
  <c r="Q13" i="4"/>
  <c r="V14" i="4"/>
  <c r="W14" i="4" s="1"/>
  <c r="Y14" i="4" s="1"/>
  <c r="L15" i="4"/>
  <c r="Q6" i="4"/>
  <c r="Q7" i="4"/>
  <c r="R8" i="4"/>
  <c r="W11" i="4"/>
  <c r="AG15" i="4"/>
  <c r="AF3" i="4"/>
  <c r="W8" i="4"/>
  <c r="Y8" i="4" s="1"/>
  <c r="W4" i="4"/>
  <c r="Y4" i="4" s="1"/>
  <c r="W10" i="4"/>
  <c r="Y10" i="4" s="1"/>
  <c r="R12" i="4"/>
  <c r="W12" i="4"/>
  <c r="Y12" i="4" s="1"/>
  <c r="R14" i="4"/>
  <c r="M4" i="4"/>
  <c r="R5" i="4"/>
  <c r="W5" i="4"/>
  <c r="Y5" i="4" s="1"/>
  <c r="R7" i="4"/>
  <c r="W7" i="4"/>
  <c r="Y7" i="4" s="1"/>
  <c r="R9" i="4"/>
  <c r="W9" i="4"/>
  <c r="Y9" i="4" s="1"/>
  <c r="M12" i="4"/>
  <c r="M14" i="4"/>
  <c r="W3" i="4"/>
  <c r="Q4" i="4"/>
  <c r="M11" i="4"/>
  <c r="W13" i="4"/>
  <c r="Y13" i="4" s="1"/>
  <c r="AE15" i="4"/>
  <c r="M3" i="4"/>
  <c r="R4" i="4"/>
  <c r="Q11" i="4"/>
  <c r="R15" i="4" l="1"/>
  <c r="Q15" i="4"/>
  <c r="M15" i="4"/>
  <c r="W15" i="4"/>
  <c r="Y3" i="4"/>
  <c r="Y15" i="4" s="1"/>
  <c r="I40" i="3"/>
  <c r="AC39" i="3"/>
  <c r="AE39" i="3" s="1"/>
  <c r="AD39" i="3" s="1"/>
  <c r="Z39" i="3"/>
  <c r="S39" i="3"/>
  <c r="R39" i="3"/>
  <c r="T39" i="3" s="1"/>
  <c r="J39" i="3"/>
  <c r="U39" i="3" s="1"/>
  <c r="W39" i="3" s="1"/>
  <c r="AC38" i="3"/>
  <c r="AE38" i="3" s="1"/>
  <c r="AD38" i="3" s="1"/>
  <c r="Z38" i="3"/>
  <c r="S38" i="3"/>
  <c r="R38" i="3"/>
  <c r="J38" i="3"/>
  <c r="AC37" i="3"/>
  <c r="AE37" i="3" s="1"/>
  <c r="AD37" i="3" s="1"/>
  <c r="Z37" i="3"/>
  <c r="S37" i="3"/>
  <c r="R37" i="3"/>
  <c r="P37" i="3"/>
  <c r="J37" i="3"/>
  <c r="O37" i="3" s="1"/>
  <c r="AC36" i="3"/>
  <c r="AE36" i="3" s="1"/>
  <c r="AD36" i="3" s="1"/>
  <c r="Z36" i="3"/>
  <c r="S36" i="3"/>
  <c r="R36" i="3"/>
  <c r="T36" i="3" s="1"/>
  <c r="J36" i="3"/>
  <c r="K36" i="3" s="1"/>
  <c r="AE35" i="3"/>
  <c r="AD35" i="3" s="1"/>
  <c r="AC35" i="3"/>
  <c r="Z35" i="3"/>
  <c r="S35" i="3"/>
  <c r="R35" i="3"/>
  <c r="J35" i="3"/>
  <c r="O35" i="3" s="1"/>
  <c r="AC34" i="3"/>
  <c r="AE34" i="3" s="1"/>
  <c r="AD34" i="3" s="1"/>
  <c r="Z34" i="3"/>
  <c r="S34" i="3"/>
  <c r="R34" i="3"/>
  <c r="J34" i="3"/>
  <c r="K34" i="3" s="1"/>
  <c r="AC33" i="3"/>
  <c r="AE33" i="3" s="1"/>
  <c r="AD33" i="3" s="1"/>
  <c r="Z33" i="3"/>
  <c r="S33" i="3"/>
  <c r="R33" i="3"/>
  <c r="J33" i="3"/>
  <c r="P33" i="3" s="1"/>
  <c r="AE32" i="3"/>
  <c r="AD32" i="3" s="1"/>
  <c r="AC32" i="3"/>
  <c r="Z32" i="3"/>
  <c r="S32" i="3"/>
  <c r="R32" i="3"/>
  <c r="J32" i="3"/>
  <c r="K32" i="3" s="1"/>
  <c r="AC31" i="3"/>
  <c r="AE31" i="3" s="1"/>
  <c r="AD31" i="3" s="1"/>
  <c r="Z31" i="3"/>
  <c r="S31" i="3"/>
  <c r="R31" i="3"/>
  <c r="T31" i="3" s="1"/>
  <c r="P31" i="3"/>
  <c r="J31" i="3"/>
  <c r="O31" i="3" s="1"/>
  <c r="AC30" i="3"/>
  <c r="AE30" i="3" s="1"/>
  <c r="AD30" i="3" s="1"/>
  <c r="Z30" i="3"/>
  <c r="S30" i="3"/>
  <c r="T30" i="3" s="1"/>
  <c r="R30" i="3"/>
  <c r="J30" i="3"/>
  <c r="AC29" i="3"/>
  <c r="AE29" i="3" s="1"/>
  <c r="AD29" i="3" s="1"/>
  <c r="Z29" i="3"/>
  <c r="S29" i="3"/>
  <c r="T29" i="3" s="1"/>
  <c r="U29" i="3" s="1"/>
  <c r="W29" i="3" s="1"/>
  <c r="R29" i="3"/>
  <c r="P29" i="3"/>
  <c r="O29" i="3"/>
  <c r="K29" i="3"/>
  <c r="J29" i="3"/>
  <c r="AC28" i="3"/>
  <c r="AE28" i="3" s="1"/>
  <c r="AD28" i="3" s="1"/>
  <c r="Z28" i="3"/>
  <c r="S28" i="3"/>
  <c r="R28" i="3"/>
  <c r="T28" i="3" s="1"/>
  <c r="J28" i="3"/>
  <c r="K28" i="3" s="1"/>
  <c r="AE27" i="3"/>
  <c r="AD27" i="3" s="1"/>
  <c r="AC27" i="3"/>
  <c r="Z27" i="3"/>
  <c r="S27" i="3"/>
  <c r="R27" i="3"/>
  <c r="J27" i="3"/>
  <c r="O27" i="3" s="1"/>
  <c r="AC26" i="3"/>
  <c r="AE26" i="3" s="1"/>
  <c r="AD26" i="3" s="1"/>
  <c r="Z26" i="3"/>
  <c r="S26" i="3"/>
  <c r="R26" i="3"/>
  <c r="J26" i="3"/>
  <c r="AC25" i="3"/>
  <c r="AE25" i="3" s="1"/>
  <c r="AD25" i="3" s="1"/>
  <c r="Z25" i="3"/>
  <c r="S25" i="3"/>
  <c r="R25" i="3"/>
  <c r="J25" i="3"/>
  <c r="P25" i="3" s="1"/>
  <c r="AE24" i="3"/>
  <c r="AD24" i="3" s="1"/>
  <c r="AC24" i="3"/>
  <c r="Z24" i="3"/>
  <c r="S24" i="3"/>
  <c r="R24" i="3"/>
  <c r="J24" i="3"/>
  <c r="K24" i="3" s="1"/>
  <c r="AC23" i="3"/>
  <c r="AE23" i="3" s="1"/>
  <c r="AD23" i="3" s="1"/>
  <c r="Z23" i="3"/>
  <c r="S23" i="3"/>
  <c r="R23" i="3"/>
  <c r="T23" i="3" s="1"/>
  <c r="P23" i="3"/>
  <c r="J23" i="3"/>
  <c r="O23" i="3" s="1"/>
  <c r="AC22" i="3"/>
  <c r="AE22" i="3" s="1"/>
  <c r="AD22" i="3" s="1"/>
  <c r="Z22" i="3"/>
  <c r="S22" i="3"/>
  <c r="T22" i="3" s="1"/>
  <c r="R22" i="3"/>
  <c r="J22" i="3"/>
  <c r="AC21" i="3"/>
  <c r="AE21" i="3" s="1"/>
  <c r="AD21" i="3" s="1"/>
  <c r="Z21" i="3"/>
  <c r="S21" i="3"/>
  <c r="T21" i="3" s="1"/>
  <c r="U21" i="3" s="1"/>
  <c r="W21" i="3" s="1"/>
  <c r="R21" i="3"/>
  <c r="P21" i="3"/>
  <c r="O21" i="3"/>
  <c r="K21" i="3"/>
  <c r="J21" i="3"/>
  <c r="AC20" i="3"/>
  <c r="AE20" i="3" s="1"/>
  <c r="AD20" i="3" s="1"/>
  <c r="Z20" i="3"/>
  <c r="S20" i="3"/>
  <c r="R20" i="3"/>
  <c r="T20" i="3" s="1"/>
  <c r="J20" i="3"/>
  <c r="K20" i="3" s="1"/>
  <c r="AE19" i="3"/>
  <c r="AD19" i="3" s="1"/>
  <c r="AC19" i="3"/>
  <c r="Z19" i="3"/>
  <c r="S19" i="3"/>
  <c r="R19" i="3"/>
  <c r="J19" i="3"/>
  <c r="O19" i="3" s="1"/>
  <c r="AC18" i="3"/>
  <c r="AE18" i="3" s="1"/>
  <c r="AD18" i="3" s="1"/>
  <c r="Z18" i="3"/>
  <c r="S18" i="3"/>
  <c r="R18" i="3"/>
  <c r="J18" i="3"/>
  <c r="AC17" i="3"/>
  <c r="AE17" i="3" s="1"/>
  <c r="AD17" i="3" s="1"/>
  <c r="Z17" i="3"/>
  <c r="S17" i="3"/>
  <c r="R17" i="3"/>
  <c r="J17" i="3"/>
  <c r="P17" i="3" s="1"/>
  <c r="AE16" i="3"/>
  <c r="AD16" i="3" s="1"/>
  <c r="AC16" i="3"/>
  <c r="Z16" i="3"/>
  <c r="S16" i="3"/>
  <c r="R16" i="3"/>
  <c r="J16" i="3"/>
  <c r="K16" i="3" s="1"/>
  <c r="AC15" i="3"/>
  <c r="AE15" i="3" s="1"/>
  <c r="AD15" i="3" s="1"/>
  <c r="Z15" i="3"/>
  <c r="S15" i="3"/>
  <c r="R15" i="3"/>
  <c r="T15" i="3" s="1"/>
  <c r="P15" i="3"/>
  <c r="J15" i="3"/>
  <c r="O15" i="3" s="1"/>
  <c r="AC14" i="3"/>
  <c r="AE14" i="3" s="1"/>
  <c r="AD14" i="3" s="1"/>
  <c r="Z14" i="3"/>
  <c r="S14" i="3"/>
  <c r="T14" i="3" s="1"/>
  <c r="R14" i="3"/>
  <c r="J14" i="3"/>
  <c r="AC13" i="3"/>
  <c r="AE13" i="3" s="1"/>
  <c r="AD13" i="3" s="1"/>
  <c r="Z13" i="3"/>
  <c r="S13" i="3"/>
  <c r="T13" i="3" s="1"/>
  <c r="U13" i="3" s="1"/>
  <c r="W13" i="3" s="1"/>
  <c r="R13" i="3"/>
  <c r="P13" i="3"/>
  <c r="O13" i="3"/>
  <c r="K13" i="3"/>
  <c r="J13" i="3"/>
  <c r="AC12" i="3"/>
  <c r="AE12" i="3" s="1"/>
  <c r="AD12" i="3" s="1"/>
  <c r="Z12" i="3"/>
  <c r="S12" i="3"/>
  <c r="R12" i="3"/>
  <c r="T12" i="3" s="1"/>
  <c r="J12" i="3"/>
  <c r="K12" i="3" s="1"/>
  <c r="AE11" i="3"/>
  <c r="AD11" i="3" s="1"/>
  <c r="AC11" i="3"/>
  <c r="Z11" i="3"/>
  <c r="S11" i="3"/>
  <c r="R11" i="3"/>
  <c r="J11" i="3"/>
  <c r="O11" i="3" s="1"/>
  <c r="AC10" i="3"/>
  <c r="AE10" i="3" s="1"/>
  <c r="AD10" i="3" s="1"/>
  <c r="Z10" i="3"/>
  <c r="S10" i="3"/>
  <c r="R10" i="3"/>
  <c r="J10" i="3"/>
  <c r="K10" i="3" s="1"/>
  <c r="AC9" i="3"/>
  <c r="AE9" i="3" s="1"/>
  <c r="AD9" i="3" s="1"/>
  <c r="Z9" i="3"/>
  <c r="S9" i="3"/>
  <c r="R9" i="3"/>
  <c r="J9" i="3"/>
  <c r="P9" i="3" s="1"/>
  <c r="AE8" i="3"/>
  <c r="AD8" i="3" s="1"/>
  <c r="AC8" i="3"/>
  <c r="Z8" i="3"/>
  <c r="S8" i="3"/>
  <c r="R8" i="3"/>
  <c r="J8" i="3"/>
  <c r="K8" i="3" s="1"/>
  <c r="AC7" i="3"/>
  <c r="AE7" i="3" s="1"/>
  <c r="AD7" i="3" s="1"/>
  <c r="Z7" i="3"/>
  <c r="S7" i="3"/>
  <c r="R7" i="3"/>
  <c r="T7" i="3" s="1"/>
  <c r="P7" i="3"/>
  <c r="J7" i="3"/>
  <c r="O7" i="3" s="1"/>
  <c r="AC6" i="3"/>
  <c r="AE6" i="3" s="1"/>
  <c r="AD6" i="3" s="1"/>
  <c r="Z6" i="3"/>
  <c r="S6" i="3"/>
  <c r="T6" i="3" s="1"/>
  <c r="R6" i="3"/>
  <c r="J6" i="3"/>
  <c r="AC5" i="3"/>
  <c r="AE5" i="3" s="1"/>
  <c r="AD5" i="3" s="1"/>
  <c r="Z5" i="3"/>
  <c r="S5" i="3"/>
  <c r="T5" i="3" s="1"/>
  <c r="U5" i="3" s="1"/>
  <c r="W5" i="3" s="1"/>
  <c r="R5" i="3"/>
  <c r="P5" i="3"/>
  <c r="O5" i="3"/>
  <c r="K5" i="3"/>
  <c r="J5" i="3"/>
  <c r="AC4" i="3"/>
  <c r="AE4" i="3" s="1"/>
  <c r="AD4" i="3" s="1"/>
  <c r="Z4" i="3"/>
  <c r="S4" i="3"/>
  <c r="R4" i="3"/>
  <c r="T4" i="3" s="1"/>
  <c r="J4" i="3"/>
  <c r="K4" i="3" s="1"/>
  <c r="AE3" i="3"/>
  <c r="AC3" i="3"/>
  <c r="Z3" i="3"/>
  <c r="S3" i="3"/>
  <c r="R3" i="3"/>
  <c r="J3" i="3"/>
  <c r="P3" i="3" s="1"/>
  <c r="K9" i="3" l="1"/>
  <c r="K17" i="3"/>
  <c r="K25" i="3"/>
  <c r="T25" i="3"/>
  <c r="U25" i="3" s="1"/>
  <c r="W25" i="3" s="1"/>
  <c r="K33" i="3"/>
  <c r="T33" i="3"/>
  <c r="U33" i="3" s="1"/>
  <c r="W33" i="3" s="1"/>
  <c r="O9" i="3"/>
  <c r="T10" i="3"/>
  <c r="U10" i="3" s="1"/>
  <c r="W10" i="3" s="1"/>
  <c r="P11" i="3"/>
  <c r="O17" i="3"/>
  <c r="T18" i="3"/>
  <c r="U18" i="3" s="1"/>
  <c r="W18" i="3" s="1"/>
  <c r="P19" i="3"/>
  <c r="O25" i="3"/>
  <c r="T26" i="3"/>
  <c r="U26" i="3" s="1"/>
  <c r="W26" i="3" s="1"/>
  <c r="P27" i="3"/>
  <c r="O33" i="3"/>
  <c r="T34" i="3"/>
  <c r="P35" i="3"/>
  <c r="K37" i="3"/>
  <c r="T37" i="3"/>
  <c r="U37" i="3" s="1"/>
  <c r="W37" i="3" s="1"/>
  <c r="Z40" i="3"/>
  <c r="T9" i="3"/>
  <c r="U9" i="3" s="1"/>
  <c r="W9" i="3" s="1"/>
  <c r="T17" i="3"/>
  <c r="U17" i="3" s="1"/>
  <c r="W17" i="3" s="1"/>
  <c r="T3" i="3"/>
  <c r="T8" i="3"/>
  <c r="T11" i="3"/>
  <c r="U11" i="3" s="1"/>
  <c r="W11" i="3" s="1"/>
  <c r="T16" i="3"/>
  <c r="T19" i="3"/>
  <c r="U19" i="3" s="1"/>
  <c r="W19" i="3" s="1"/>
  <c r="T24" i="3"/>
  <c r="T27" i="3"/>
  <c r="U27" i="3" s="1"/>
  <c r="W27" i="3" s="1"/>
  <c r="T32" i="3"/>
  <c r="T35" i="3"/>
  <c r="U35" i="3" s="1"/>
  <c r="W35" i="3" s="1"/>
  <c r="U6" i="3"/>
  <c r="W6" i="3" s="1"/>
  <c r="P6" i="3"/>
  <c r="U14" i="3"/>
  <c r="W14" i="3" s="1"/>
  <c r="P14" i="3"/>
  <c r="P18" i="3"/>
  <c r="U22" i="3"/>
  <c r="W22" i="3" s="1"/>
  <c r="P22" i="3"/>
  <c r="P26" i="3"/>
  <c r="K14" i="3"/>
  <c r="K22" i="3"/>
  <c r="K26" i="3"/>
  <c r="AC40" i="3"/>
  <c r="O12" i="3"/>
  <c r="AE40" i="3"/>
  <c r="P10" i="3"/>
  <c r="U30" i="3"/>
  <c r="W30" i="3" s="1"/>
  <c r="P30" i="3"/>
  <c r="U34" i="3"/>
  <c r="W34" i="3" s="1"/>
  <c r="P34" i="3"/>
  <c r="K6" i="3"/>
  <c r="K18" i="3"/>
  <c r="K30" i="3"/>
  <c r="P38" i="3"/>
  <c r="O38" i="3"/>
  <c r="O39" i="3"/>
  <c r="K39" i="3"/>
  <c r="J40" i="3"/>
  <c r="O3" i="3"/>
  <c r="O4" i="3"/>
  <c r="O6" i="3"/>
  <c r="O8" i="3"/>
  <c r="O10" i="3"/>
  <c r="O14" i="3"/>
  <c r="O16" i="3"/>
  <c r="O18" i="3"/>
  <c r="O20" i="3"/>
  <c r="O22" i="3"/>
  <c r="O24" i="3"/>
  <c r="O26" i="3"/>
  <c r="O28" i="3"/>
  <c r="O30" i="3"/>
  <c r="O32" i="3"/>
  <c r="O34" i="3"/>
  <c r="O36" i="3"/>
  <c r="K38" i="3"/>
  <c r="P39" i="3"/>
  <c r="K3" i="3"/>
  <c r="U3" i="3"/>
  <c r="AD3" i="3"/>
  <c r="P4" i="3"/>
  <c r="U4" i="3"/>
  <c r="W4" i="3" s="1"/>
  <c r="K7" i="3"/>
  <c r="U7" i="3"/>
  <c r="W7" i="3" s="1"/>
  <c r="P8" i="3"/>
  <c r="U8" i="3"/>
  <c r="W8" i="3" s="1"/>
  <c r="K11" i="3"/>
  <c r="P12" i="3"/>
  <c r="U12" i="3"/>
  <c r="W12" i="3" s="1"/>
  <c r="K15" i="3"/>
  <c r="U15" i="3"/>
  <c r="W15" i="3" s="1"/>
  <c r="P16" i="3"/>
  <c r="U16" i="3"/>
  <c r="W16" i="3" s="1"/>
  <c r="K19" i="3"/>
  <c r="P20" i="3"/>
  <c r="U20" i="3"/>
  <c r="W20" i="3" s="1"/>
  <c r="K23" i="3"/>
  <c r="U23" i="3"/>
  <c r="W23" i="3" s="1"/>
  <c r="P24" i="3"/>
  <c r="U24" i="3"/>
  <c r="W24" i="3" s="1"/>
  <c r="K27" i="3"/>
  <c r="P28" i="3"/>
  <c r="U28" i="3"/>
  <c r="W28" i="3" s="1"/>
  <c r="K31" i="3"/>
  <c r="U31" i="3"/>
  <c r="W31" i="3" s="1"/>
  <c r="P32" i="3"/>
  <c r="U32" i="3"/>
  <c r="W32" i="3" s="1"/>
  <c r="K35" i="3"/>
  <c r="P36" i="3"/>
  <c r="U36" i="3"/>
  <c r="W36" i="3" s="1"/>
  <c r="T38" i="3"/>
  <c r="U38" i="3" s="1"/>
  <c r="W38" i="3" s="1"/>
  <c r="P40" i="3" l="1"/>
  <c r="K40" i="3"/>
  <c r="U40" i="3"/>
  <c r="W3" i="3"/>
  <c r="W40" i="3" s="1"/>
  <c r="O40" i="3"/>
  <c r="I39" i="2" l="1"/>
  <c r="AC38" i="2"/>
  <c r="AE38" i="2" s="1"/>
  <c r="AD38" i="2" s="1"/>
  <c r="Z38" i="2"/>
  <c r="S38" i="2"/>
  <c r="R38" i="2"/>
  <c r="T38" i="2" s="1"/>
  <c r="P38" i="2"/>
  <c r="J38" i="2"/>
  <c r="O38" i="2" s="1"/>
  <c r="AC37" i="2"/>
  <c r="AE37" i="2" s="1"/>
  <c r="AD37" i="2" s="1"/>
  <c r="Z37" i="2"/>
  <c r="S37" i="2"/>
  <c r="R37" i="2"/>
  <c r="T37" i="2" s="1"/>
  <c r="J37" i="2"/>
  <c r="AC36" i="2"/>
  <c r="AE36" i="2" s="1"/>
  <c r="AD36" i="2" s="1"/>
  <c r="Z36" i="2"/>
  <c r="S36" i="2"/>
  <c r="R36" i="2"/>
  <c r="P36" i="2"/>
  <c r="J36" i="2"/>
  <c r="O36" i="2" s="1"/>
  <c r="AC35" i="2"/>
  <c r="AE35" i="2" s="1"/>
  <c r="AD35" i="2" s="1"/>
  <c r="Z35" i="2"/>
  <c r="S35" i="2"/>
  <c r="R35" i="2"/>
  <c r="T35" i="2" s="1"/>
  <c r="U35" i="2" s="1"/>
  <c r="W35" i="2" s="1"/>
  <c r="J35" i="2"/>
  <c r="K35" i="2" s="1"/>
  <c r="AE34" i="2"/>
  <c r="AD34" i="2" s="1"/>
  <c r="AC34" i="2"/>
  <c r="Z34" i="2"/>
  <c r="S34" i="2"/>
  <c r="R34" i="2"/>
  <c r="T34" i="2" s="1"/>
  <c r="J34" i="2"/>
  <c r="O34" i="2" s="1"/>
  <c r="AC33" i="2"/>
  <c r="AE33" i="2" s="1"/>
  <c r="AD33" i="2" s="1"/>
  <c r="Z33" i="2"/>
  <c r="S33" i="2"/>
  <c r="R33" i="2"/>
  <c r="J33" i="2"/>
  <c r="AC32" i="2"/>
  <c r="AE32" i="2" s="1"/>
  <c r="AD32" i="2" s="1"/>
  <c r="Z32" i="2"/>
  <c r="S32" i="2"/>
  <c r="R32" i="2"/>
  <c r="P32" i="2"/>
  <c r="O32" i="2"/>
  <c r="J32" i="2"/>
  <c r="K32" i="2" s="1"/>
  <c r="AC31" i="2"/>
  <c r="AE31" i="2" s="1"/>
  <c r="AD31" i="2" s="1"/>
  <c r="Z31" i="2"/>
  <c r="S31" i="2"/>
  <c r="R31" i="2"/>
  <c r="T31" i="2" s="1"/>
  <c r="U31" i="2" s="1"/>
  <c r="W31" i="2" s="1"/>
  <c r="P31" i="2"/>
  <c r="J31" i="2"/>
  <c r="K31" i="2" s="1"/>
  <c r="AE30" i="2"/>
  <c r="AD30" i="2"/>
  <c r="AC30" i="2"/>
  <c r="Z30" i="2"/>
  <c r="S30" i="2"/>
  <c r="R30" i="2"/>
  <c r="J30" i="2"/>
  <c r="O30" i="2" s="1"/>
  <c r="AE29" i="2"/>
  <c r="AD29" i="2" s="1"/>
  <c r="AC29" i="2"/>
  <c r="Z29" i="2"/>
  <c r="S29" i="2"/>
  <c r="R29" i="2"/>
  <c r="T29" i="2" s="1"/>
  <c r="J29" i="2"/>
  <c r="AC28" i="2"/>
  <c r="AE28" i="2" s="1"/>
  <c r="AD28" i="2" s="1"/>
  <c r="Z28" i="2"/>
  <c r="S28" i="2"/>
  <c r="T28" i="2" s="1"/>
  <c r="U28" i="2" s="1"/>
  <c r="W28" i="2" s="1"/>
  <c r="R28" i="2"/>
  <c r="P28" i="2"/>
  <c r="O28" i="2"/>
  <c r="K28" i="2"/>
  <c r="J28" i="2"/>
  <c r="AC27" i="2"/>
  <c r="AE27" i="2" s="1"/>
  <c r="AD27" i="2" s="1"/>
  <c r="Z27" i="2"/>
  <c r="T27" i="2"/>
  <c r="U27" i="2" s="1"/>
  <c r="W27" i="2" s="1"/>
  <c r="S27" i="2"/>
  <c r="R27" i="2"/>
  <c r="P27" i="2"/>
  <c r="O27" i="2"/>
  <c r="J27" i="2"/>
  <c r="K27" i="2" s="1"/>
  <c r="AC26" i="2"/>
  <c r="AE26" i="2" s="1"/>
  <c r="AD26" i="2" s="1"/>
  <c r="Z26" i="2"/>
  <c r="S26" i="2"/>
  <c r="R26" i="2"/>
  <c r="T26" i="2" s="1"/>
  <c r="J26" i="2"/>
  <c r="O26" i="2" s="1"/>
  <c r="AC25" i="2"/>
  <c r="AE25" i="2" s="1"/>
  <c r="AD25" i="2" s="1"/>
  <c r="Z25" i="2"/>
  <c r="S25" i="2"/>
  <c r="R25" i="2"/>
  <c r="T25" i="2" s="1"/>
  <c r="J25" i="2"/>
  <c r="AC24" i="2"/>
  <c r="AE24" i="2" s="1"/>
  <c r="AD24" i="2" s="1"/>
  <c r="Z24" i="2"/>
  <c r="S24" i="2"/>
  <c r="R24" i="2"/>
  <c r="J24" i="2"/>
  <c r="P24" i="2" s="1"/>
  <c r="AC23" i="2"/>
  <c r="AE23" i="2" s="1"/>
  <c r="AD23" i="2" s="1"/>
  <c r="Z23" i="2"/>
  <c r="S23" i="2"/>
  <c r="T23" i="2" s="1"/>
  <c r="U23" i="2" s="1"/>
  <c r="W23" i="2" s="1"/>
  <c r="R23" i="2"/>
  <c r="J23" i="2"/>
  <c r="K23" i="2" s="1"/>
  <c r="AC22" i="2"/>
  <c r="AE22" i="2" s="1"/>
  <c r="AD22" i="2" s="1"/>
  <c r="Z22" i="2"/>
  <c r="S22" i="2"/>
  <c r="R22" i="2"/>
  <c r="T22" i="2" s="1"/>
  <c r="P22" i="2"/>
  <c r="J22" i="2"/>
  <c r="O22" i="2" s="1"/>
  <c r="AC21" i="2"/>
  <c r="AE21" i="2" s="1"/>
  <c r="AD21" i="2" s="1"/>
  <c r="Z21" i="2"/>
  <c r="S21" i="2"/>
  <c r="R21" i="2"/>
  <c r="T21" i="2" s="1"/>
  <c r="J21" i="2"/>
  <c r="AC20" i="2"/>
  <c r="AE20" i="2" s="1"/>
  <c r="AD20" i="2" s="1"/>
  <c r="Z20" i="2"/>
  <c r="S20" i="2"/>
  <c r="R20" i="2"/>
  <c r="P20" i="2"/>
  <c r="J20" i="2"/>
  <c r="O20" i="2" s="1"/>
  <c r="AC19" i="2"/>
  <c r="AE19" i="2" s="1"/>
  <c r="AD19" i="2" s="1"/>
  <c r="Z19" i="2"/>
  <c r="S19" i="2"/>
  <c r="R19" i="2"/>
  <c r="T19" i="2" s="1"/>
  <c r="U19" i="2" s="1"/>
  <c r="W19" i="2" s="1"/>
  <c r="J19" i="2"/>
  <c r="K19" i="2" s="1"/>
  <c r="AE18" i="2"/>
  <c r="AD18" i="2" s="1"/>
  <c r="AC18" i="2"/>
  <c r="Z18" i="2"/>
  <c r="S18" i="2"/>
  <c r="R18" i="2"/>
  <c r="T18" i="2" s="1"/>
  <c r="J18" i="2"/>
  <c r="AC17" i="2"/>
  <c r="AE17" i="2" s="1"/>
  <c r="AD17" i="2" s="1"/>
  <c r="Z17" i="2"/>
  <c r="S17" i="2"/>
  <c r="R17" i="2"/>
  <c r="T17" i="2" s="1"/>
  <c r="J17" i="2"/>
  <c r="AC16" i="2"/>
  <c r="AE16" i="2" s="1"/>
  <c r="AD16" i="2" s="1"/>
  <c r="Z16" i="2"/>
  <c r="S16" i="2"/>
  <c r="R16" i="2"/>
  <c r="P16" i="2"/>
  <c r="J16" i="2"/>
  <c r="O16" i="2" s="1"/>
  <c r="AC15" i="2"/>
  <c r="AE15" i="2" s="1"/>
  <c r="AD15" i="2" s="1"/>
  <c r="Z15" i="2"/>
  <c r="S15" i="2"/>
  <c r="R15" i="2"/>
  <c r="T15" i="2" s="1"/>
  <c r="U15" i="2" s="1"/>
  <c r="W15" i="2" s="1"/>
  <c r="J15" i="2"/>
  <c r="K15" i="2" s="1"/>
  <c r="AE14" i="2"/>
  <c r="AD14" i="2" s="1"/>
  <c r="AC14" i="2"/>
  <c r="Z14" i="2"/>
  <c r="S14" i="2"/>
  <c r="R14" i="2"/>
  <c r="T14" i="2" s="1"/>
  <c r="J14" i="2"/>
  <c r="P14" i="2" s="1"/>
  <c r="AC13" i="2"/>
  <c r="AE13" i="2" s="1"/>
  <c r="AD13" i="2" s="1"/>
  <c r="Z13" i="2"/>
  <c r="S13" i="2"/>
  <c r="R13" i="2"/>
  <c r="T13" i="2" s="1"/>
  <c r="K13" i="2"/>
  <c r="J13" i="2"/>
  <c r="AC12" i="2"/>
  <c r="AE12" i="2" s="1"/>
  <c r="AD12" i="2" s="1"/>
  <c r="Z12" i="2"/>
  <c r="T12" i="2"/>
  <c r="U12" i="2" s="1"/>
  <c r="W12" i="2" s="1"/>
  <c r="S12" i="2"/>
  <c r="R12" i="2"/>
  <c r="P12" i="2"/>
  <c r="O12" i="2"/>
  <c r="J12" i="2"/>
  <c r="K12" i="2" s="1"/>
  <c r="AC11" i="2"/>
  <c r="AE11" i="2" s="1"/>
  <c r="AD11" i="2" s="1"/>
  <c r="Z11" i="2"/>
  <c r="S11" i="2"/>
  <c r="R11" i="2"/>
  <c r="T11" i="2" s="1"/>
  <c r="U11" i="2" s="1"/>
  <c r="W11" i="2" s="1"/>
  <c r="P11" i="2"/>
  <c r="J11" i="2"/>
  <c r="K11" i="2" s="1"/>
  <c r="AE10" i="2"/>
  <c r="AD10" i="2"/>
  <c r="AC10" i="2"/>
  <c r="Z10" i="2"/>
  <c r="S10" i="2"/>
  <c r="R10" i="2"/>
  <c r="T10" i="2" s="1"/>
  <c r="J10" i="2"/>
  <c r="AC9" i="2"/>
  <c r="AE9" i="2" s="1"/>
  <c r="AD9" i="2" s="1"/>
  <c r="Z9" i="2"/>
  <c r="S9" i="2"/>
  <c r="R9" i="2"/>
  <c r="T9" i="2" s="1"/>
  <c r="J9" i="2"/>
  <c r="AC8" i="2"/>
  <c r="AE8" i="2" s="1"/>
  <c r="AD8" i="2" s="1"/>
  <c r="Z8" i="2"/>
  <c r="S8" i="2"/>
  <c r="R8" i="2"/>
  <c r="O8" i="2"/>
  <c r="J8" i="2"/>
  <c r="K8" i="2" s="1"/>
  <c r="AC7" i="2"/>
  <c r="AE7" i="2" s="1"/>
  <c r="AD7" i="2" s="1"/>
  <c r="Z7" i="2"/>
  <c r="S7" i="2"/>
  <c r="R7" i="2"/>
  <c r="T7" i="2" s="1"/>
  <c r="U7" i="2" s="1"/>
  <c r="W7" i="2" s="1"/>
  <c r="P7" i="2"/>
  <c r="J7" i="2"/>
  <c r="K7" i="2" s="1"/>
  <c r="AE6" i="2"/>
  <c r="AD6" i="2"/>
  <c r="AC6" i="2"/>
  <c r="Z6" i="2"/>
  <c r="S6" i="2"/>
  <c r="R6" i="2"/>
  <c r="T6" i="2" s="1"/>
  <c r="J6" i="2"/>
  <c r="AC5" i="2"/>
  <c r="AE5" i="2" s="1"/>
  <c r="AD5" i="2" s="1"/>
  <c r="Z5" i="2"/>
  <c r="S5" i="2"/>
  <c r="R5" i="2"/>
  <c r="T5" i="2" s="1"/>
  <c r="J5" i="2"/>
  <c r="AC4" i="2"/>
  <c r="AE4" i="2" s="1"/>
  <c r="AD4" i="2" s="1"/>
  <c r="Z4" i="2"/>
  <c r="S4" i="2"/>
  <c r="R4" i="2"/>
  <c r="O4" i="2"/>
  <c r="K4" i="2"/>
  <c r="J4" i="2"/>
  <c r="AC3" i="2"/>
  <c r="Z3" i="2"/>
  <c r="S3" i="2"/>
  <c r="R3" i="2"/>
  <c r="T3" i="2" s="1"/>
  <c r="U3" i="2" s="1"/>
  <c r="P3" i="2"/>
  <c r="O3" i="2"/>
  <c r="J3" i="2"/>
  <c r="U34" i="2" l="1"/>
  <c r="W34" i="2" s="1"/>
  <c r="O23" i="2"/>
  <c r="K24" i="2"/>
  <c r="T24" i="2"/>
  <c r="U24" i="2" s="1"/>
  <c r="W24" i="2" s="1"/>
  <c r="P34" i="2"/>
  <c r="J39" i="2"/>
  <c r="T4" i="2"/>
  <c r="U4" i="2" s="1"/>
  <c r="W4" i="2" s="1"/>
  <c r="T8" i="2"/>
  <c r="O15" i="2"/>
  <c r="K16" i="2"/>
  <c r="T16" i="2"/>
  <c r="U16" i="2" s="1"/>
  <c r="W16" i="2" s="1"/>
  <c r="O19" i="2"/>
  <c r="K20" i="2"/>
  <c r="T20" i="2"/>
  <c r="U20" i="2" s="1"/>
  <c r="W20" i="2" s="1"/>
  <c r="P23" i="2"/>
  <c r="O24" i="2"/>
  <c r="U26" i="2"/>
  <c r="W26" i="2" s="1"/>
  <c r="P30" i="2"/>
  <c r="O35" i="2"/>
  <c r="K36" i="2"/>
  <c r="T36" i="2"/>
  <c r="U36" i="2" s="1"/>
  <c r="W36" i="2" s="1"/>
  <c r="Z39" i="2"/>
  <c r="O7" i="2"/>
  <c r="O11" i="2"/>
  <c r="P15" i="2"/>
  <c r="P19" i="2"/>
  <c r="U22" i="2"/>
  <c r="W22" i="2" s="1"/>
  <c r="P26" i="2"/>
  <c r="T30" i="2"/>
  <c r="U30" i="2" s="1"/>
  <c r="W30" i="2" s="1"/>
  <c r="O31" i="2"/>
  <c r="T32" i="2"/>
  <c r="U32" i="2" s="1"/>
  <c r="W32" i="2" s="1"/>
  <c r="T33" i="2"/>
  <c r="P35" i="2"/>
  <c r="U38" i="2"/>
  <c r="W38" i="2" s="1"/>
  <c r="W3" i="2"/>
  <c r="AC39" i="2"/>
  <c r="AE3" i="2"/>
  <c r="U17" i="2"/>
  <c r="W17" i="2" s="1"/>
  <c r="P17" i="2"/>
  <c r="O17" i="2"/>
  <c r="O18" i="2"/>
  <c r="K18" i="2"/>
  <c r="U18" i="2"/>
  <c r="W18" i="2" s="1"/>
  <c r="K17" i="2"/>
  <c r="P18" i="2"/>
  <c r="U21" i="2"/>
  <c r="W21" i="2" s="1"/>
  <c r="P21" i="2"/>
  <c r="O21" i="2"/>
  <c r="K21" i="2"/>
  <c r="U25" i="2"/>
  <c r="W25" i="2" s="1"/>
  <c r="P25" i="2"/>
  <c r="K25" i="2"/>
  <c r="O25" i="2"/>
  <c r="U29" i="2"/>
  <c r="W29" i="2" s="1"/>
  <c r="P29" i="2"/>
  <c r="O29" i="2"/>
  <c r="K29" i="2"/>
  <c r="U33" i="2"/>
  <c r="W33" i="2" s="1"/>
  <c r="P33" i="2"/>
  <c r="O33" i="2"/>
  <c r="K33" i="2"/>
  <c r="U37" i="2"/>
  <c r="W37" i="2" s="1"/>
  <c r="P37" i="2"/>
  <c r="O37" i="2"/>
  <c r="K37" i="2"/>
  <c r="U5" i="2"/>
  <c r="W5" i="2" s="1"/>
  <c r="P5" i="2"/>
  <c r="O5" i="2"/>
  <c r="O6" i="2"/>
  <c r="K6" i="2"/>
  <c r="U6" i="2"/>
  <c r="W6" i="2" s="1"/>
  <c r="U8" i="2"/>
  <c r="W8" i="2" s="1"/>
  <c r="U9" i="2"/>
  <c r="W9" i="2" s="1"/>
  <c r="P9" i="2"/>
  <c r="O9" i="2"/>
  <c r="O10" i="2"/>
  <c r="K10" i="2"/>
  <c r="U10" i="2"/>
  <c r="W10" i="2" s="1"/>
  <c r="K5" i="2"/>
  <c r="P6" i="2"/>
  <c r="K9" i="2"/>
  <c r="P10" i="2"/>
  <c r="U13" i="2"/>
  <c r="W13" i="2" s="1"/>
  <c r="P13" i="2"/>
  <c r="O13" i="2"/>
  <c r="O14" i="2"/>
  <c r="K14" i="2"/>
  <c r="U14" i="2"/>
  <c r="W14" i="2" s="1"/>
  <c r="P4" i="2"/>
  <c r="P8" i="2"/>
  <c r="K22" i="2"/>
  <c r="K26" i="2"/>
  <c r="K30" i="2"/>
  <c r="K34" i="2"/>
  <c r="K38" i="2"/>
  <c r="K3" i="2"/>
  <c r="P39" i="2" l="1"/>
  <c r="O39" i="2"/>
  <c r="W39" i="2"/>
  <c r="AE39" i="2"/>
  <c r="AD3" i="2"/>
  <c r="K39" i="2"/>
  <c r="U39" i="2"/>
</calcChain>
</file>

<file path=xl/sharedStrings.xml><?xml version="1.0" encoding="utf-8"?>
<sst xmlns="http://schemas.openxmlformats.org/spreadsheetml/2006/main" count="1771" uniqueCount="962">
  <si>
    <t>Buyers Data</t>
  </si>
  <si>
    <t>Buyer Name</t>
  </si>
  <si>
    <t>trading As</t>
  </si>
  <si>
    <t>Country</t>
  </si>
  <si>
    <t>Currency</t>
  </si>
  <si>
    <t>Port</t>
  </si>
  <si>
    <t>Address</t>
  </si>
  <si>
    <t>Corecomp Pty Ltd</t>
  </si>
  <si>
    <t>T/A G D Watermark</t>
  </si>
  <si>
    <t>13, Tesla Link, Wangara WA 6065</t>
  </si>
  <si>
    <t>Australia</t>
  </si>
  <si>
    <t>USD</t>
  </si>
  <si>
    <t>Fremantle</t>
  </si>
  <si>
    <t>Suppliers Data</t>
  </si>
  <si>
    <t>Code</t>
  </si>
  <si>
    <t>Name</t>
  </si>
  <si>
    <t>GSTIN</t>
  </si>
  <si>
    <t>Place</t>
  </si>
  <si>
    <t>State</t>
  </si>
  <si>
    <t>Oswin</t>
  </si>
  <si>
    <t xml:space="preserve">Oswin Plastic Pvt Ltd </t>
  </si>
  <si>
    <t>26AAACO0802H1ZY</t>
  </si>
  <si>
    <t>Survey No 376/2 (20) (21), Zari Causeway, Kachigam, Nani Daman,</t>
  </si>
  <si>
    <t>Daman</t>
  </si>
  <si>
    <t>Daman and Dadra &amp; Nagar Haveli</t>
  </si>
  <si>
    <t>Velji</t>
  </si>
  <si>
    <t>Velji Dosabhai &amp; Sons Pvt Ltd</t>
  </si>
  <si>
    <t>ALL CARGO TERMINALS LTD, NEXT TO AMEYA CFS, JNPT AREA</t>
  </si>
  <si>
    <t>Village : Khopta</t>
  </si>
  <si>
    <t>Maharashtra</t>
  </si>
  <si>
    <t>hansa</t>
  </si>
  <si>
    <t xml:space="preserve">HANSA PLASTIC INDUSTRIES LLP </t>
  </si>
  <si>
    <t>27AAKFH3234K1Z8</t>
  </si>
  <si>
    <t>UNIT 7 - 10 , B - 10 , PARASNATH INDL COMPLEX, VILLAGE VAL</t>
  </si>
  <si>
    <t>Bhiwandi</t>
  </si>
  <si>
    <t>Transporters</t>
  </si>
  <si>
    <t>Transport Name</t>
  </si>
  <si>
    <t>Transport ID</t>
  </si>
  <si>
    <t>Supplier</t>
  </si>
  <si>
    <t>SUHANI TRANSPORT</t>
  </si>
  <si>
    <t>27AZUPK5958Q1Z0</t>
  </si>
  <si>
    <t>Hansa Plastic Industries LLP</t>
  </si>
  <si>
    <t>Kiran Plastics</t>
  </si>
  <si>
    <t>Kiran</t>
  </si>
  <si>
    <t>27AAEFK9877D1ZX</t>
  </si>
  <si>
    <t>Gala No 5, 1st Floor, Meenakshi Industrial Estate-2, Naik Pada Village, Valiv,</t>
  </si>
  <si>
    <t>Vasai</t>
  </si>
  <si>
    <t>PIN Code</t>
  </si>
  <si>
    <t>OM SHAKTI ROAD CARRIERS</t>
  </si>
  <si>
    <t>24AJSPJ1849D1Z6</t>
  </si>
  <si>
    <t>Oswin Plastic Pvt Ltd, VP Plastic</t>
  </si>
  <si>
    <t>VPPlastics</t>
  </si>
  <si>
    <t>VP Plastics</t>
  </si>
  <si>
    <t>26AACPS9654C1ZJ</t>
  </si>
  <si>
    <t>5 - 1 , UNITY INDUSTRIAL COMPLEX, VAPI CHALA, DAMAN ROAD, KACHIGAON, NANI DAMAN</t>
  </si>
  <si>
    <t>GD CODE</t>
  </si>
  <si>
    <t>GL CODE</t>
  </si>
  <si>
    <t xml:space="preserve">SIZE </t>
  </si>
  <si>
    <t xml:space="preserve">PACKING </t>
  </si>
  <si>
    <t>DESCRIPTION</t>
  </si>
  <si>
    <t>BAR CODES</t>
  </si>
  <si>
    <t>HSN CODES</t>
  </si>
  <si>
    <t>QUANTITY</t>
  </si>
  <si>
    <t>VOLUMN</t>
  </si>
  <si>
    <t>Nett wt/
Box</t>
  </si>
  <si>
    <t>Gross Wt./
Box</t>
  </si>
  <si>
    <t>Total Nett
KGS</t>
  </si>
  <si>
    <t>Total Gross
Kgs</t>
  </si>
  <si>
    <t>Per Box</t>
  </si>
  <si>
    <t>TYPE</t>
  </si>
  <si>
    <t>SHEETS</t>
  </si>
  <si>
    <t>PURCHASE VALUE</t>
  </si>
  <si>
    <t>FOB/100 PCS US$</t>
  </si>
  <si>
    <t>RBI REFERENCE</t>
  </si>
  <si>
    <t>MM</t>
  </si>
  <si>
    <t>UNIT</t>
  </si>
  <si>
    <t>BOX</t>
  </si>
  <si>
    <t>PCS</t>
  </si>
  <si>
    <t>TOTAL</t>
  </si>
  <si>
    <t>BG</t>
  </si>
  <si>
    <t>PC</t>
  </si>
  <si>
    <t>TTL</t>
  </si>
  <si>
    <t>Stickers</t>
  </si>
  <si>
    <t>REQD</t>
  </si>
  <si>
    <t>RATE @ Rs.</t>
  </si>
  <si>
    <t>GRC15</t>
  </si>
  <si>
    <t>8109-05</t>
  </si>
  <si>
    <t>15MM CAP</t>
  </si>
  <si>
    <t>GRC20</t>
  </si>
  <si>
    <t>20MM CAP</t>
  </si>
  <si>
    <t>GRC25</t>
  </si>
  <si>
    <t>25MM CAP</t>
  </si>
  <si>
    <t>GRC32</t>
  </si>
  <si>
    <t>32MM CAP</t>
  </si>
  <si>
    <t>GRC50</t>
  </si>
  <si>
    <t>50MM CAP</t>
  </si>
  <si>
    <t>GRMFE15</t>
  </si>
  <si>
    <t>15MM M/F ELBOW</t>
  </si>
  <si>
    <t>GRMFE20</t>
  </si>
  <si>
    <t>20MM M/F ELBOW</t>
  </si>
  <si>
    <t>GRMFE25</t>
  </si>
  <si>
    <t>25MM M/F ELBOW</t>
  </si>
  <si>
    <t>GRMFE32</t>
  </si>
  <si>
    <t>32MM M/F ELBOW</t>
  </si>
  <si>
    <t>GRMFE40</t>
  </si>
  <si>
    <t>40MM M/F ELBOW</t>
  </si>
  <si>
    <t>GRMFE50</t>
  </si>
  <si>
    <t>50MM M/F ELBOW</t>
  </si>
  <si>
    <t>GRP15</t>
  </si>
  <si>
    <t>15MM PLUG</t>
  </si>
  <si>
    <t>GRP20</t>
  </si>
  <si>
    <t>20MM PLUG</t>
  </si>
  <si>
    <t>GRP25</t>
  </si>
  <si>
    <t>25MM PLUG</t>
  </si>
  <si>
    <t>GRP32</t>
  </si>
  <si>
    <t>32MM PLUG</t>
  </si>
  <si>
    <t>GRP40</t>
  </si>
  <si>
    <t>40MM PLUG</t>
  </si>
  <si>
    <t>GRP50</t>
  </si>
  <si>
    <t>50MM PLUG</t>
  </si>
  <si>
    <t>GRRN2015</t>
  </si>
  <si>
    <t>20*15</t>
  </si>
  <si>
    <t>20 X 15MM RED. NIPPLE</t>
  </si>
  <si>
    <t>GRRN2515</t>
  </si>
  <si>
    <t>25*15</t>
  </si>
  <si>
    <t>25 X 15MM RED. NIPPLE</t>
  </si>
  <si>
    <t>GRRN2520</t>
  </si>
  <si>
    <t>25*20</t>
  </si>
  <si>
    <t>25 X 20MM RED. NIPPLE</t>
  </si>
  <si>
    <t>GRRS2015</t>
  </si>
  <si>
    <t>20 X 15MM RED. SOCKET</t>
  </si>
  <si>
    <t>GRRS2520</t>
  </si>
  <si>
    <t>25 X 20MM RED. SOCKET</t>
  </si>
  <si>
    <t>GRRS4032</t>
  </si>
  <si>
    <t>40*32</t>
  </si>
  <si>
    <t>40 X 32MM RED. SOCKET</t>
  </si>
  <si>
    <t>GRS15</t>
  </si>
  <si>
    <t>15MM SOCKET</t>
  </si>
  <si>
    <t>GRS20</t>
  </si>
  <si>
    <t>20MM SOCKET</t>
  </si>
  <si>
    <t>GRS25</t>
  </si>
  <si>
    <t>25MM SOCKET</t>
  </si>
  <si>
    <t>GRS32</t>
  </si>
  <si>
    <t>32MM SOCKET</t>
  </si>
  <si>
    <t>GRS40</t>
  </si>
  <si>
    <t>40MM SOCKET</t>
  </si>
  <si>
    <t>GRS50</t>
  </si>
  <si>
    <t>50MM SOCKET</t>
  </si>
  <si>
    <t>GRT15</t>
  </si>
  <si>
    <t>15MM TEE</t>
  </si>
  <si>
    <t>GRT20</t>
  </si>
  <si>
    <t>20MM TEE</t>
  </si>
  <si>
    <t>GRT25</t>
  </si>
  <si>
    <t>25MM TEE</t>
  </si>
  <si>
    <t>GRT32</t>
  </si>
  <si>
    <t>32MM TEE</t>
  </si>
  <si>
    <t>GRT40</t>
  </si>
  <si>
    <t>40MM TEE</t>
  </si>
  <si>
    <t>GRT50</t>
  </si>
  <si>
    <t>50MM TEE</t>
  </si>
  <si>
    <t>PET 5012</t>
  </si>
  <si>
    <t>8109-04</t>
  </si>
  <si>
    <t>PET 5012 Full Thread Riser 
300 X 50MM</t>
  </si>
  <si>
    <t>0000000</t>
  </si>
  <si>
    <t xml:space="preserve">GD CODE </t>
  </si>
  <si>
    <t>SIZE</t>
  </si>
  <si>
    <t>PACKING</t>
  </si>
  <si>
    <t>Bar Codes</t>
  </si>
  <si>
    <t>Quantity</t>
  </si>
  <si>
    <t>Volumn</t>
  </si>
  <si>
    <t>Stickers/Box</t>
  </si>
  <si>
    <t>Lables</t>
  </si>
  <si>
    <t>Sheets</t>
  </si>
  <si>
    <t xml:space="preserve">UNIT </t>
  </si>
  <si>
    <t>Pcs</t>
  </si>
  <si>
    <t>Box</t>
  </si>
  <si>
    <t>Bg/Box</t>
  </si>
  <si>
    <t>P/Box</t>
  </si>
  <si>
    <t>Total</t>
  </si>
  <si>
    <t>Reqd</t>
  </si>
  <si>
    <t>Unit</t>
  </si>
  <si>
    <t>GRC40</t>
  </si>
  <si>
    <t>40MM CAP</t>
  </si>
  <si>
    <t>GRE15</t>
  </si>
  <si>
    <t>15MM F/F ELBOW</t>
  </si>
  <si>
    <t>GRE20</t>
  </si>
  <si>
    <t>20MM F/F ELBOW</t>
  </si>
  <si>
    <t>GRE25</t>
  </si>
  <si>
    <t>25MM F/F ELBOW</t>
  </si>
  <si>
    <t>GRE32</t>
  </si>
  <si>
    <t>32MM F/F ELBOW</t>
  </si>
  <si>
    <t>GRE40</t>
  </si>
  <si>
    <t>40MM F/F ELBOW</t>
  </si>
  <si>
    <t>GRE50</t>
  </si>
  <si>
    <t>50MM F/F ELBOW</t>
  </si>
  <si>
    <t>GRFTF-15</t>
  </si>
  <si>
    <t>15 mm GR F/M TANK FITTING</t>
  </si>
  <si>
    <t>9319696500208</t>
  </si>
  <si>
    <t>GRFTF-20</t>
  </si>
  <si>
    <t>20 mm GR F/M TANK FITTING</t>
  </si>
  <si>
    <t>9319696500307</t>
  </si>
  <si>
    <t>GRFTF-25</t>
  </si>
  <si>
    <t>25 mm GR F/M TANK FITTING</t>
  </si>
  <si>
    <t>9319696500406</t>
  </si>
  <si>
    <t>GRFTF-32</t>
  </si>
  <si>
    <t>32 mm GR F/M TANK FITTING</t>
  </si>
  <si>
    <t>9319696329809</t>
  </si>
  <si>
    <t>GRFTF-40</t>
  </si>
  <si>
    <t>40 mm GR F/M TANK FITTING</t>
  </si>
  <si>
    <t>9319696401970</t>
  </si>
  <si>
    <t>GRFTF-50</t>
  </si>
  <si>
    <t>50 mm GR F/M TANK FITTING</t>
  </si>
  <si>
    <t>9319696501182</t>
  </si>
  <si>
    <t>GRMHT15</t>
  </si>
  <si>
    <t>15MM MALE HOSE TAIL</t>
  </si>
  <si>
    <t>GRMHT20</t>
  </si>
  <si>
    <t>20MM MALE HOSE TAIL</t>
  </si>
  <si>
    <t>GRMHT25</t>
  </si>
  <si>
    <t>25MM MALE HOSE TAIL</t>
  </si>
  <si>
    <t>GRMHT32</t>
  </si>
  <si>
    <t>32MM MALE HOSE TAIL</t>
  </si>
  <si>
    <t>GRMHT40</t>
  </si>
  <si>
    <t>40MM MALE HOSE TAIL</t>
  </si>
  <si>
    <t>GRMHT50</t>
  </si>
  <si>
    <t>50MM MALE HOSE TAIL</t>
  </si>
  <si>
    <t>GRN15</t>
  </si>
  <si>
    <t>15MM NIPPLE</t>
  </si>
  <si>
    <t>GRN20</t>
  </si>
  <si>
    <t>20MM NIPPLE</t>
  </si>
  <si>
    <t>GRN25</t>
  </si>
  <si>
    <t>25MM NIPPLE</t>
  </si>
  <si>
    <t>GRN32</t>
  </si>
  <si>
    <t>32MM NIPPLE</t>
  </si>
  <si>
    <t>GRN40</t>
  </si>
  <si>
    <t>40MM NIPPLE</t>
  </si>
  <si>
    <t>GRN50</t>
  </si>
  <si>
    <t>50MM NIPPLE</t>
  </si>
  <si>
    <t>GRRB2015</t>
  </si>
  <si>
    <t>20 X 15MM RED. BUSH</t>
  </si>
  <si>
    <t>GRRB2515</t>
  </si>
  <si>
    <t>25 X 15MM RED. BUSH</t>
  </si>
  <si>
    <t>GRRB2520</t>
  </si>
  <si>
    <t>25 X 20MM RED. BUSH</t>
  </si>
  <si>
    <t>GRRB3225</t>
  </si>
  <si>
    <t>32*25</t>
  </si>
  <si>
    <t>32 X 25MM RED. BUSH</t>
  </si>
  <si>
    <t>GRRB4020</t>
  </si>
  <si>
    <t>40*20</t>
  </si>
  <si>
    <t>40 X 20MM RED. BUSH</t>
  </si>
  <si>
    <t>GRRB4025</t>
  </si>
  <si>
    <t>40*25</t>
  </si>
  <si>
    <t>40 X 25MM RED. BUSH</t>
  </si>
  <si>
    <t>GRRB4032</t>
  </si>
  <si>
    <t>40 X 32MM RED. BUSH</t>
  </si>
  <si>
    <t>GRRB5032</t>
  </si>
  <si>
    <t>50*32</t>
  </si>
  <si>
    <t>50 X 32MM RED. BUSH</t>
  </si>
  <si>
    <t>GRRB5040</t>
  </si>
  <si>
    <t>50*40</t>
  </si>
  <si>
    <t>50 X 40MM RED. BUSH</t>
  </si>
  <si>
    <t>CODE</t>
  </si>
  <si>
    <t>LENGTH</t>
  </si>
  <si>
    <t>UPS</t>
  </si>
  <si>
    <t>FFC15</t>
  </si>
  <si>
    <t>FFC 15 F/F Couplings 
1/2" (15MM)</t>
  </si>
  <si>
    <t>9319696150137</t>
  </si>
  <si>
    <t>FFC25</t>
  </si>
  <si>
    <t>FFC 25 F/F Couplings
25MM</t>
  </si>
  <si>
    <t>9319696250134</t>
  </si>
  <si>
    <t>PET1512</t>
  </si>
  <si>
    <t>PET 1512 Full Thread Riser 
300 X 15MM</t>
  </si>
  <si>
    <t>9319696151264</t>
  </si>
  <si>
    <t>PET2012</t>
  </si>
  <si>
    <t>PET 2012 Full Thread Riser 
300 X 20MM</t>
  </si>
  <si>
    <t>9319696201266</t>
  </si>
  <si>
    <t>PET2512</t>
  </si>
  <si>
    <t>PET 2512 Full Thread Riser 
300 X 25MM</t>
  </si>
  <si>
    <t>9319696251261</t>
  </si>
  <si>
    <t>PET3212</t>
  </si>
  <si>
    <t>PET 3212 Full Thread Riser 
300 X 32MM</t>
  </si>
  <si>
    <t>PET4012</t>
  </si>
  <si>
    <t>PET 4012 Full Thread Riser 
300 X 40MM</t>
  </si>
  <si>
    <t>PET5012</t>
  </si>
  <si>
    <t>PP1501 / 5</t>
  </si>
  <si>
    <t>PP 1501 P/RISER M X M
25 x 15MM</t>
  </si>
  <si>
    <t>9319696401604</t>
  </si>
  <si>
    <t>PP1504</t>
  </si>
  <si>
    <t>PP 1504 P/RISER M X M
100 x 15MM</t>
  </si>
  <si>
    <t>9319696015047</t>
  </si>
  <si>
    <t>PP1506</t>
  </si>
  <si>
    <t>PP 1506 P/RISER M X M
150 x 15MM</t>
  </si>
  <si>
    <t>9319696015061</t>
  </si>
  <si>
    <t>PP1506PH</t>
  </si>
  <si>
    <t>1/2"</t>
  </si>
  <si>
    <t>90441200 P/RISER M X M
1/2" X 1/2" X 150MM</t>
  </si>
  <si>
    <t>9313146000348</t>
  </si>
  <si>
    <t>MFE15</t>
  </si>
  <si>
    <t>MFE 15 M/F Elbow 
1/2" (15MM)</t>
  </si>
  <si>
    <t>9319696150120</t>
  </si>
  <si>
    <t>MFE20</t>
  </si>
  <si>
    <t>MFE 20 M/F Elbow
20MM</t>
  </si>
  <si>
    <t>9319696200122</t>
  </si>
  <si>
    <t>MFE25</t>
  </si>
  <si>
    <t>MFE 25 M/F Elbow
25MM</t>
  </si>
  <si>
    <t>9319696250127</t>
  </si>
  <si>
    <t>PP1502</t>
  </si>
  <si>
    <t>PP 1502 P/RISER M X M
50 x 15MM</t>
  </si>
  <si>
    <t>9319696015023</t>
  </si>
  <si>
    <t>PP1512</t>
  </si>
  <si>
    <t>PP 1512 P/RISER M X M
300 x 15MM</t>
  </si>
  <si>
    <t>9319696015122</t>
  </si>
  <si>
    <t>PP1512PH</t>
  </si>
  <si>
    <t>90441300 P/RISER M X M 
1/2" X 1/2" X 300MM</t>
  </si>
  <si>
    <t>9313146000355</t>
  </si>
  <si>
    <t>PP2012</t>
  </si>
  <si>
    <t>PP 2012 P/RISER M X M
300 X 20MM</t>
  </si>
  <si>
    <t>9319696020126</t>
  </si>
  <si>
    <t>PP2012PH</t>
  </si>
  <si>
    <t>3/4"</t>
  </si>
  <si>
    <t>90442300 P/RISER M X M
3/4" x 3/4" x 300MM</t>
  </si>
  <si>
    <t>9313146000409</t>
  </si>
  <si>
    <t>PP2512</t>
  </si>
  <si>
    <t>PP 2512 P/RISER M X M
300 X 25MM</t>
  </si>
  <si>
    <t>9319696025121</t>
  </si>
  <si>
    <t>PP2512PH</t>
  </si>
  <si>
    <t>1"</t>
  </si>
  <si>
    <t>90443300 P/RISER M X M
1" x 1" x 300MM</t>
  </si>
  <si>
    <t>9313146000461</t>
  </si>
  <si>
    <t>PPA1512</t>
  </si>
  <si>
    <t>8109-10</t>
  </si>
  <si>
    <t>PPA 1512 ARTIC. P/RISER
300 X 15MM</t>
  </si>
  <si>
    <t>9319696215126</t>
  </si>
  <si>
    <t>PPA2012</t>
  </si>
  <si>
    <t>PPA 2012 ARTIC. P/RISER
300 X 20MM</t>
  </si>
  <si>
    <t>9319696220120</t>
  </si>
  <si>
    <t>PPA2512</t>
  </si>
  <si>
    <t>PPA 2512 ARTIC. P/RISER
300 x 25MM</t>
  </si>
  <si>
    <t>9319696225125</t>
  </si>
  <si>
    <t>CAP15</t>
  </si>
  <si>
    <t>CAP 15 F.I. Cap
15MM</t>
  </si>
  <si>
    <t>9319696150151</t>
  </si>
  <si>
    <t>CUT15</t>
  </si>
  <si>
    <t>CUT 15 Flexi Cut Off Riser
15MM</t>
  </si>
  <si>
    <t>9319696150649</t>
  </si>
  <si>
    <t>CUTMF15</t>
  </si>
  <si>
    <t>CUTMF 15 M/F Cut Off Riser
15MM</t>
  </si>
  <si>
    <t>9319696150144</t>
  </si>
  <si>
    <t>CUTPL15</t>
  </si>
  <si>
    <t>CUTPL 15 Rigid Cut Off Riser
15MM</t>
  </si>
  <si>
    <t>9319696151141</t>
  </si>
  <si>
    <t>FFC20</t>
  </si>
  <si>
    <t>FFC 20 F/F Couplings
20MM</t>
  </si>
  <si>
    <t>9319696200139</t>
  </si>
  <si>
    <t>15MM PP NIPPLE</t>
  </si>
  <si>
    <t>9319696400157</t>
  </si>
  <si>
    <t>20MM PP NIPPLE</t>
  </si>
  <si>
    <t>25MM PP NIPPLE</t>
  </si>
  <si>
    <t>MFA15</t>
  </si>
  <si>
    <t>MFA 15 M/F Adaptors
15MM</t>
  </si>
  <si>
    <t>9319696150106</t>
  </si>
  <si>
    <t>PP1503</t>
  </si>
  <si>
    <t>PP 1503 P/RISER M X M
80 x 15MM</t>
  </si>
  <si>
    <t>9319696015030</t>
  </si>
  <si>
    <t>PP1505</t>
  </si>
  <si>
    <t>PP 1505 P/RISER M X M
125 x 15MM</t>
  </si>
  <si>
    <t>9319696015054</t>
  </si>
  <si>
    <t>PP1506-PH</t>
  </si>
  <si>
    <t>PP1508</t>
  </si>
  <si>
    <t>PP 1508 P/RISER M X M
200 x 15MM</t>
  </si>
  <si>
    <t>9319696015085</t>
  </si>
  <si>
    <t>PP1509</t>
  </si>
  <si>
    <t>PP 1509 P/RISER M X M
225 x 15MM</t>
  </si>
  <si>
    <t>9319696015092</t>
  </si>
  <si>
    <t>PP2002</t>
  </si>
  <si>
    <t>PP 2002 P/RISER M X M
50 X 20MM</t>
  </si>
  <si>
    <t>9319696020027</t>
  </si>
  <si>
    <t>PP2003</t>
  </si>
  <si>
    <t>PP 2003 P/RISER M X M
80 X 20MM</t>
  </si>
  <si>
    <t>9319696020034</t>
  </si>
  <si>
    <t>PP2006</t>
  </si>
  <si>
    <t>PP 2006 P/RISER M X M
150 X 20MM</t>
  </si>
  <si>
    <t>9319696020065</t>
  </si>
  <si>
    <t>PP2006PH</t>
  </si>
  <si>
    <t>90442200 P/RISER M X M
3/4" X 3/4" X 150MM</t>
  </si>
  <si>
    <t>9313146000393</t>
  </si>
  <si>
    <t>PP2008</t>
  </si>
  <si>
    <t>PP 2008 P/RISER M X M
200 X 20MM</t>
  </si>
  <si>
    <t>9319696020089</t>
  </si>
  <si>
    <t>PP2504</t>
  </si>
  <si>
    <t>PP 2504 P/RISER M X M
100 X 25MM</t>
  </si>
  <si>
    <t>9319696025046</t>
  </si>
  <si>
    <t>PP2504PH</t>
  </si>
  <si>
    <t>90443100 P/RISER M X M
1" x 1" x 100 MM</t>
  </si>
  <si>
    <t>9313146357749</t>
  </si>
  <si>
    <t>PP2506</t>
  </si>
  <si>
    <t>PP 2506 P/RISER M X M
150 X 25MM</t>
  </si>
  <si>
    <t>9391696025060</t>
  </si>
  <si>
    <t>PP2506PH</t>
  </si>
  <si>
    <t>90443200 P/RISER M X M
1" x 1" x 150 MM</t>
  </si>
  <si>
    <t>9313146000454</t>
  </si>
  <si>
    <t>90443300 P/RISER M X M
1" x 1" x 300 MM</t>
  </si>
  <si>
    <t>PPA1506</t>
  </si>
  <si>
    <t>PPA 1506 ARTIC. P/RISER 
150 X 15MM</t>
  </si>
  <si>
    <t>9319696215065</t>
  </si>
  <si>
    <t>PPA1508</t>
  </si>
  <si>
    <t>PPA 1508 ARTIC. P/RISER
200 X 15MM</t>
  </si>
  <si>
    <t>9319696215089</t>
  </si>
  <si>
    <t>PPA2008</t>
  </si>
  <si>
    <t>PPA 2008 ARTIC. P/RISER
200 X 20MM</t>
  </si>
  <si>
    <t>9319696220083</t>
  </si>
  <si>
    <t xml:space="preserve">CODE </t>
  </si>
  <si>
    <t>OSWIN CODE</t>
  </si>
  <si>
    <t>HSN CODE</t>
  </si>
  <si>
    <t>Bar Code</t>
  </si>
  <si>
    <t>FOB/PC US$</t>
  </si>
  <si>
    <t xml:space="preserve">15 MM (1/2") </t>
  </si>
  <si>
    <t>MM / IN</t>
  </si>
  <si>
    <t>PER BOX</t>
  </si>
  <si>
    <t>PJ2T15-225</t>
  </si>
  <si>
    <t>PP 1509 P/RISER M X M 
225 X 15MM</t>
  </si>
  <si>
    <t>PP1515</t>
  </si>
  <si>
    <t>PJ2T15-375</t>
  </si>
  <si>
    <t>PP 1515 P/RISER M X M 
375 X 15MM</t>
  </si>
  <si>
    <t>9319696015153</t>
  </si>
  <si>
    <t>PP1518</t>
  </si>
  <si>
    <t>PJ2T15-457</t>
  </si>
  <si>
    <t>PP1518 P/RISER M X M 
457 X 15MM</t>
  </si>
  <si>
    <t>9319696015184</t>
  </si>
  <si>
    <t>PP1518PH</t>
  </si>
  <si>
    <t>90441400 P/RISER M X M
1/2" X 1/2" X 450MM</t>
  </si>
  <si>
    <t>9313146000362</t>
  </si>
  <si>
    <t>PP1524</t>
  </si>
  <si>
    <t>PJ2T15-610</t>
  </si>
  <si>
    <t>PP1524 P/RISER M X M 
610 X 15MM</t>
  </si>
  <si>
    <t>9319696015245</t>
  </si>
  <si>
    <t>PP1524PH</t>
  </si>
  <si>
    <t>90441600 P/RISER M X M
1/2" X 1/2" X 600MM</t>
  </si>
  <si>
    <t>9313146000379</t>
  </si>
  <si>
    <t>PE1530</t>
  </si>
  <si>
    <t>PJ2T15-760</t>
  </si>
  <si>
    <t>PE 1530 P/RISER M X M
760 X 15MM</t>
  </si>
  <si>
    <t>9319696015306</t>
  </si>
  <si>
    <t>PE1536</t>
  </si>
  <si>
    <t>PJ2T15-915</t>
  </si>
  <si>
    <t>PE 1536 P/RISER M X M
915 X 15MM</t>
  </si>
  <si>
    <t>9319696015368</t>
  </si>
  <si>
    <t>PE1536PH</t>
  </si>
  <si>
    <t>90441800 P/RISER M X M
1/2" X 1/2" X 900MM</t>
  </si>
  <si>
    <t>9313146000386</t>
  </si>
  <si>
    <t>PE1548</t>
  </si>
  <si>
    <t>PJ2T15-1220</t>
  </si>
  <si>
    <t>PE 1548 P/RISER M X M
1220 X 15MM</t>
  </si>
  <si>
    <t>9319696015481</t>
  </si>
  <si>
    <t>PE1560</t>
  </si>
  <si>
    <t>PJ2T15-1524</t>
  </si>
  <si>
    <t>PE 1560 P/RISER M X M
1500 X 15MM</t>
  </si>
  <si>
    <t>9319696015603</t>
  </si>
  <si>
    <t>PE1572</t>
  </si>
  <si>
    <t>PJ2T15-1800</t>
  </si>
  <si>
    <t>PE 1572 P/RISER M X M
1800 X 15MM</t>
  </si>
  <si>
    <t>9319696015726</t>
  </si>
  <si>
    <t>PE1583</t>
  </si>
  <si>
    <t>PJ2T15-2100</t>
  </si>
  <si>
    <t>PE 1583 P/RISER M X M
2100 X 15MM</t>
  </si>
  <si>
    <t xml:space="preserve">20MM(3/4") </t>
  </si>
  <si>
    <t>PP2004</t>
  </si>
  <si>
    <t>PJ2T20-100</t>
  </si>
  <si>
    <t>PP 2004 P/RISER M X M
100 X 20MM</t>
  </si>
  <si>
    <t>9319696020041</t>
  </si>
  <si>
    <t>PP2004PH</t>
  </si>
  <si>
    <t>90442100 P/RISER M X M
3/4" X 3/4" X 100MM</t>
  </si>
  <si>
    <t>9313146357701</t>
  </si>
  <si>
    <t>PP2010PH</t>
  </si>
  <si>
    <t>PJ2T20-240</t>
  </si>
  <si>
    <t>90447000 SPACER METER 
3/4" X 3/4" X 240MM</t>
  </si>
  <si>
    <t>9313146199127</t>
  </si>
  <si>
    <t>PE2018</t>
  </si>
  <si>
    <t>PJ2T20-457</t>
  </si>
  <si>
    <t>PE 2018 P/RISER M X M
457 X 20MM</t>
  </si>
  <si>
    <t>9319696020188</t>
  </si>
  <si>
    <t>PE2018PH</t>
  </si>
  <si>
    <t>90442400 P/RISER M X M
3/4" X 3/4" X 450MM</t>
  </si>
  <si>
    <t>9313146000416</t>
  </si>
  <si>
    <t>PE2024</t>
  </si>
  <si>
    <t>PJ2T20-610</t>
  </si>
  <si>
    <t>PE 2024 P/RISER M X M
610 X 20MM</t>
  </si>
  <si>
    <t>9319696020249</t>
  </si>
  <si>
    <t>PE2024PH</t>
  </si>
  <si>
    <t>90442600 P/RISER M X M
3/4" X 3/4" X 600MM</t>
  </si>
  <si>
    <t>9313146000423</t>
  </si>
  <si>
    <t>PE2030</t>
  </si>
  <si>
    <t>PJ2T20-760</t>
  </si>
  <si>
    <t>PE 2030 P/RISER M X M
760 X 20MM</t>
  </si>
  <si>
    <t>9319696020300</t>
  </si>
  <si>
    <t>PE2030PH</t>
  </si>
  <si>
    <t>90442700 P/RISER M X M
3/4" X 3/4" X 750MM</t>
  </si>
  <si>
    <t>9313146000430</t>
  </si>
  <si>
    <t>PE2036</t>
  </si>
  <si>
    <t>PJ2T20-915</t>
  </si>
  <si>
    <t>PE 2036 P/RISER M X M
915 X 20MM</t>
  </si>
  <si>
    <t>9319696020362</t>
  </si>
  <si>
    <t>PE2036PH</t>
  </si>
  <si>
    <t>90442800 P/RISER M X M
3/4" X 3/4" X 900MM</t>
  </si>
  <si>
    <t>9313146000447</t>
  </si>
  <si>
    <t>PE2048</t>
  </si>
  <si>
    <t>PJ2T20-1220</t>
  </si>
  <si>
    <t>PE 2048 P/RISER M X M
1220 X 20MM</t>
  </si>
  <si>
    <t>9319696020485</t>
  </si>
  <si>
    <t>PE2060</t>
  </si>
  <si>
    <t>PJ2T20-1524</t>
  </si>
  <si>
    <t>PE 2060 P/RISER M X M
1500 X 20MM</t>
  </si>
  <si>
    <t>9319696020607</t>
  </si>
  <si>
    <t>PE2072</t>
  </si>
  <si>
    <t>PJ2T20-1800</t>
  </si>
  <si>
    <t>PE 2072 P/RISER M X M
1800 X 20MM</t>
  </si>
  <si>
    <t>9319696020720</t>
  </si>
  <si>
    <t>PE2083</t>
  </si>
  <si>
    <t>PJ2T20-2100</t>
  </si>
  <si>
    <t>PE 2083 P/RISER M X M
2100 X 20MM</t>
  </si>
  <si>
    <t>9319696020836</t>
  </si>
  <si>
    <t>PE2096</t>
  </si>
  <si>
    <t>PJ2T20-2400</t>
  </si>
  <si>
    <t>PE 2096 P/RISER M X M
2400 X 20MM</t>
  </si>
  <si>
    <t>0000000000000</t>
  </si>
  <si>
    <t>25mm(1")</t>
  </si>
  <si>
    <t>PP2508</t>
  </si>
  <si>
    <t>PJ2T25-200</t>
  </si>
  <si>
    <t>PP 2508 P/RISER M X M
200 X 25MM</t>
  </si>
  <si>
    <t>9319696025084</t>
  </si>
  <si>
    <t>PP2511PH</t>
  </si>
  <si>
    <t>PJ2T25-270</t>
  </si>
  <si>
    <t>90448000 SPACER METER 
1" X 1" X 270MM</t>
  </si>
  <si>
    <t>9313146199141</t>
  </si>
  <si>
    <t>PE2515</t>
  </si>
  <si>
    <t>PJ2T25-375</t>
  </si>
  <si>
    <t>PE 2515 P/RISER M X M
375 X 25MM</t>
  </si>
  <si>
    <t>9319696025152</t>
  </si>
  <si>
    <t>PE2518</t>
  </si>
  <si>
    <t>PJ2T25-457</t>
  </si>
  <si>
    <t>PE2518 P/RISER M X M
457 X 25MM</t>
  </si>
  <si>
    <t>9319696025183</t>
  </si>
  <si>
    <t>PE2518PH</t>
  </si>
  <si>
    <t>90443400 P/RISER M X M
1" X 1" X 450MM</t>
  </si>
  <si>
    <t>9313146000478</t>
  </si>
  <si>
    <t>PE2524</t>
  </si>
  <si>
    <t>PJ2T25-610</t>
  </si>
  <si>
    <t>PE 2524 P/RISER M X M
610 X 25MM</t>
  </si>
  <si>
    <t>9319696025244</t>
  </si>
  <si>
    <t>PE2524PH</t>
  </si>
  <si>
    <t>90443600 P/RISER M X M 
1" X 1" X 600MM</t>
  </si>
  <si>
    <t>9313146000485</t>
  </si>
  <si>
    <t>PE2530</t>
  </si>
  <si>
    <t>PJ2T25-760</t>
  </si>
  <si>
    <t>PE 2530 P/RISER M X M
760 X 25MM</t>
  </si>
  <si>
    <t>9319696025305</t>
  </si>
  <si>
    <t>PE2530PH</t>
  </si>
  <si>
    <t>90443700 P/RISER M X M
1" X 1" X 750MM</t>
  </si>
  <si>
    <t>9313146000492</t>
  </si>
  <si>
    <t>PE2536</t>
  </si>
  <si>
    <t>PJ2T25-915</t>
  </si>
  <si>
    <t>PE 2536 P/RISER M X M
915 X 25MM</t>
  </si>
  <si>
    <t>9319696025367</t>
  </si>
  <si>
    <t>PE2536PH</t>
  </si>
  <si>
    <t>90443800 P/RISER M X M
1" X 1" X 900MM</t>
  </si>
  <si>
    <t>9313146000508</t>
  </si>
  <si>
    <t>PE2548</t>
  </si>
  <si>
    <t>PJ2T25-1220</t>
  </si>
  <si>
    <t>PE 2548 P/RISER M X M
1220 X 25MM</t>
  </si>
  <si>
    <t>9319696025480</t>
  </si>
  <si>
    <t>PE2548PH</t>
  </si>
  <si>
    <t>90444000 P/RISER M X M
1" X 1" X 1200MM</t>
  </si>
  <si>
    <t>9313146295706</t>
  </si>
  <si>
    <t>PE2560</t>
  </si>
  <si>
    <t>PJ2T25-1500</t>
  </si>
  <si>
    <t>PE 2560 P/RISER M X M
1500 X 25MM</t>
  </si>
  <si>
    <t>9319696025602</t>
  </si>
  <si>
    <t>PE2565</t>
  </si>
  <si>
    <t>PJ2T25-1650</t>
  </si>
  <si>
    <t>PE 2565  P/RISER M X M
1650 X 25MM</t>
  </si>
  <si>
    <t>9319696025657</t>
  </si>
  <si>
    <t>PE2572</t>
  </si>
  <si>
    <t>PJ2T25-1800</t>
  </si>
  <si>
    <t>PE 2572 P/RISER M X M
1800 X 25MM</t>
  </si>
  <si>
    <t>9319696025725</t>
  </si>
  <si>
    <t>PE2572PH</t>
  </si>
  <si>
    <t>90443900 P/RISER M X M
1" X 1" X 1800MM</t>
  </si>
  <si>
    <t>9313146197444</t>
  </si>
  <si>
    <t>PE2583PH</t>
  </si>
  <si>
    <t>PJ2T25-2100</t>
  </si>
  <si>
    <t>90443000 P/RISER M X M
1" X 1" X 2100MM</t>
  </si>
  <si>
    <t>9313146313318</t>
  </si>
  <si>
    <t>32 MM (1.1/4")</t>
  </si>
  <si>
    <t>PE3204</t>
  </si>
  <si>
    <t>PJ2T32-100</t>
  </si>
  <si>
    <t>PE 3204 P/RISER M X M
100 X 32MM</t>
  </si>
  <si>
    <t>9319696320400</t>
  </si>
  <si>
    <t>PE3206</t>
  </si>
  <si>
    <t>PJ2T32-150</t>
  </si>
  <si>
    <t>PE 3206 P/RISER M X M
150 X 32MM</t>
  </si>
  <si>
    <t>9319696032068</t>
  </si>
  <si>
    <t>PE3206PH</t>
  </si>
  <si>
    <t>1-1/4"</t>
  </si>
  <si>
    <t>90446200 P/RISER M X M
1-1/4" x 1-1/4" x 150MM</t>
  </si>
  <si>
    <t>9313146357763</t>
  </si>
  <si>
    <t>PE3208</t>
  </si>
  <si>
    <t>PJ2T32-200</t>
  </si>
  <si>
    <t>PE 3208 P/RISER M X M
200 X 32MM</t>
  </si>
  <si>
    <t>9319696032082</t>
  </si>
  <si>
    <t>PE3212</t>
  </si>
  <si>
    <t>PJ2T32-300</t>
  </si>
  <si>
    <t>PE 3212 P/RISER M X M
300 X 32MM</t>
  </si>
  <si>
    <t>9319696032129</t>
  </si>
  <si>
    <t>PE3212PH</t>
  </si>
  <si>
    <t>90446300 P/RISER M X M
1-1/4" x 1-1/4" x 300MM</t>
  </si>
  <si>
    <t>9313146357787</t>
  </si>
  <si>
    <t>PE3218</t>
  </si>
  <si>
    <t>PJ2T32-450</t>
  </si>
  <si>
    <t>PE 3218 P/RISER M X M
450 X 32MM</t>
  </si>
  <si>
    <t>9319696032181</t>
  </si>
  <si>
    <t>PE3218PH</t>
  </si>
  <si>
    <t>90446400 P/RISER M X M
1-1/4" x 1-1/4" x 450MM</t>
  </si>
  <si>
    <t>9313146000607</t>
  </si>
  <si>
    <t>PE3224</t>
  </si>
  <si>
    <t>PJ2T32-600</t>
  </si>
  <si>
    <t>PE 3224 P/RISER M X M
600 X 32MM</t>
  </si>
  <si>
    <t>9319696032242</t>
  </si>
  <si>
    <t>PE3224PH</t>
  </si>
  <si>
    <t>90446600 P/RISER M X M
1-1/4" x 1-1/4" x 600MM</t>
  </si>
  <si>
    <t>9313146000614</t>
  </si>
  <si>
    <t>PE3230</t>
  </si>
  <si>
    <t>PJ2T32-750</t>
  </si>
  <si>
    <t>PE 3230 P/RISER M X M
750 X 32MM</t>
  </si>
  <si>
    <t>9319696032303</t>
  </si>
  <si>
    <t>PE3236</t>
  </si>
  <si>
    <t>PJ2T32-900</t>
  </si>
  <si>
    <t>PE 3236 P/RISER M X M
900 X 32MM</t>
  </si>
  <si>
    <t>9319696032365</t>
  </si>
  <si>
    <t>PE3236PH</t>
  </si>
  <si>
    <t>90446700 P/RISER M X M
1-1/4" x 1-1/4" x 900MM</t>
  </si>
  <si>
    <t>9313146359422</t>
  </si>
  <si>
    <t>PE3248</t>
  </si>
  <si>
    <t>PJ2T32-1200</t>
  </si>
  <si>
    <t>PE 3248 P/RISER M X M
1200 X 32MM</t>
  </si>
  <si>
    <t>9319696032488</t>
  </si>
  <si>
    <t>PE3272PH</t>
  </si>
  <si>
    <t>PJ2T32-1800</t>
  </si>
  <si>
    <t>90446800 P/RISER M X M
1-1/4" x 1-1/4" x 1800MM</t>
  </si>
  <si>
    <t>9313146336928</t>
  </si>
  <si>
    <t>40 MM (1.1/2")</t>
  </si>
  <si>
    <t>PE4004</t>
  </si>
  <si>
    <t>PJ2T40-100</t>
  </si>
  <si>
    <t>PE 4004 P/RISER M X M
100 X 40MM</t>
  </si>
  <si>
    <t>9319696400409</t>
  </si>
  <si>
    <t>PE4006</t>
  </si>
  <si>
    <t>PJ2T40-150</t>
  </si>
  <si>
    <t>PE 4006 P/RISER M X M
150 X 40MM</t>
  </si>
  <si>
    <t>9319696040063</t>
  </si>
  <si>
    <t>PE4006PH</t>
  </si>
  <si>
    <t>1-1/2"</t>
  </si>
  <si>
    <t>90447200 P/RISER M X M
1-1/2" x 1-1/2" x 150MM</t>
  </si>
  <si>
    <t>9313146357862</t>
  </si>
  <si>
    <t>PE4008</t>
  </si>
  <si>
    <t xml:space="preserve">PJ2T40-200 </t>
  </si>
  <si>
    <t>PE 4008 P/RISER M X M
200 X 40MM</t>
  </si>
  <si>
    <t>9319696040087</t>
  </si>
  <si>
    <t>PE4012</t>
  </si>
  <si>
    <t>PJ2T40-300</t>
  </si>
  <si>
    <t>PE 4012 P/RISER M X M
300 X 40MM</t>
  </si>
  <si>
    <t>9319696040124</t>
  </si>
  <si>
    <t>PE4012PH</t>
  </si>
  <si>
    <t>90447300 P/RISER M X M
1-1/2" x 1-1/2" x 300MM</t>
  </si>
  <si>
    <t>9313146197475</t>
  </si>
  <si>
    <t>PE4018</t>
  </si>
  <si>
    <t>PJ2T40-450</t>
  </si>
  <si>
    <t>PE 4018 P/RISER M X M
450 X 40MM</t>
  </si>
  <si>
    <t>9319696040186</t>
  </si>
  <si>
    <t>PE4018PH</t>
  </si>
  <si>
    <t>90447400 P/RISER M X M
1-1/2" x 1-1/2" x 450MM</t>
  </si>
  <si>
    <t>9313146197567</t>
  </si>
  <si>
    <t>PE4024</t>
  </si>
  <si>
    <t>PJ2T40-600</t>
  </si>
  <si>
    <t>PE 4024 P/RISER M X M
600 X 40MM</t>
  </si>
  <si>
    <t>9319696040247</t>
  </si>
  <si>
    <t>PE4024PH</t>
  </si>
  <si>
    <t>90447600 P/RISER M X M
1-1/2" x 1-1/2" x 600MM</t>
  </si>
  <si>
    <t>9313146197628</t>
  </si>
  <si>
    <t>PE4030</t>
  </si>
  <si>
    <t>PJ2T40-750</t>
  </si>
  <si>
    <t>PE 4030 P/RISER M X M
750 X 40MM</t>
  </si>
  <si>
    <t>9319696040308</t>
  </si>
  <si>
    <t>PE4036</t>
  </si>
  <si>
    <t>PJ2T40-900</t>
  </si>
  <si>
    <t>PE 4036 P/RISER M X M
900 X 40MM</t>
  </si>
  <si>
    <t>9319696040360</t>
  </si>
  <si>
    <t>PE4036PH</t>
  </si>
  <si>
    <t>90447700 P/RISER M X M
1-1/2" x 1-1/2" x 900MM</t>
  </si>
  <si>
    <t>9313146197659</t>
  </si>
  <si>
    <t>PE4048</t>
  </si>
  <si>
    <t>PJ2T40-1200</t>
  </si>
  <si>
    <t>PE 4048 P/RISER M X M
1200 X 40MM</t>
  </si>
  <si>
    <t>9319696040483</t>
  </si>
  <si>
    <t>PE4072PH</t>
  </si>
  <si>
    <t>PJ2T40-1800</t>
  </si>
  <si>
    <t>90447800 P/RISER M X M
1-1/2" x 1-1/2" x 1800MM</t>
  </si>
  <si>
    <t>9313146300462</t>
  </si>
  <si>
    <t>PE4079</t>
  </si>
  <si>
    <t>PJ2T40-2000</t>
  </si>
  <si>
    <t>PE 4079 P/RISER M X M
2000 X 40MM</t>
  </si>
  <si>
    <t>9319696040797</t>
  </si>
  <si>
    <t>50 MM (2")</t>
  </si>
  <si>
    <t>PE5004</t>
  </si>
  <si>
    <t>PJ2T50-100</t>
  </si>
  <si>
    <t>PE 5004 P/RISER M X M
100 X 50MM</t>
  </si>
  <si>
    <t>PE5006</t>
  </si>
  <si>
    <t>PJ2T50-150</t>
  </si>
  <si>
    <t>PE 5006 P/RISER M X M
150 X 50MM</t>
  </si>
  <si>
    <t>9319696050062</t>
  </si>
  <si>
    <t>PE5006PH</t>
  </si>
  <si>
    <t>2"</t>
  </si>
  <si>
    <t>90448200 P/RISER M X M
2" X 2" X 150MM</t>
  </si>
  <si>
    <t>9313146357947</t>
  </si>
  <si>
    <t>PE5008</t>
  </si>
  <si>
    <t>PJ2T50-200</t>
  </si>
  <si>
    <t>PE 5008 P/RISER M X M
200 X 50MM</t>
  </si>
  <si>
    <t>9319696500802</t>
  </si>
  <si>
    <t>PE5012</t>
  </si>
  <si>
    <t>PJ2T50-300</t>
  </si>
  <si>
    <t>PE 5012 P/RISER M X M
300 X 50MM</t>
  </si>
  <si>
    <t>9319696050123</t>
  </si>
  <si>
    <t>PE5012PH</t>
  </si>
  <si>
    <t>90448300 P/RISER M X M
2" X 2" X 300MM</t>
  </si>
  <si>
    <t>9313146197505</t>
  </si>
  <si>
    <t>PE5018</t>
  </si>
  <si>
    <t>PJ2T50-450</t>
  </si>
  <si>
    <t>PE 5018 P/RISER M X M
450 X 50MM</t>
  </si>
  <si>
    <t>9319696050185</t>
  </si>
  <si>
    <t>PE5018PH</t>
  </si>
  <si>
    <t>90448400 P/RISER M X M
2" X 2" X 450MM</t>
  </si>
  <si>
    <t>9313146197536</t>
  </si>
  <si>
    <t>PE5024</t>
  </si>
  <si>
    <t>PJ2T50-600</t>
  </si>
  <si>
    <t>PE 5024 P/RISER M X M
600 X 50MM</t>
  </si>
  <si>
    <t>9319696050246</t>
  </si>
  <si>
    <t>PE5024PH</t>
  </si>
  <si>
    <t>90448600 P/RISER M X M
2" X 2" X 600MM</t>
  </si>
  <si>
    <t>9313146197598</t>
  </si>
  <si>
    <t>PE5028PH</t>
  </si>
  <si>
    <t>PJ2T50-700</t>
  </si>
  <si>
    <t>90448605 P/RISER M X M
2" X 2" X 700MM</t>
  </si>
  <si>
    <t>9313146369254</t>
  </si>
  <si>
    <t>PE5030</t>
  </si>
  <si>
    <t>PJ2T50-750</t>
  </si>
  <si>
    <t>PE 5030 P/RISER M X M
750 X 50MM</t>
  </si>
  <si>
    <t>9319696050307</t>
  </si>
  <si>
    <t>PE5036</t>
  </si>
  <si>
    <t>PJ2T50-900</t>
  </si>
  <si>
    <t>PE 5036 P/RISER M X M
900 X 50MM</t>
  </si>
  <si>
    <t>9319696050369</t>
  </si>
  <si>
    <t>PE5036PH</t>
  </si>
  <si>
    <t>90448700 P/RISER M X M
2" X 2" X 900MM</t>
  </si>
  <si>
    <t>9313146198991</t>
  </si>
  <si>
    <t>PE5048</t>
  </si>
  <si>
    <t>PJ2T50-1200</t>
  </si>
  <si>
    <t>PE 5048 P/RISER M X M
1200 X 50MM</t>
  </si>
  <si>
    <t>9319696050482</t>
  </si>
  <si>
    <t>PE5048PH</t>
  </si>
  <si>
    <t>90448800 P/RISER M X M
2" X 2" X 1200MM</t>
  </si>
  <si>
    <t>9313146313646</t>
  </si>
  <si>
    <t>PE5072PH</t>
  </si>
  <si>
    <t>PJ2T50-1800</t>
  </si>
  <si>
    <t>90448820 P/RISER M X M
2" X 2" X 1800MM</t>
  </si>
  <si>
    <t>9313146357985</t>
  </si>
  <si>
    <t>PE5076PH</t>
  </si>
  <si>
    <t>PJ2T50-1900</t>
  </si>
  <si>
    <t>90448840 P/RISER M X M
2" X 2" X 1900MM</t>
  </si>
  <si>
    <t>9313146377785</t>
  </si>
  <si>
    <t>PE5095PH</t>
  </si>
  <si>
    <t>PJ2T50-2400</t>
  </si>
  <si>
    <t>90448900 P/RISER M X M
2" X 2" X 2400MM</t>
  </si>
  <si>
    <t>9313146336959</t>
  </si>
  <si>
    <t>PP PIPES M/F THREADED</t>
  </si>
  <si>
    <t>PMF2006</t>
  </si>
  <si>
    <t>PJMF20-150</t>
  </si>
  <si>
    <t>PMF 2006 P/RISER M X F
150 X 20 X 15MM</t>
  </si>
  <si>
    <t>9319696200627</t>
  </si>
  <si>
    <t>PMF2006PH</t>
  </si>
  <si>
    <t>90444200 P/RISER M X F
3/4" X 1/2" X 150MM</t>
  </si>
  <si>
    <t>9313146000515</t>
  </si>
  <si>
    <t>PMF2008</t>
  </si>
  <si>
    <t>PJMF20-200</t>
  </si>
  <si>
    <t>PMF 2008 P/RISER M X F
200 X 20 X 15MM</t>
  </si>
  <si>
    <t>9319696200825</t>
  </si>
  <si>
    <t>PMF2012</t>
  </si>
  <si>
    <t>PJMF20-300</t>
  </si>
  <si>
    <t>PMF 2012 P/RISER M X F
300 X 20 X 15MM</t>
  </si>
  <si>
    <t>9319696201228</t>
  </si>
  <si>
    <t>PMF2012PH</t>
  </si>
  <si>
    <t>90444300 P/RISER M X F
3/4" X 1/2" X 300MM</t>
  </si>
  <si>
    <t>9313146000522</t>
  </si>
  <si>
    <t>PMF2018</t>
  </si>
  <si>
    <t>PJMF20-450</t>
  </si>
  <si>
    <t>PMF 2018 P/RISER M X F
450 X 20 X 15MM</t>
  </si>
  <si>
    <t>9319696201822</t>
  </si>
  <si>
    <t>PMF2018PH</t>
  </si>
  <si>
    <t>90444400 P/RISER M X F
3/4" X 1/2" X 450MM</t>
  </si>
  <si>
    <t>9313146000539</t>
  </si>
  <si>
    <t>PMF2024</t>
  </si>
  <si>
    <t>PJMF20-600</t>
  </si>
  <si>
    <t>PMF 2024 P/RISER M X F
600 X 20 X 15MM</t>
  </si>
  <si>
    <t>9319696202423</t>
  </si>
  <si>
    <t>PMF2024PH</t>
  </si>
  <si>
    <t>90444600 P/RISER M X F
3/4" X 1/2" X 600MM</t>
  </si>
  <si>
    <t>9313146000546</t>
  </si>
  <si>
    <t>PMF2030</t>
  </si>
  <si>
    <t>PJMF20-750</t>
  </si>
  <si>
    <t>PMF 2030 P/RISER M X F
750 X 20 X 15MM</t>
  </si>
  <si>
    <t>9319696203024</t>
  </si>
  <si>
    <t>PMF2030PH</t>
  </si>
  <si>
    <t>90444700 P/RISER M X F
3/4" X 1/2" X 750MM</t>
  </si>
  <si>
    <t>9313146000553</t>
  </si>
  <si>
    <t>PMF2036</t>
  </si>
  <si>
    <t>PJMF20-900</t>
  </si>
  <si>
    <t>PMF 2036 P/RISER M X F
900 X 20 X 15MM</t>
  </si>
  <si>
    <t>9319696203628</t>
  </si>
  <si>
    <t>PMF2036PH</t>
  </si>
  <si>
    <t>90444800 P/RISER M X F
3/4" X 1/2" X 900MM</t>
  </si>
  <si>
    <t>9313146358005</t>
  </si>
  <si>
    <t>PMF2048</t>
  </si>
  <si>
    <t>PJMF20-1200</t>
  </si>
  <si>
    <t>PMF 2048 P/RISER M X F
1200 X 20 X 15MM</t>
  </si>
  <si>
    <t>9319696204823</t>
  </si>
  <si>
    <t>PMF2060</t>
  </si>
  <si>
    <t>PJMF20-1500</t>
  </si>
  <si>
    <t>PMF 2060 P/RISER M X F
1500 X 20 X 15MM</t>
  </si>
  <si>
    <t>9319696206025</t>
  </si>
  <si>
    <t>PMF2072</t>
  </si>
  <si>
    <t>PJMF20-1800</t>
  </si>
  <si>
    <t>PMF 2072 P/RISER M X F
1800 X 20 X 15MM</t>
  </si>
  <si>
    <t>9319696207220</t>
  </si>
  <si>
    <t>PMF2506</t>
  </si>
  <si>
    <t>PJMF25-150</t>
  </si>
  <si>
    <t>PMF 2506 P/RISER M X F
150 X 25 X 20MM</t>
  </si>
  <si>
    <t>9319696250622</t>
  </si>
  <si>
    <t>PMF2506PH</t>
  </si>
  <si>
    <t>90445200 P/RISER M X F
1" X 3/4" X 150mm</t>
  </si>
  <si>
    <t>9313146000560</t>
  </si>
  <si>
    <t>PMF2512</t>
  </si>
  <si>
    <t>PJMF25-300</t>
  </si>
  <si>
    <t>PMF 2512 P/RISER M X F
300 X 25 X 20MM</t>
  </si>
  <si>
    <t>9319696251223</t>
  </si>
  <si>
    <t>PMF2512PH</t>
  </si>
  <si>
    <t>90445300 P/RISER M X F
1" X 3/4" X 300MM</t>
  </si>
  <si>
    <t>9313146000577</t>
  </si>
  <si>
    <t>PMF2518</t>
  </si>
  <si>
    <t>PJMF25-450</t>
  </si>
  <si>
    <t>PMF 2518 P/RISER M X F
450 X 25 X 20MM</t>
  </si>
  <si>
    <t>9319696251827</t>
  </si>
  <si>
    <t>PMF2518PH</t>
  </si>
  <si>
    <t>90445400 P/RISER M X F
1" X 3/4" X 450MM</t>
  </si>
  <si>
    <t>9313146000584</t>
  </si>
  <si>
    <t>PMF2524</t>
  </si>
  <si>
    <t>PJMF25-600</t>
  </si>
  <si>
    <t>PMF 2524 P/RISER M X F
600 X 25 X 20MM</t>
  </si>
  <si>
    <t>9319696252428</t>
  </si>
  <si>
    <t>PMF2524PH</t>
  </si>
  <si>
    <t>90445600 P/RISER M X F
1" X 3/4" X 600MM</t>
  </si>
  <si>
    <t>9313146000591</t>
  </si>
  <si>
    <t>PMF2530</t>
  </si>
  <si>
    <t>PJMF25-750</t>
  </si>
  <si>
    <t>PMF 2530 P/RISER M X F
750 X 25 X 20MM</t>
  </si>
  <si>
    <t>9319696253012</t>
  </si>
  <si>
    <t>PMF2530PH</t>
  </si>
  <si>
    <t>90445700 P/RISER M X F
1" X 3/4" X 750MM</t>
  </si>
  <si>
    <t>9313146351068</t>
  </si>
  <si>
    <t>PMF2536</t>
  </si>
  <si>
    <t>PJMF25-900</t>
  </si>
  <si>
    <t>PMF 2536 P/RISER M X F
900 X 25 X 20MM</t>
  </si>
  <si>
    <t>9319696253623</t>
  </si>
  <si>
    <t>PMF2536PH</t>
  </si>
  <si>
    <t>90445800 P/RISER M X F
1" X 3/4" X 900MM</t>
  </si>
  <si>
    <t>9313146358043</t>
  </si>
  <si>
    <t>PMF2548</t>
  </si>
  <si>
    <t>PJMF25-1200</t>
  </si>
  <si>
    <t>PMF 2548 P/RISER M X F
1200 X 25 X 20MM</t>
  </si>
  <si>
    <t>9319696254828</t>
  </si>
  <si>
    <t>PMF2548PH</t>
  </si>
  <si>
    <t>90445810 P/RISER M X F
1" X 3/4" X 1200MM</t>
  </si>
  <si>
    <t>9313146358067</t>
  </si>
  <si>
    <t>PMF2560</t>
  </si>
  <si>
    <t>PJMF25-1524</t>
  </si>
  <si>
    <t>PMF 2560 P/RISER M X F
1524 X 25 X 20MM</t>
  </si>
  <si>
    <t>9319696256020</t>
  </si>
  <si>
    <t>PMF2572</t>
  </si>
  <si>
    <t>PJMF25-1800</t>
  </si>
  <si>
    <t>PMF 2572 P/RISER M X F
1800 X 25 X 20MM</t>
  </si>
  <si>
    <t>9319696257225</t>
  </si>
  <si>
    <t>PMF2572PH</t>
  </si>
  <si>
    <t>90445900 P/RISER M X F
1" X 3/4" X 1800MM</t>
  </si>
  <si>
    <t>9313146327216</t>
  </si>
  <si>
    <t>PMF2595PH</t>
  </si>
  <si>
    <t>PJMF25-2400</t>
  </si>
  <si>
    <t>90446000 P/RISER M X F
1" X 3/4" X 2400MM</t>
  </si>
  <si>
    <t xml:space="preserve">9313146298400 </t>
  </si>
  <si>
    <t xml:space="preserve">HYDRO TUBES </t>
  </si>
  <si>
    <t>MTR</t>
  </si>
  <si>
    <t>PKG/BOX</t>
  </si>
  <si>
    <t>VALUE /Meter</t>
  </si>
  <si>
    <t>FOB/Mtr US$</t>
  </si>
  <si>
    <t>ROLL</t>
  </si>
  <si>
    <t>MTRS</t>
  </si>
  <si>
    <t>BDL</t>
  </si>
  <si>
    <t>ROLLS</t>
  </si>
  <si>
    <t xml:space="preserve">Unit </t>
  </si>
  <si>
    <t xml:space="preserve">Total </t>
  </si>
  <si>
    <t>PFH-1305</t>
  </si>
  <si>
    <t>PJE PFH 1305</t>
  </si>
  <si>
    <t>13 mm X 5 m        PFH 1305</t>
  </si>
  <si>
    <t>9319696008322</t>
  </si>
  <si>
    <t>PFH-1310</t>
  </si>
  <si>
    <t>PJE PFH 1310</t>
  </si>
  <si>
    <t>13 mm x 10 m      PFH 1310</t>
  </si>
  <si>
    <t>9319696201181</t>
  </si>
  <si>
    <t>PFH-1325</t>
  </si>
  <si>
    <t>PJE PFH 1325</t>
  </si>
  <si>
    <t>13 mm X 25 m      PFH 1325</t>
  </si>
  <si>
    <t>9319696002726</t>
  </si>
  <si>
    <t>PFH-1905</t>
  </si>
  <si>
    <t>PJE PFH 1905</t>
  </si>
  <si>
    <t>19 mm X 5 m        PFH 1905</t>
  </si>
  <si>
    <t>9319696201839</t>
  </si>
  <si>
    <t>PFH-1910</t>
  </si>
  <si>
    <t>PJE PFH 1910</t>
  </si>
  <si>
    <t>19 mm x 10 m      PFH 1910</t>
  </si>
  <si>
    <t>9319696202430</t>
  </si>
  <si>
    <t>PFH-1925</t>
  </si>
  <si>
    <t xml:space="preserve">PJE PFH 1925 </t>
  </si>
  <si>
    <t>19 mm X 25 m      PFH 1925</t>
  </si>
  <si>
    <t>9319696002733</t>
  </si>
  <si>
    <t>GRAND TOTAL</t>
  </si>
  <si>
    <t>EZE TUBES</t>
  </si>
  <si>
    <t>HDPE BLACK TUBING</t>
  </si>
  <si>
    <t>13 mm X 30 m</t>
  </si>
  <si>
    <t xml:space="preserve">PP PLAIN PIPES </t>
  </si>
  <si>
    <t>PEL-153</t>
  </si>
  <si>
    <t>PJPP15-3000</t>
  </si>
  <si>
    <t>15 X 3000 MM</t>
  </si>
  <si>
    <t>PEL-204</t>
  </si>
  <si>
    <t>PJPP20-4000</t>
  </si>
  <si>
    <t>20 x 4000 MM</t>
  </si>
  <si>
    <t>PEL-253</t>
  </si>
  <si>
    <t>PJPP25-3000</t>
  </si>
  <si>
    <t>25 x 3000 MM</t>
  </si>
  <si>
    <t>PEL-323</t>
  </si>
  <si>
    <t>PJPP32-3000</t>
  </si>
  <si>
    <t>32 x 3000 MM</t>
  </si>
  <si>
    <t>PEL-403</t>
  </si>
  <si>
    <t>PJPP40-3000</t>
  </si>
  <si>
    <t>40 x 3000 MM</t>
  </si>
  <si>
    <t>PEL-503</t>
  </si>
  <si>
    <t>PJPP50-3000</t>
  </si>
  <si>
    <t xml:space="preserve">50 x 3000 MM </t>
  </si>
  <si>
    <t>27AAACV8475H1ZW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</si>
</sst>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s.&quot;\ #,##0.00"/>
    <numFmt numFmtId="165" formatCode="&quot;₹&quot;\ #,##0.00"/>
    <numFmt numFmtId="166" formatCode="0.0000"/>
    <numFmt numFmtId="167" formatCode="0.000"/>
    <numFmt numFmtId="168" formatCode="&quot;$&quot;#,##0.00"/>
  </numFmts>
  <fonts count="13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0"/>
      <color indexed="57"/>
      <name val="Arial"/>
      <family val="2"/>
    </font>
    <font>
      <b/>
      <sz val="10"/>
      <color rgb="FF00B050"/>
      <name val="Arial"/>
      <family val="2"/>
    </font>
    <font>
      <sz val="10"/>
      <color rgb="FFFF0000"/>
      <name val="Arial"/>
      <family val="2"/>
    </font>
    <font>
      <b/>
      <sz val="10"/>
      <color indexed="17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196">
    <xf numFmtId="0" fontId="0" fillId="0" borderId="0" xfId="0"/>
    <xf numFmtId="0" fontId="1" fillId="0" borderId="0" xfId="1" applyAlignment="1">
      <alignment vertical="center"/>
    </xf>
    <xf numFmtId="0" fontId="4" fillId="0" borderId="2" xfId="1" applyFont="1" applyBorder="1" applyAlignment="1">
      <alignment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165" fontId="4" fillId="0" borderId="2" xfId="1" applyNumberFormat="1" applyFont="1" applyBorder="1" applyAlignment="1">
      <alignment vertical="center"/>
    </xf>
    <xf numFmtId="0" fontId="1" fillId="0" borderId="2" xfId="1" applyBorder="1" applyAlignment="1">
      <alignment vertical="center"/>
    </xf>
    <xf numFmtId="2" fontId="1" fillId="0" borderId="2" xfId="1" applyNumberFormat="1" applyBorder="1" applyAlignment="1">
      <alignment vertical="center"/>
    </xf>
    <xf numFmtId="165" fontId="2" fillId="0" borderId="2" xfId="1" applyNumberFormat="1" applyFont="1" applyBorder="1" applyAlignment="1">
      <alignment vertical="center"/>
    </xf>
    <xf numFmtId="165" fontId="1" fillId="0" borderId="2" xfId="1" applyNumberFormat="1" applyBorder="1" applyAlignment="1">
      <alignment vertical="center"/>
    </xf>
    <xf numFmtId="164" fontId="1" fillId="0" borderId="2" xfId="1" applyNumberFormat="1" applyBorder="1" applyAlignment="1">
      <alignment vertical="center"/>
    </xf>
    <xf numFmtId="0" fontId="2" fillId="0" borderId="2" xfId="1" applyFont="1" applyBorder="1" applyAlignment="1">
      <alignment vertical="center" wrapText="1"/>
    </xf>
    <xf numFmtId="1" fontId="1" fillId="0" borderId="2" xfId="1" applyNumberFormat="1" applyBorder="1" applyAlignment="1">
      <alignment horizontal="center" vertical="center"/>
    </xf>
    <xf numFmtId="2" fontId="4" fillId="0" borderId="2" xfId="1" applyNumberFormat="1" applyFont="1" applyBorder="1" applyAlignment="1">
      <alignment vertical="center"/>
    </xf>
    <xf numFmtId="0" fontId="1" fillId="0" borderId="0" xfId="1" applyFill="1" applyAlignment="1">
      <alignment vertical="center"/>
    </xf>
    <xf numFmtId="0" fontId="2" fillId="0" borderId="0" xfId="1" applyFont="1" applyFill="1" applyAlignment="1">
      <alignment vertical="center"/>
    </xf>
    <xf numFmtId="0" fontId="4" fillId="0" borderId="2" xfId="1" applyFont="1" applyFill="1" applyBorder="1" applyAlignment="1">
      <alignment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5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center" wrapText="1"/>
    </xf>
    <xf numFmtId="0" fontId="4" fillId="0" borderId="6" xfId="1" applyFont="1" applyFill="1" applyBorder="1" applyAlignment="1">
      <alignment horizontal="center" wrapText="1"/>
    </xf>
    <xf numFmtId="0" fontId="4" fillId="0" borderId="2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 shrinkToFit="1"/>
    </xf>
    <xf numFmtId="0" fontId="4" fillId="0" borderId="4" xfId="1" applyFont="1" applyFill="1" applyBorder="1" applyAlignment="1">
      <alignment horizontal="center" vertical="center" shrinkToFit="1"/>
    </xf>
    <xf numFmtId="0" fontId="4" fillId="0" borderId="3" xfId="1" applyFont="1" applyFill="1" applyBorder="1" applyAlignment="1">
      <alignment horizontal="left" vertical="center"/>
    </xf>
    <xf numFmtId="0" fontId="4" fillId="0" borderId="7" xfId="1" applyFont="1" applyFill="1" applyBorder="1" applyAlignment="1">
      <alignment horizontal="center" wrapText="1"/>
    </xf>
    <xf numFmtId="0" fontId="1" fillId="0" borderId="2" xfId="1" applyFill="1" applyBorder="1" applyAlignment="1">
      <alignment horizontal="center" vertical="center"/>
    </xf>
    <xf numFmtId="164" fontId="4" fillId="0" borderId="2" xfId="1" applyNumberFormat="1" applyFont="1" applyFill="1" applyBorder="1" applyAlignment="1">
      <alignment horizontal="center" vertical="center" shrinkToFit="1"/>
    </xf>
    <xf numFmtId="165" fontId="4" fillId="0" borderId="2" xfId="1" applyNumberFormat="1" applyFont="1" applyFill="1" applyBorder="1" applyAlignment="1">
      <alignment vertical="center"/>
    </xf>
    <xf numFmtId="0" fontId="2" fillId="0" borderId="2" xfId="1" applyFont="1" applyFill="1" applyBorder="1" applyAlignment="1">
      <alignment horizontal="left" vertical="center"/>
    </xf>
    <xf numFmtId="0" fontId="2" fillId="0" borderId="2" xfId="1" applyFont="1" applyFill="1" applyBorder="1" applyAlignment="1">
      <alignment horizontal="center"/>
    </xf>
    <xf numFmtId="0" fontId="2" fillId="0" borderId="2" xfId="1" applyFont="1" applyFill="1" applyBorder="1" applyAlignment="1">
      <alignment horizontal="left" vertical="center" wrapText="1"/>
    </xf>
    <xf numFmtId="1" fontId="2" fillId="0" borderId="2" xfId="1" applyNumberFormat="1" applyFont="1" applyFill="1" applyBorder="1" applyAlignment="1">
      <alignment horizontal="center"/>
    </xf>
    <xf numFmtId="166" fontId="2" fillId="0" borderId="2" xfId="1" applyNumberFormat="1" applyFont="1" applyFill="1" applyBorder="1" applyAlignment="1">
      <alignment horizontal="center"/>
    </xf>
    <xf numFmtId="0" fontId="1" fillId="0" borderId="2" xfId="1" applyFill="1" applyBorder="1" applyAlignment="1">
      <alignment vertical="center"/>
    </xf>
    <xf numFmtId="2" fontId="1" fillId="0" borderId="2" xfId="1" applyNumberFormat="1" applyFill="1" applyBorder="1" applyAlignment="1">
      <alignment vertical="center"/>
    </xf>
    <xf numFmtId="2" fontId="1" fillId="0" borderId="5" xfId="1" applyNumberFormat="1" applyFill="1" applyBorder="1" applyAlignment="1">
      <alignment horizontal="left" vertical="center"/>
    </xf>
    <xf numFmtId="167" fontId="1" fillId="0" borderId="2" xfId="1" applyNumberFormat="1" applyFill="1" applyBorder="1" applyAlignment="1">
      <alignment horizontal="center"/>
    </xf>
    <xf numFmtId="167" fontId="1" fillId="0" borderId="2" xfId="1" applyNumberFormat="1" applyFill="1" applyBorder="1"/>
    <xf numFmtId="0" fontId="2" fillId="0" borderId="2" xfId="1" applyFont="1" applyFill="1" applyBorder="1" applyAlignment="1">
      <alignment horizontal="center" vertical="center"/>
    </xf>
    <xf numFmtId="165" fontId="2" fillId="0" borderId="2" xfId="1" applyNumberFormat="1" applyFont="1" applyFill="1" applyBorder="1" applyAlignment="1">
      <alignment vertical="center"/>
    </xf>
    <xf numFmtId="165" fontId="1" fillId="0" borderId="2" xfId="1" applyNumberFormat="1" applyFill="1" applyBorder="1" applyAlignment="1">
      <alignment vertical="center"/>
    </xf>
    <xf numFmtId="168" fontId="1" fillId="0" borderId="2" xfId="1" applyNumberFormat="1" applyFill="1" applyBorder="1" applyAlignment="1">
      <alignment vertical="center"/>
    </xf>
    <xf numFmtId="164" fontId="1" fillId="0" borderId="2" xfId="1" applyNumberFormat="1" applyFill="1" applyBorder="1" applyAlignment="1">
      <alignment vertical="center"/>
    </xf>
    <xf numFmtId="0" fontId="2" fillId="0" borderId="2" xfId="1" applyFont="1" applyFill="1" applyBorder="1" applyAlignment="1">
      <alignment vertical="center" wrapText="1"/>
    </xf>
    <xf numFmtId="1" fontId="1" fillId="0" borderId="2" xfId="1" applyNumberForma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left" vertical="center"/>
    </xf>
    <xf numFmtId="167" fontId="1" fillId="0" borderId="0" xfId="1" applyNumberFormat="1" applyFill="1" applyAlignment="1">
      <alignment horizontal="center"/>
    </xf>
    <xf numFmtId="0" fontId="2" fillId="0" borderId="2" xfId="1" applyFont="1" applyFill="1" applyBorder="1" applyAlignment="1">
      <alignment vertical="center"/>
    </xf>
    <xf numFmtId="0" fontId="5" fillId="0" borderId="2" xfId="1" applyFont="1" applyFill="1" applyBorder="1" applyAlignment="1">
      <alignment horizontal="center" vertical="center"/>
    </xf>
    <xf numFmtId="1" fontId="2" fillId="0" borderId="2" xfId="1" applyNumberFormat="1" applyFont="1" applyFill="1" applyBorder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167" fontId="1" fillId="0" borderId="2" xfId="1" applyNumberFormat="1" applyFill="1" applyBorder="1" applyAlignment="1">
      <alignment horizontal="center" vertical="center"/>
    </xf>
    <xf numFmtId="167" fontId="1" fillId="0" borderId="2" xfId="1" applyNumberFormat="1" applyFill="1" applyBorder="1" applyAlignment="1">
      <alignment vertical="center"/>
    </xf>
    <xf numFmtId="0" fontId="1" fillId="0" borderId="8" xfId="1" applyFill="1" applyBorder="1" applyAlignment="1">
      <alignment vertical="center"/>
    </xf>
    <xf numFmtId="0" fontId="1" fillId="0" borderId="8" xfId="1" applyFill="1" applyBorder="1" applyAlignment="1">
      <alignment horizontal="left" vertical="center"/>
    </xf>
    <xf numFmtId="0" fontId="1" fillId="0" borderId="9" xfId="1" applyFill="1" applyBorder="1" applyAlignment="1">
      <alignment vertical="center"/>
    </xf>
    <xf numFmtId="2" fontId="4" fillId="0" borderId="2" xfId="1" applyNumberFormat="1" applyFont="1" applyFill="1" applyBorder="1" applyAlignment="1">
      <alignment vertical="center"/>
    </xf>
    <xf numFmtId="2" fontId="4" fillId="0" borderId="5" xfId="1" applyNumberFormat="1" applyFont="1" applyFill="1" applyBorder="1" applyAlignment="1">
      <alignment horizontal="left" vertical="center"/>
    </xf>
    <xf numFmtId="167" fontId="4" fillId="0" borderId="2" xfId="1" applyNumberFormat="1" applyFont="1" applyFill="1" applyBorder="1"/>
    <xf numFmtId="0" fontId="1" fillId="0" borderId="0" xfId="1" applyFill="1" applyAlignment="1">
      <alignment horizontal="center" vertical="center"/>
    </xf>
    <xf numFmtId="168" fontId="4" fillId="0" borderId="2" xfId="1" applyNumberFormat="1" applyFont="1" applyFill="1" applyBorder="1" applyAlignment="1">
      <alignment vertical="center"/>
    </xf>
    <xf numFmtId="164" fontId="4" fillId="0" borderId="2" xfId="1" applyNumberFormat="1" applyFont="1" applyFill="1" applyBorder="1" applyAlignment="1">
      <alignment vertical="center"/>
    </xf>
    <xf numFmtId="0" fontId="1" fillId="0" borderId="0" xfId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0" fontId="5" fillId="0" borderId="10" xfId="1" applyFont="1" applyBorder="1" applyAlignment="1">
      <alignment horizontal="left" vertical="center"/>
    </xf>
    <xf numFmtId="0" fontId="4" fillId="0" borderId="10" xfId="1" applyFont="1" applyBorder="1" applyAlignment="1">
      <alignment horizontal="left" vertical="center"/>
    </xf>
    <xf numFmtId="0" fontId="1" fillId="0" borderId="10" xfId="1" applyBorder="1" applyAlignment="1">
      <alignment horizontal="left" vertical="center"/>
    </xf>
    <xf numFmtId="0" fontId="2" fillId="0" borderId="10" xfId="1" applyFont="1" applyBorder="1" applyAlignment="1">
      <alignment vertical="center" wrapText="1"/>
    </xf>
    <xf numFmtId="167" fontId="4" fillId="0" borderId="2" xfId="1" applyNumberFormat="1" applyFont="1" applyBorder="1" applyAlignment="1">
      <alignment vertical="center"/>
    </xf>
    <xf numFmtId="165" fontId="4" fillId="0" borderId="2" xfId="2" applyNumberFormat="1" applyFont="1" applyBorder="1" applyAlignment="1">
      <alignment vertical="center"/>
    </xf>
    <xf numFmtId="0" fontId="1" fillId="0" borderId="0" xfId="1" applyFill="1" applyAlignment="1">
      <alignment horizontal="left" vertical="center"/>
    </xf>
    <xf numFmtId="0" fontId="4" fillId="0" borderId="10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left" vertical="center"/>
    </xf>
    <xf numFmtId="164" fontId="4" fillId="0" borderId="2" xfId="1" applyNumberFormat="1" applyFont="1" applyFill="1" applyBorder="1" applyAlignment="1">
      <alignment vertical="center" shrinkToFit="1"/>
    </xf>
    <xf numFmtId="165" fontId="4" fillId="0" borderId="2" xfId="1" applyNumberFormat="1" applyFont="1" applyFill="1" applyBorder="1" applyAlignment="1">
      <alignment horizontal="left" vertical="center"/>
    </xf>
    <xf numFmtId="0" fontId="2" fillId="0" borderId="2" xfId="1" applyFont="1" applyFill="1" applyBorder="1" applyAlignment="1">
      <alignment shrinkToFit="1"/>
    </xf>
    <xf numFmtId="0" fontId="2" fillId="0" borderId="2" xfId="1" quotePrefix="1" applyFont="1" applyFill="1" applyBorder="1" applyAlignment="1">
      <alignment horizontal="center"/>
    </xf>
    <xf numFmtId="0" fontId="1" fillId="0" borderId="2" xfId="1" applyFill="1" applyBorder="1" applyAlignment="1">
      <alignment horizontal="center"/>
    </xf>
    <xf numFmtId="0" fontId="2" fillId="0" borderId="2" xfId="1" applyFont="1" applyFill="1" applyBorder="1"/>
    <xf numFmtId="1" fontId="2" fillId="0" borderId="2" xfId="1" applyNumberFormat="1" applyFont="1" applyFill="1" applyBorder="1" applyAlignment="1">
      <alignment horizontal="left"/>
    </xf>
    <xf numFmtId="4" fontId="1" fillId="0" borderId="0" xfId="1" applyNumberFormat="1" applyFill="1" applyAlignment="1">
      <alignment vertical="center"/>
    </xf>
    <xf numFmtId="2" fontId="1" fillId="0" borderId="0" xfId="1" applyNumberFormat="1" applyFill="1" applyAlignment="1">
      <alignment vertical="center"/>
    </xf>
    <xf numFmtId="1" fontId="2" fillId="0" borderId="2" xfId="1" applyNumberFormat="1" applyFont="1" applyFill="1" applyBorder="1"/>
    <xf numFmtId="0" fontId="5" fillId="0" borderId="10" xfId="1" applyFont="1" applyFill="1" applyBorder="1" applyAlignment="1">
      <alignment horizontal="left" vertical="center"/>
    </xf>
    <xf numFmtId="0" fontId="4" fillId="0" borderId="10" xfId="1" applyFont="1" applyFill="1" applyBorder="1" applyAlignment="1">
      <alignment horizontal="left" vertical="center"/>
    </xf>
    <xf numFmtId="0" fontId="1" fillId="0" borderId="10" xfId="1" applyFill="1" applyBorder="1" applyAlignment="1">
      <alignment horizontal="left" vertical="center"/>
    </xf>
    <xf numFmtId="0" fontId="2" fillId="0" borderId="10" xfId="1" applyFont="1" applyFill="1" applyBorder="1" applyAlignment="1">
      <alignment vertical="center" wrapText="1"/>
    </xf>
    <xf numFmtId="167" fontId="4" fillId="0" borderId="2" xfId="1" applyNumberFormat="1" applyFont="1" applyFill="1" applyBorder="1" applyAlignment="1">
      <alignment vertical="center"/>
    </xf>
    <xf numFmtId="0" fontId="4" fillId="0" borderId="2" xfId="1" applyFont="1" applyFill="1" applyBorder="1" applyAlignment="1">
      <alignment horizontal="left" vertical="center"/>
    </xf>
    <xf numFmtId="164" fontId="4" fillId="0" borderId="2" xfId="2" applyNumberFormat="1" applyFont="1" applyFill="1" applyBorder="1" applyAlignment="1">
      <alignment vertical="center"/>
    </xf>
    <xf numFmtId="165" fontId="4" fillId="0" borderId="2" xfId="2" applyNumberFormat="1" applyFont="1" applyFill="1" applyBorder="1" applyAlignment="1">
      <alignment vertical="center"/>
    </xf>
    <xf numFmtId="0" fontId="4" fillId="0" borderId="2" xfId="1" applyFont="1" applyBorder="1" applyAlignment="1">
      <alignment horizontal="center" vertical="center" shrinkToFit="1"/>
    </xf>
    <xf numFmtId="0" fontId="5" fillId="0" borderId="2" xfId="1" applyFont="1" applyBorder="1" applyAlignment="1">
      <alignment horizontal="left" vertical="center"/>
    </xf>
    <xf numFmtId="0" fontId="5" fillId="0" borderId="2" xfId="1" applyFont="1" applyBorder="1" applyAlignment="1">
      <alignment horizontal="center" vertical="center"/>
    </xf>
    <xf numFmtId="0" fontId="4" fillId="0" borderId="2" xfId="1" quotePrefix="1" applyFont="1" applyBorder="1" applyAlignment="1">
      <alignment horizontal="center" vertical="center"/>
    </xf>
    <xf numFmtId="166" fontId="2" fillId="0" borderId="2" xfId="1" quotePrefix="1" applyNumberFormat="1" applyFont="1" applyBorder="1" applyAlignment="1">
      <alignment horizontal="center" vertical="center"/>
    </xf>
    <xf numFmtId="167" fontId="1" fillId="0" borderId="2" xfId="1" applyNumberFormat="1" applyBorder="1" applyAlignment="1">
      <alignment vertical="center"/>
    </xf>
    <xf numFmtId="168" fontId="2" fillId="0" borderId="2" xfId="2" applyNumberFormat="1" applyBorder="1" applyAlignment="1">
      <alignment vertical="center"/>
    </xf>
    <xf numFmtId="0" fontId="4" fillId="0" borderId="3" xfId="1" applyFont="1" applyBorder="1" applyAlignment="1">
      <alignment horizontal="left" vertical="center"/>
    </xf>
    <xf numFmtId="0" fontId="4" fillId="0" borderId="10" xfId="1" applyFont="1" applyBorder="1" applyAlignment="1">
      <alignment horizontal="left" vertical="center"/>
    </xf>
    <xf numFmtId="0" fontId="4" fillId="0" borderId="4" xfId="1" applyFont="1" applyBorder="1" applyAlignment="1">
      <alignment horizontal="left" vertical="center"/>
    </xf>
    <xf numFmtId="168" fontId="4" fillId="0" borderId="2" xfId="2" applyNumberFormat="1" applyFont="1" applyBorder="1" applyAlignment="1">
      <alignment vertical="center"/>
    </xf>
    <xf numFmtId="0" fontId="4" fillId="0" borderId="6" xfId="1" applyFont="1" applyFill="1" applyBorder="1" applyAlignment="1">
      <alignment horizontal="center" vertical="center" wrapText="1"/>
    </xf>
    <xf numFmtId="0" fontId="4" fillId="0" borderId="6" xfId="1" applyFont="1" applyFill="1" applyBorder="1" applyAlignment="1">
      <alignment horizontal="center" vertical="center" wrapText="1" shrinkToFit="1"/>
    </xf>
    <xf numFmtId="0" fontId="4" fillId="0" borderId="7" xfId="1" applyFont="1" applyFill="1" applyBorder="1" applyAlignment="1">
      <alignment horizontal="center" vertical="center" wrapText="1"/>
    </xf>
    <xf numFmtId="0" fontId="4" fillId="0" borderId="7" xfId="1" applyFont="1" applyFill="1" applyBorder="1" applyAlignment="1">
      <alignment horizontal="center" vertical="center" wrapText="1" shrinkToFit="1"/>
    </xf>
    <xf numFmtId="0" fontId="4" fillId="0" borderId="2" xfId="1" applyFont="1" applyFill="1" applyBorder="1" applyAlignment="1">
      <alignment horizontal="center" vertical="center" shrinkToFit="1"/>
    </xf>
    <xf numFmtId="0" fontId="5" fillId="0" borderId="2" xfId="1" applyFont="1" applyFill="1" applyBorder="1" applyAlignment="1">
      <alignment horizontal="left" vertical="center"/>
    </xf>
    <xf numFmtId="0" fontId="4" fillId="0" borderId="2" xfId="1" quotePrefix="1" applyFont="1" applyFill="1" applyBorder="1" applyAlignment="1">
      <alignment horizontal="center" vertical="center"/>
    </xf>
    <xf numFmtId="166" fontId="2" fillId="0" borderId="2" xfId="1" quotePrefix="1" applyNumberFormat="1" applyFont="1" applyFill="1" applyBorder="1" applyAlignment="1">
      <alignment horizontal="center" vertical="center"/>
    </xf>
    <xf numFmtId="168" fontId="2" fillId="0" borderId="2" xfId="2" applyNumberFormat="1" applyFill="1" applyBorder="1" applyAlignment="1">
      <alignment vertical="center"/>
    </xf>
    <xf numFmtId="0" fontId="6" fillId="0" borderId="2" xfId="1" applyFont="1" applyFill="1" applyBorder="1" applyAlignment="1">
      <alignment horizontal="left" vertical="center"/>
    </xf>
    <xf numFmtId="0" fontId="4" fillId="0" borderId="3" xfId="1" applyFont="1" applyFill="1" applyBorder="1" applyAlignment="1">
      <alignment horizontal="left" vertical="center"/>
    </xf>
    <xf numFmtId="0" fontId="4" fillId="0" borderId="10" xfId="1" applyFont="1" applyFill="1" applyBorder="1" applyAlignment="1">
      <alignment horizontal="left" vertical="center"/>
    </xf>
    <xf numFmtId="0" fontId="4" fillId="0" borderId="4" xfId="1" applyFont="1" applyFill="1" applyBorder="1" applyAlignment="1">
      <alignment horizontal="left" vertical="center"/>
    </xf>
    <xf numFmtId="168" fontId="4" fillId="0" borderId="2" xfId="2" applyNumberFormat="1" applyFont="1" applyFill="1" applyBorder="1" applyAlignment="1">
      <alignment vertical="center"/>
    </xf>
    <xf numFmtId="0" fontId="4" fillId="0" borderId="2" xfId="1" applyFont="1" applyBorder="1" applyAlignment="1">
      <alignment horizontal="center" vertical="center" wrapText="1" shrinkToFit="1"/>
    </xf>
    <xf numFmtId="167" fontId="1" fillId="0" borderId="2" xfId="1" applyNumberFormat="1" applyBorder="1" applyAlignment="1">
      <alignment horizontal="center" vertical="center"/>
    </xf>
    <xf numFmtId="0" fontId="4" fillId="0" borderId="3" xfId="1" quotePrefix="1" applyFont="1" applyBorder="1" applyAlignment="1">
      <alignment horizontal="center" vertical="center"/>
    </xf>
    <xf numFmtId="164" fontId="4" fillId="0" borderId="0" xfId="2" applyNumberFormat="1" applyFont="1" applyAlignment="1">
      <alignment vertical="center"/>
    </xf>
    <xf numFmtId="0" fontId="4" fillId="0" borderId="2" xfId="1" applyFont="1" applyFill="1" applyBorder="1" applyAlignment="1">
      <alignment horizontal="center" vertical="center" wrapText="1" shrinkToFit="1"/>
    </xf>
    <xf numFmtId="1" fontId="4" fillId="0" borderId="2" xfId="1" applyNumberFormat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/>
    </xf>
    <xf numFmtId="0" fontId="7" fillId="0" borderId="2" xfId="1" applyFont="1" applyFill="1" applyBorder="1" applyAlignment="1">
      <alignment horizontal="left" vertical="center" wrapText="1"/>
    </xf>
    <xf numFmtId="0" fontId="7" fillId="0" borderId="2" xfId="1" applyFont="1" applyFill="1" applyBorder="1" applyAlignment="1">
      <alignment vertical="center" wrapText="1"/>
    </xf>
    <xf numFmtId="0" fontId="4" fillId="0" borderId="3" xfId="1" quotePrefix="1" applyFont="1" applyFill="1" applyBorder="1" applyAlignment="1">
      <alignment horizontal="center" vertical="center"/>
    </xf>
    <xf numFmtId="0" fontId="1" fillId="0" borderId="2" xfId="1" quotePrefix="1" applyFill="1" applyBorder="1" applyAlignment="1">
      <alignment horizontal="center" vertical="center"/>
    </xf>
    <xf numFmtId="164" fontId="4" fillId="0" borderId="0" xfId="2" applyNumberFormat="1" applyFont="1" applyFill="1" applyAlignment="1">
      <alignment vertical="center"/>
    </xf>
    <xf numFmtId="0" fontId="4" fillId="0" borderId="9" xfId="1" applyFont="1" applyFill="1" applyBorder="1" applyAlignment="1">
      <alignment vertical="center"/>
    </xf>
    <xf numFmtId="0" fontId="4" fillId="0" borderId="6" xfId="1" applyFont="1" applyFill="1" applyBorder="1" applyAlignment="1">
      <alignment vertical="center"/>
    </xf>
    <xf numFmtId="0" fontId="4" fillId="0" borderId="6" xfId="1" applyFont="1" applyFill="1" applyBorder="1" applyAlignment="1">
      <alignment horizontal="center" vertical="center"/>
    </xf>
    <xf numFmtId="0" fontId="3" fillId="0" borderId="5" xfId="1" applyFont="1" applyFill="1" applyBorder="1" applyAlignment="1">
      <alignment horizontal="center" vertical="center"/>
    </xf>
    <xf numFmtId="0" fontId="4" fillId="0" borderId="7" xfId="1" applyFont="1" applyFill="1" applyBorder="1" applyAlignment="1">
      <alignment horizontal="center" vertical="center"/>
    </xf>
    <xf numFmtId="0" fontId="4" fillId="0" borderId="5" xfId="1" applyFont="1" applyFill="1" applyBorder="1" applyAlignment="1">
      <alignment vertical="center"/>
    </xf>
    <xf numFmtId="0" fontId="8" fillId="0" borderId="2" xfId="1" applyFont="1" applyFill="1" applyBorder="1" applyAlignment="1">
      <alignment horizontal="left" vertical="center"/>
    </xf>
    <xf numFmtId="0" fontId="8" fillId="0" borderId="2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left" vertical="center" wrapText="1"/>
    </xf>
    <xf numFmtId="166" fontId="4" fillId="0" borderId="2" xfId="1" applyNumberFormat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 wrapText="1"/>
    </xf>
    <xf numFmtId="0" fontId="4" fillId="0" borderId="2" xfId="1" quotePrefix="1" applyFont="1" applyFill="1" applyBorder="1" applyAlignment="1">
      <alignment horizontal="center" vertical="center" wrapText="1"/>
    </xf>
    <xf numFmtId="0" fontId="2" fillId="0" borderId="2" xfId="3" applyFill="1" applyBorder="1" applyAlignment="1">
      <alignment horizontal="center" vertical="center"/>
    </xf>
    <xf numFmtId="0" fontId="9" fillId="0" borderId="3" xfId="1" applyFont="1" applyFill="1" applyBorder="1" applyAlignment="1">
      <alignment vertical="center"/>
    </xf>
    <xf numFmtId="0" fontId="9" fillId="0" borderId="10" xfId="1" applyFont="1" applyFill="1" applyBorder="1" applyAlignment="1">
      <alignment horizontal="center" vertical="center"/>
    </xf>
    <xf numFmtId="0" fontId="9" fillId="0" borderId="4" xfId="1" applyFont="1" applyFill="1" applyBorder="1" applyAlignment="1">
      <alignment horizontal="center" vertical="center"/>
    </xf>
    <xf numFmtId="0" fontId="1" fillId="0" borderId="2" xfId="1" applyFill="1" applyBorder="1" applyAlignment="1">
      <alignment vertical="center" wrapText="1"/>
    </xf>
    <xf numFmtId="0" fontId="8" fillId="0" borderId="3" xfId="1" applyFont="1" applyFill="1" applyBorder="1" applyAlignment="1">
      <alignment horizontal="left" vertical="center"/>
    </xf>
    <xf numFmtId="0" fontId="9" fillId="0" borderId="2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vertical="center" wrapText="1"/>
    </xf>
    <xf numFmtId="165" fontId="1" fillId="0" borderId="5" xfId="1" applyNumberFormat="1" applyFill="1" applyBorder="1" applyAlignment="1">
      <alignment vertical="center"/>
    </xf>
    <xf numFmtId="0" fontId="10" fillId="0" borderId="2" xfId="1" applyFont="1" applyFill="1" applyBorder="1" applyAlignment="1">
      <alignment horizontal="left" vertical="center"/>
    </xf>
    <xf numFmtId="0" fontId="10" fillId="0" borderId="2" xfId="1" applyFont="1" applyFill="1" applyBorder="1" applyAlignment="1">
      <alignment horizontal="center" vertical="center"/>
    </xf>
    <xf numFmtId="0" fontId="11" fillId="0" borderId="3" xfId="1" applyFont="1" applyFill="1" applyBorder="1" applyAlignment="1">
      <alignment vertical="center"/>
    </xf>
    <xf numFmtId="0" fontId="4" fillId="0" borderId="10" xfId="1" applyFont="1" applyFill="1" applyBorder="1" applyAlignment="1">
      <alignment horizontal="center" vertical="center"/>
    </xf>
    <xf numFmtId="2" fontId="2" fillId="0" borderId="2" xfId="1" applyNumberFormat="1" applyFont="1" applyFill="1" applyBorder="1" applyAlignment="1">
      <alignment vertical="center"/>
    </xf>
    <xf numFmtId="2" fontId="2" fillId="0" borderId="5" xfId="1" applyNumberFormat="1" applyFont="1" applyFill="1" applyBorder="1" applyAlignment="1">
      <alignment horizontal="left" vertical="center"/>
    </xf>
    <xf numFmtId="168" fontId="2" fillId="0" borderId="2" xfId="1" applyNumberFormat="1" applyFont="1" applyFill="1" applyBorder="1" applyAlignment="1">
      <alignment vertical="center"/>
    </xf>
    <xf numFmtId="0" fontId="4" fillId="0" borderId="3" xfId="1" applyFont="1" applyFill="1" applyBorder="1" applyAlignment="1">
      <alignment vertical="center"/>
    </xf>
    <xf numFmtId="0" fontId="8" fillId="0" borderId="8" xfId="1" applyFont="1" applyFill="1" applyBorder="1" applyAlignment="1">
      <alignment vertical="center"/>
    </xf>
    <xf numFmtId="0" fontId="12" fillId="0" borderId="8" xfId="1" applyFont="1" applyFill="1" applyBorder="1" applyAlignment="1">
      <alignment vertical="center"/>
    </xf>
    <xf numFmtId="0" fontId="8" fillId="0" borderId="1" xfId="1" applyFont="1" applyFill="1" applyBorder="1" applyAlignment="1">
      <alignment vertical="center"/>
    </xf>
    <xf numFmtId="0" fontId="1" fillId="0" borderId="1" xfId="1" applyFill="1" applyBorder="1" applyAlignment="1">
      <alignment vertical="center"/>
    </xf>
    <xf numFmtId="0" fontId="12" fillId="0" borderId="1" xfId="1" applyFont="1" applyFill="1" applyBorder="1" applyAlignment="1">
      <alignment vertical="center"/>
    </xf>
    <xf numFmtId="0" fontId="1" fillId="0" borderId="1" xfId="1" applyFill="1" applyBorder="1" applyAlignment="1">
      <alignment horizontal="left" vertical="center"/>
    </xf>
    <xf numFmtId="0" fontId="1" fillId="0" borderId="2" xfId="1" applyFill="1" applyBorder="1" applyAlignment="1">
      <alignment horizontal="left" vertical="center"/>
    </xf>
    <xf numFmtId="2" fontId="1" fillId="0" borderId="2" xfId="1" applyNumberFormat="1" applyFill="1" applyBorder="1" applyAlignment="1">
      <alignment horizontal="left" vertical="center"/>
    </xf>
    <xf numFmtId="0" fontId="1" fillId="0" borderId="5" xfId="1" applyFill="1" applyBorder="1" applyAlignment="1">
      <alignment vertical="center"/>
    </xf>
    <xf numFmtId="0" fontId="4" fillId="0" borderId="4" xfId="1" applyFont="1" applyFill="1" applyBorder="1" applyAlignment="1">
      <alignment vertical="center"/>
    </xf>
    <xf numFmtId="164" fontId="4" fillId="0" borderId="2" xfId="1" applyNumberFormat="1" applyFont="1" applyFill="1" applyBorder="1" applyAlignment="1">
      <alignment horizontal="center" vertical="center"/>
    </xf>
    <xf numFmtId="165" fontId="4" fillId="0" borderId="2" xfId="1" applyNumberFormat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vertical="center"/>
    </xf>
    <xf numFmtId="166" fontId="4" fillId="0" borderId="2" xfId="1" quotePrefix="1" applyNumberFormat="1" applyFont="1" applyFill="1" applyBorder="1" applyAlignment="1">
      <alignment horizontal="center" vertical="center"/>
    </xf>
    <xf numFmtId="0" fontId="1" fillId="0" borderId="3" xfId="1" applyFill="1" applyBorder="1" applyAlignment="1">
      <alignment vertical="center"/>
    </xf>
    <xf numFmtId="0" fontId="4" fillId="0" borderId="2" xfId="1" applyFont="1" applyFill="1" applyBorder="1"/>
    <xf numFmtId="0" fontId="8" fillId="0" borderId="0" xfId="1" applyFont="1" applyFill="1" applyAlignment="1">
      <alignment vertical="center"/>
    </xf>
    <xf numFmtId="0" fontId="12" fillId="0" borderId="0" xfId="1" applyFont="1" applyFill="1" applyAlignment="1">
      <alignment vertical="center"/>
    </xf>
    <xf numFmtId="0" fontId="4" fillId="0" borderId="10" xfId="1" applyFont="1" applyFill="1" applyBorder="1" applyAlignment="1">
      <alignment vertical="center"/>
    </xf>
    <xf numFmtId="2" fontId="4" fillId="0" borderId="2" xfId="1" applyNumberFormat="1" applyFont="1" applyFill="1" applyBorder="1" applyAlignment="1">
      <alignment horizontal="left" vertical="center"/>
    </xf>
    <xf numFmtId="168" fontId="4" fillId="0" borderId="2" xfId="1" applyNumberFormat="1" applyFont="1" applyFill="1" applyBorder="1" applyAlignment="1">
      <alignment horizontal="left" vertical="center"/>
    </xf>
    <xf numFmtId="164" fontId="4" fillId="0" borderId="2" xfId="1" applyNumberFormat="1" applyFont="1" applyFill="1" applyBorder="1" applyAlignment="1">
      <alignment horizontal="left" vertical="center"/>
    </xf>
    <xf numFmtId="2" fontId="1" fillId="0" borderId="2" xfId="1" applyNumberFormat="1" applyFill="1" applyBorder="1" applyAlignment="1">
      <alignment horizontal="center" vertical="center"/>
    </xf>
    <xf numFmtId="0" fontId="4" fillId="0" borderId="11" xfId="1" applyFont="1" applyFill="1" applyBorder="1" applyAlignment="1">
      <alignment horizontal="center" vertical="center"/>
    </xf>
    <xf numFmtId="0" fontId="4" fillId="0" borderId="2" xfId="1" quotePrefix="1" applyFont="1" applyFill="1" applyBorder="1" applyAlignment="1">
      <alignment vertical="center"/>
    </xf>
    <xf numFmtId="0" fontId="1" fillId="0" borderId="0" xfId="1" applyFill="1"/>
    <xf numFmtId="0" fontId="1" fillId="0" borderId="2" xfId="1" applyFill="1" applyBorder="1"/>
    <xf numFmtId="0" fontId="0" fillId="0" borderId="2" xfId="0" applyBorder="1"/>
    <xf numFmtId="0" fontId="0" fillId="0" borderId="6" xfId="0" applyBorder="1"/>
  </cellXfs>
  <cellStyles count="4">
    <cellStyle name="Normal" xfId="0" builtinId="0"/>
    <cellStyle name="Normal 2" xfId="1" xr:uid="{D5CEAB42-F0C9-4D31-AA7A-F86D6DCC4C3D}"/>
    <cellStyle name="Normal 2 2" xfId="2" xr:uid="{7CAF6344-537B-4DCF-B6BC-C6E58D918CA4}"/>
    <cellStyle name="Normal 3" xfId="3" xr:uid="{29ECE895-1C75-4077-AD74-FFF2F712CC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3A659-4067-4A01-B958-A1720F9FC657}">
  <dimension ref="A1:G16"/>
  <sheetViews>
    <sheetView tabSelected="1" workbookViewId="0"/>
  </sheetViews>
  <sheetFormatPr defaultRowHeight="14.5" x14ac:dyDescent="0.35"/>
  <cols>
    <col min="1" max="1" width="17.81640625" bestFit="1" customWidth="1"/>
    <col min="2" max="2" width="27.81640625" bestFit="1" customWidth="1"/>
    <col min="3" max="3" width="28.453125" bestFit="1" customWidth="1"/>
    <col min="4" max="4" width="56.1796875" bestFit="1" customWidth="1"/>
    <col min="5" max="5" width="13.6328125" bestFit="1" customWidth="1"/>
    <col min="6" max="7" width="29.08984375" bestFit="1" customWidth="1"/>
  </cols>
  <sheetData>
    <row r="1" spans="1:7" x14ac:dyDescent="0.35">
      <c r="A1" s="194" t="s">
        <v>0</v>
      </c>
    </row>
    <row r="2" spans="1:7" x14ac:dyDescent="0.35">
      <c r="A2" s="194" t="s">
        <v>1</v>
      </c>
      <c r="B2" s="194" t="s">
        <v>2</v>
      </c>
      <c r="C2" s="194" t="s">
        <v>6</v>
      </c>
      <c r="D2" s="194" t="s">
        <v>3</v>
      </c>
      <c r="E2" s="194" t="s">
        <v>4</v>
      </c>
      <c r="F2" s="194" t="s">
        <v>5</v>
      </c>
    </row>
    <row r="3" spans="1:7" x14ac:dyDescent="0.35">
      <c r="A3" s="194" t="s">
        <v>7</v>
      </c>
      <c r="B3" s="194" t="s">
        <v>8</v>
      </c>
      <c r="C3" s="194" t="s">
        <v>9</v>
      </c>
      <c r="D3" s="194" t="s">
        <v>10</v>
      </c>
      <c r="E3" s="194" t="s">
        <v>11</v>
      </c>
      <c r="F3" s="194" t="s">
        <v>12</v>
      </c>
    </row>
    <row r="5" spans="1:7" x14ac:dyDescent="0.35">
      <c r="A5" s="195" t="s">
        <v>13</v>
      </c>
    </row>
    <row r="6" spans="1:7" x14ac:dyDescent="0.35">
      <c r="A6" s="194" t="s">
        <v>14</v>
      </c>
      <c r="B6" s="194" t="s">
        <v>15</v>
      </c>
      <c r="C6" s="194" t="s">
        <v>16</v>
      </c>
      <c r="D6" s="194" t="s">
        <v>6</v>
      </c>
      <c r="E6" s="194" t="s">
        <v>47</v>
      </c>
      <c r="F6" s="194" t="s">
        <v>17</v>
      </c>
      <c r="G6" s="194" t="s">
        <v>18</v>
      </c>
    </row>
    <row r="7" spans="1:7" x14ac:dyDescent="0.35">
      <c r="A7" s="194" t="s">
        <v>19</v>
      </c>
      <c r="B7" s="194" t="s">
        <v>20</v>
      </c>
      <c r="C7" s="194" t="s">
        <v>21</v>
      </c>
      <c r="D7" s="194" t="s">
        <v>22</v>
      </c>
      <c r="E7" s="194">
        <v>396210</v>
      </c>
      <c r="F7" s="194" t="s">
        <v>23</v>
      </c>
      <c r="G7" s="194" t="s">
        <v>24</v>
      </c>
    </row>
    <row r="8" spans="1:7" x14ac:dyDescent="0.35">
      <c r="A8" s="194" t="s">
        <v>30</v>
      </c>
      <c r="B8" s="194" t="s">
        <v>31</v>
      </c>
      <c r="C8" s="194" t="s">
        <v>32</v>
      </c>
      <c r="D8" s="194" t="s">
        <v>33</v>
      </c>
      <c r="E8" s="194">
        <v>421302</v>
      </c>
      <c r="F8" s="194" t="s">
        <v>34</v>
      </c>
      <c r="G8" s="194" t="s">
        <v>29</v>
      </c>
    </row>
    <row r="9" spans="1:7" x14ac:dyDescent="0.35">
      <c r="A9" s="194" t="s">
        <v>43</v>
      </c>
      <c r="B9" s="194" t="s">
        <v>42</v>
      </c>
      <c r="C9" s="194" t="s">
        <v>44</v>
      </c>
      <c r="D9" s="194" t="s">
        <v>45</v>
      </c>
      <c r="E9" s="194">
        <v>401208</v>
      </c>
      <c r="F9" s="194" t="s">
        <v>46</v>
      </c>
      <c r="G9" s="194" t="s">
        <v>29</v>
      </c>
    </row>
    <row r="10" spans="1:7" x14ac:dyDescent="0.35">
      <c r="A10" s="194" t="s">
        <v>25</v>
      </c>
      <c r="B10" s="194" t="s">
        <v>26</v>
      </c>
      <c r="C10" s="194" t="s">
        <v>961</v>
      </c>
      <c r="D10" s="194" t="s">
        <v>27</v>
      </c>
      <c r="E10" s="194">
        <v>410206</v>
      </c>
      <c r="F10" s="194" t="s">
        <v>28</v>
      </c>
      <c r="G10" s="194" t="s">
        <v>29</v>
      </c>
    </row>
    <row r="11" spans="1:7" x14ac:dyDescent="0.35">
      <c r="A11" s="194" t="s">
        <v>51</v>
      </c>
      <c r="B11" s="194" t="s">
        <v>52</v>
      </c>
      <c r="C11" s="194" t="s">
        <v>53</v>
      </c>
      <c r="D11" s="194" t="s">
        <v>54</v>
      </c>
      <c r="E11" s="194">
        <v>396210</v>
      </c>
      <c r="F11" s="194" t="s">
        <v>23</v>
      </c>
      <c r="G11" s="194" t="s">
        <v>24</v>
      </c>
    </row>
    <row r="13" spans="1:7" x14ac:dyDescent="0.35">
      <c r="A13" s="195" t="s">
        <v>35</v>
      </c>
    </row>
    <row r="14" spans="1:7" x14ac:dyDescent="0.35">
      <c r="A14" s="194" t="s">
        <v>36</v>
      </c>
      <c r="B14" s="194" t="s">
        <v>37</v>
      </c>
      <c r="C14" s="194" t="s">
        <v>38</v>
      </c>
    </row>
    <row r="15" spans="1:7" x14ac:dyDescent="0.35">
      <c r="A15" s="194" t="s">
        <v>39</v>
      </c>
      <c r="B15" s="194" t="s">
        <v>40</v>
      </c>
      <c r="C15" s="194" t="s">
        <v>41</v>
      </c>
    </row>
    <row r="16" spans="1:7" x14ac:dyDescent="0.35">
      <c r="A16" s="194" t="s">
        <v>48</v>
      </c>
      <c r="B16" s="194" t="s">
        <v>49</v>
      </c>
      <c r="C16" s="194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881BC-66DE-4583-8ED5-0B86C5373756}">
  <sheetPr>
    <pageSetUpPr fitToPage="1"/>
  </sheetPr>
  <dimension ref="A1:AG16"/>
  <sheetViews>
    <sheetView workbookViewId="0"/>
  </sheetViews>
  <sheetFormatPr defaultColWidth="9.1796875" defaultRowHeight="12.5" x14ac:dyDescent="0.35"/>
  <cols>
    <col min="1" max="1" width="13.453125" style="1" bestFit="1" customWidth="1"/>
    <col min="2" max="2" width="11.26953125" style="1" bestFit="1" customWidth="1"/>
    <col min="3" max="3" width="13.453125" style="1" customWidth="1"/>
    <col min="4" max="4" width="5.1796875" style="1" bestFit="1" customWidth="1"/>
    <col min="5" max="5" width="8.54296875" style="1" bestFit="1" customWidth="1"/>
    <col min="6" max="6" width="6" style="72" bestFit="1" customWidth="1"/>
    <col min="7" max="7" width="6.26953125" style="72" bestFit="1" customWidth="1"/>
    <col min="8" max="8" width="32.7265625" style="1" bestFit="1" customWidth="1"/>
    <col min="9" max="9" width="14.1796875" style="1" bestFit="1" customWidth="1"/>
    <col min="10" max="10" width="14.1796875" style="1" customWidth="1"/>
    <col min="11" max="11" width="7" style="1" bestFit="1" customWidth="1"/>
    <col min="12" max="12" width="7.26953125" style="1" bestFit="1" customWidth="1"/>
    <col min="13" max="13" width="8" style="1" bestFit="1" customWidth="1"/>
    <col min="14" max="14" width="9.1796875" style="1" customWidth="1"/>
    <col min="15" max="19" width="9.1796875" style="1"/>
    <col min="20" max="20" width="7.54296875" style="1" bestFit="1" customWidth="1"/>
    <col min="21" max="21" width="6.453125" style="1" bestFit="1" customWidth="1"/>
    <col min="22" max="22" width="5.54296875" style="1" bestFit="1" customWidth="1"/>
    <col min="23" max="23" width="7" style="1" bestFit="1" customWidth="1"/>
    <col min="24" max="24" width="7" style="1" customWidth="1"/>
    <col min="25" max="25" width="8.26953125" style="1" bestFit="1" customWidth="1"/>
    <col min="26" max="16384" width="9.1796875" style="1"/>
  </cols>
  <sheetData>
    <row r="1" spans="1:33" ht="19.5" customHeight="1" x14ac:dyDescent="0.35">
      <c r="A1" s="3" t="s">
        <v>260</v>
      </c>
      <c r="B1" s="3" t="s">
        <v>164</v>
      </c>
      <c r="C1" s="3" t="s">
        <v>56</v>
      </c>
      <c r="D1" s="3" t="s">
        <v>165</v>
      </c>
      <c r="E1" s="3" t="s">
        <v>261</v>
      </c>
      <c r="F1" s="4" t="s">
        <v>166</v>
      </c>
      <c r="G1" s="5"/>
      <c r="H1" s="3" t="s">
        <v>59</v>
      </c>
      <c r="I1" s="3" t="s">
        <v>167</v>
      </c>
      <c r="J1" s="3" t="s">
        <v>61</v>
      </c>
      <c r="K1" s="4" t="s">
        <v>168</v>
      </c>
      <c r="L1" s="5"/>
      <c r="M1" s="3" t="s">
        <v>169</v>
      </c>
      <c r="O1" s="6" t="s">
        <v>64</v>
      </c>
      <c r="P1" s="126" t="s">
        <v>65</v>
      </c>
      <c r="Q1" s="6" t="s">
        <v>66</v>
      </c>
      <c r="R1" s="6" t="s">
        <v>67</v>
      </c>
      <c r="T1" s="7" t="s">
        <v>170</v>
      </c>
      <c r="U1" s="7"/>
      <c r="V1" s="7"/>
      <c r="W1" s="3" t="s">
        <v>171</v>
      </c>
      <c r="X1" s="3" t="s">
        <v>69</v>
      </c>
      <c r="Y1" s="3" t="s">
        <v>70</v>
      </c>
      <c r="AA1" s="7" t="s">
        <v>71</v>
      </c>
      <c r="AB1" s="7"/>
      <c r="AD1" s="7" t="s">
        <v>72</v>
      </c>
      <c r="AE1" s="7"/>
      <c r="AF1" s="7" t="s">
        <v>73</v>
      </c>
      <c r="AG1" s="7"/>
    </row>
    <row r="2" spans="1:33" ht="19.5" customHeight="1" x14ac:dyDescent="0.35">
      <c r="A2" s="10"/>
      <c r="B2" s="10"/>
      <c r="C2" s="8"/>
      <c r="D2" s="3" t="s">
        <v>74</v>
      </c>
      <c r="E2" s="3" t="s">
        <v>74</v>
      </c>
      <c r="F2" s="3" t="s">
        <v>173</v>
      </c>
      <c r="G2" s="3" t="s">
        <v>76</v>
      </c>
      <c r="H2" s="73"/>
      <c r="I2" s="3"/>
      <c r="J2" s="3"/>
      <c r="K2" s="3" t="s">
        <v>174</v>
      </c>
      <c r="L2" s="3" t="s">
        <v>175</v>
      </c>
      <c r="M2" s="8"/>
      <c r="O2" s="6"/>
      <c r="P2" s="126"/>
      <c r="Q2" s="6"/>
      <c r="R2" s="6"/>
      <c r="T2" s="3" t="s">
        <v>176</v>
      </c>
      <c r="U2" s="3" t="s">
        <v>177</v>
      </c>
      <c r="V2" s="3" t="s">
        <v>178</v>
      </c>
      <c r="W2" s="8"/>
      <c r="X2" s="3" t="s">
        <v>262</v>
      </c>
      <c r="Y2" s="3" t="s">
        <v>83</v>
      </c>
      <c r="AA2" s="3" t="s">
        <v>75</v>
      </c>
      <c r="AB2" s="3" t="s">
        <v>178</v>
      </c>
      <c r="AD2" s="3" t="s">
        <v>180</v>
      </c>
      <c r="AE2" s="3" t="s">
        <v>178</v>
      </c>
      <c r="AF2" s="101" t="s">
        <v>84</v>
      </c>
      <c r="AG2" s="9"/>
    </row>
    <row r="3" spans="1:33" ht="25" x14ac:dyDescent="0.35">
      <c r="A3" s="102" t="s">
        <v>296</v>
      </c>
      <c r="B3" s="102" t="s">
        <v>296</v>
      </c>
      <c r="C3" s="103" t="s">
        <v>161</v>
      </c>
      <c r="D3" s="3">
        <v>15</v>
      </c>
      <c r="E3" s="3"/>
      <c r="F3" s="8">
        <v>50</v>
      </c>
      <c r="G3" s="8">
        <v>1000</v>
      </c>
      <c r="H3" s="15" t="s">
        <v>297</v>
      </c>
      <c r="I3" s="104" t="s">
        <v>298</v>
      </c>
      <c r="J3" s="105">
        <v>3917.4</v>
      </c>
      <c r="K3" s="10"/>
      <c r="L3" s="10">
        <f t="shared" ref="L3:L15" si="0">K3/G3</f>
        <v>0</v>
      </c>
      <c r="M3" s="11">
        <f t="shared" ref="M3:M15" si="1">L3*0.06</f>
        <v>0</v>
      </c>
      <c r="O3" s="127">
        <v>15.2</v>
      </c>
      <c r="P3" s="127">
        <f>O3+1</f>
        <v>16.2</v>
      </c>
      <c r="Q3" s="106">
        <f t="shared" ref="Q3:Q15" si="2">O3*L3</f>
        <v>0</v>
      </c>
      <c r="R3" s="106">
        <f t="shared" ref="R3:R15" si="3">P3*L3</f>
        <v>0</v>
      </c>
      <c r="T3" s="8">
        <f t="shared" ref="T3:T15" si="4">$G3/$F3</f>
        <v>20</v>
      </c>
      <c r="U3" s="8">
        <f t="shared" ref="U3:U15" si="5">$G3</f>
        <v>1000</v>
      </c>
      <c r="V3" s="16">
        <f>(U3+T3)*1.1</f>
        <v>1122</v>
      </c>
      <c r="W3" s="8">
        <f t="shared" ref="W3:W15" si="6">$L3*V3</f>
        <v>0</v>
      </c>
      <c r="X3" s="8">
        <v>276</v>
      </c>
      <c r="Y3" s="10">
        <f t="shared" ref="Y3:Y15" si="7">ROUNDUP(W3/X3,)</f>
        <v>0</v>
      </c>
      <c r="AA3" s="12">
        <v>3.45</v>
      </c>
      <c r="AB3" s="13">
        <f t="shared" ref="AB3:AB15" si="8">$K3*AA3</f>
        <v>0</v>
      </c>
      <c r="AD3" s="107">
        <v>3.6</v>
      </c>
      <c r="AE3" s="107">
        <f t="shared" ref="AE3:AE15" si="9">K3*AD3/100</f>
        <v>0</v>
      </c>
      <c r="AF3" s="14" t="e">
        <f t="shared" ref="AF3:AF15" si="10">AG3/K3</f>
        <v>#DIV/0!</v>
      </c>
      <c r="AG3" s="13">
        <f t="shared" ref="AG3:AG15" si="11">AE3*$AG$2</f>
        <v>0</v>
      </c>
    </row>
    <row r="4" spans="1:33" ht="25" x14ac:dyDescent="0.35">
      <c r="A4" s="102" t="s">
        <v>299</v>
      </c>
      <c r="B4" s="102" t="s">
        <v>299</v>
      </c>
      <c r="C4" s="103" t="s">
        <v>161</v>
      </c>
      <c r="D4" s="3">
        <v>20</v>
      </c>
      <c r="E4" s="3"/>
      <c r="F4" s="8">
        <v>50</v>
      </c>
      <c r="G4" s="8">
        <v>600</v>
      </c>
      <c r="H4" s="15" t="s">
        <v>300</v>
      </c>
      <c r="I4" s="104" t="s">
        <v>301</v>
      </c>
      <c r="J4" s="105">
        <v>3917.4</v>
      </c>
      <c r="K4" s="10"/>
      <c r="L4" s="10">
        <f t="shared" si="0"/>
        <v>0</v>
      </c>
      <c r="M4" s="11">
        <f t="shared" si="1"/>
        <v>0</v>
      </c>
      <c r="O4" s="127">
        <v>12</v>
      </c>
      <c r="P4" s="127">
        <v>13</v>
      </c>
      <c r="Q4" s="106">
        <f t="shared" si="2"/>
        <v>0</v>
      </c>
      <c r="R4" s="106">
        <f t="shared" si="3"/>
        <v>0</v>
      </c>
      <c r="T4" s="8">
        <f t="shared" si="4"/>
        <v>12</v>
      </c>
      <c r="U4" s="8">
        <f t="shared" si="5"/>
        <v>600</v>
      </c>
      <c r="V4" s="16">
        <f>(U4+T4)*1.1</f>
        <v>673.2</v>
      </c>
      <c r="W4" s="8">
        <f t="shared" si="6"/>
        <v>0</v>
      </c>
      <c r="X4" s="8">
        <v>276</v>
      </c>
      <c r="Y4" s="10">
        <f t="shared" si="7"/>
        <v>0</v>
      </c>
      <c r="AA4" s="12">
        <v>4.4000000000000004</v>
      </c>
      <c r="AB4" s="13">
        <f t="shared" si="8"/>
        <v>0</v>
      </c>
      <c r="AD4" s="107">
        <v>6</v>
      </c>
      <c r="AE4" s="107">
        <f t="shared" si="9"/>
        <v>0</v>
      </c>
      <c r="AF4" s="14" t="e">
        <f t="shared" si="10"/>
        <v>#DIV/0!</v>
      </c>
      <c r="AG4" s="13">
        <f t="shared" si="11"/>
        <v>0</v>
      </c>
    </row>
    <row r="5" spans="1:33" ht="25" x14ac:dyDescent="0.35">
      <c r="A5" s="102" t="s">
        <v>302</v>
      </c>
      <c r="B5" s="102" t="s">
        <v>302</v>
      </c>
      <c r="C5" s="103" t="s">
        <v>161</v>
      </c>
      <c r="D5" s="3">
        <v>25</v>
      </c>
      <c r="E5" s="3"/>
      <c r="F5" s="8">
        <v>50</v>
      </c>
      <c r="G5" s="8">
        <v>350</v>
      </c>
      <c r="H5" s="15" t="s">
        <v>303</v>
      </c>
      <c r="I5" s="104" t="s">
        <v>304</v>
      </c>
      <c r="J5" s="105">
        <v>3917.4</v>
      </c>
      <c r="K5" s="10"/>
      <c r="L5" s="10">
        <f t="shared" si="0"/>
        <v>0</v>
      </c>
      <c r="M5" s="11">
        <f t="shared" si="1"/>
        <v>0</v>
      </c>
      <c r="O5" s="127">
        <v>7.8</v>
      </c>
      <c r="P5" s="127">
        <v>8.8000000000000007</v>
      </c>
      <c r="Q5" s="106">
        <f t="shared" si="2"/>
        <v>0</v>
      </c>
      <c r="R5" s="106">
        <f t="shared" si="3"/>
        <v>0</v>
      </c>
      <c r="T5" s="8">
        <f t="shared" si="4"/>
        <v>7</v>
      </c>
      <c r="U5" s="8">
        <f t="shared" si="5"/>
        <v>350</v>
      </c>
      <c r="V5" s="16">
        <f>(U5+T5)*1.1</f>
        <v>392.70000000000005</v>
      </c>
      <c r="W5" s="8">
        <f t="shared" si="6"/>
        <v>0</v>
      </c>
      <c r="X5" s="8">
        <v>276</v>
      </c>
      <c r="Y5" s="10">
        <f t="shared" si="7"/>
        <v>0</v>
      </c>
      <c r="AA5" s="12">
        <v>8</v>
      </c>
      <c r="AB5" s="13">
        <f t="shared" si="8"/>
        <v>0</v>
      </c>
      <c r="AD5" s="107">
        <v>10.8</v>
      </c>
      <c r="AE5" s="107">
        <f t="shared" si="9"/>
        <v>0</v>
      </c>
      <c r="AF5" s="14" t="e">
        <f t="shared" si="10"/>
        <v>#DIV/0!</v>
      </c>
      <c r="AG5" s="13">
        <f t="shared" si="11"/>
        <v>0</v>
      </c>
    </row>
    <row r="6" spans="1:33" ht="25" x14ac:dyDescent="0.35">
      <c r="A6" s="102" t="s">
        <v>305</v>
      </c>
      <c r="B6" s="102" t="s">
        <v>305</v>
      </c>
      <c r="C6" s="103" t="s">
        <v>161</v>
      </c>
      <c r="D6" s="3">
        <v>15</v>
      </c>
      <c r="E6" s="3">
        <v>50</v>
      </c>
      <c r="F6" s="8">
        <v>50</v>
      </c>
      <c r="G6" s="8">
        <v>1800</v>
      </c>
      <c r="H6" s="15" t="s">
        <v>306</v>
      </c>
      <c r="I6" s="104" t="s">
        <v>307</v>
      </c>
      <c r="J6" s="105">
        <v>3917.4</v>
      </c>
      <c r="K6" s="10"/>
      <c r="L6" s="10">
        <f t="shared" si="0"/>
        <v>0</v>
      </c>
      <c r="M6" s="11">
        <f t="shared" si="1"/>
        <v>0</v>
      </c>
      <c r="O6" s="127">
        <v>12.9</v>
      </c>
      <c r="P6" s="127">
        <v>14.2</v>
      </c>
      <c r="Q6" s="106">
        <f t="shared" si="2"/>
        <v>0</v>
      </c>
      <c r="R6" s="106">
        <f t="shared" si="3"/>
        <v>0</v>
      </c>
      <c r="T6" s="8">
        <f t="shared" si="4"/>
        <v>36</v>
      </c>
      <c r="U6" s="8">
        <f t="shared" si="5"/>
        <v>1800</v>
      </c>
      <c r="V6" s="16">
        <f t="shared" ref="V6:V15" si="12">(U6+T6)*1.1</f>
        <v>2019.6000000000001</v>
      </c>
      <c r="W6" s="8">
        <f t="shared" si="6"/>
        <v>0</v>
      </c>
      <c r="X6" s="8">
        <v>144</v>
      </c>
      <c r="Y6" s="10">
        <f t="shared" si="7"/>
        <v>0</v>
      </c>
      <c r="AA6" s="12">
        <v>1.93</v>
      </c>
      <c r="AB6" s="13">
        <f t="shared" si="8"/>
        <v>0</v>
      </c>
      <c r="AD6" s="107">
        <v>3.9</v>
      </c>
      <c r="AE6" s="107">
        <f t="shared" si="9"/>
        <v>0</v>
      </c>
      <c r="AF6" s="14" t="e">
        <f t="shared" si="10"/>
        <v>#DIV/0!</v>
      </c>
      <c r="AG6" s="13">
        <f t="shared" si="11"/>
        <v>0</v>
      </c>
    </row>
    <row r="7" spans="1:33" ht="25" x14ac:dyDescent="0.35">
      <c r="A7" s="102" t="s">
        <v>308</v>
      </c>
      <c r="B7" s="102" t="s">
        <v>308</v>
      </c>
      <c r="C7" s="103" t="s">
        <v>161</v>
      </c>
      <c r="D7" s="3">
        <v>15</v>
      </c>
      <c r="E7" s="3">
        <v>300</v>
      </c>
      <c r="F7" s="8">
        <v>10</v>
      </c>
      <c r="G7" s="8">
        <v>300</v>
      </c>
      <c r="H7" s="15" t="s">
        <v>309</v>
      </c>
      <c r="I7" s="104" t="s">
        <v>310</v>
      </c>
      <c r="J7" s="105">
        <v>3917.4</v>
      </c>
      <c r="K7" s="10"/>
      <c r="L7" s="10">
        <f t="shared" si="0"/>
        <v>0</v>
      </c>
      <c r="M7" s="11">
        <f t="shared" si="1"/>
        <v>0</v>
      </c>
      <c r="O7" s="127">
        <v>15.6</v>
      </c>
      <c r="P7" s="127">
        <f t="shared" ref="P7:P8" si="13">O7+1</f>
        <v>16.600000000000001</v>
      </c>
      <c r="Q7" s="106">
        <f t="shared" si="2"/>
        <v>0</v>
      </c>
      <c r="R7" s="106">
        <f t="shared" si="3"/>
        <v>0</v>
      </c>
      <c r="T7" s="8">
        <f t="shared" si="4"/>
        <v>30</v>
      </c>
      <c r="U7" s="8">
        <f t="shared" si="5"/>
        <v>300</v>
      </c>
      <c r="V7" s="16">
        <f t="shared" si="12"/>
        <v>363.00000000000006</v>
      </c>
      <c r="W7" s="8">
        <f t="shared" si="6"/>
        <v>0</v>
      </c>
      <c r="X7" s="8">
        <v>144</v>
      </c>
      <c r="Y7" s="10">
        <f t="shared" si="7"/>
        <v>0</v>
      </c>
      <c r="AA7" s="12">
        <v>9</v>
      </c>
      <c r="AB7" s="13">
        <f t="shared" si="8"/>
        <v>0</v>
      </c>
      <c r="AD7" s="107">
        <v>13.2</v>
      </c>
      <c r="AE7" s="107">
        <f t="shared" si="9"/>
        <v>0</v>
      </c>
      <c r="AF7" s="14" t="e">
        <f t="shared" si="10"/>
        <v>#DIV/0!</v>
      </c>
      <c r="AG7" s="13">
        <f t="shared" si="11"/>
        <v>0</v>
      </c>
    </row>
    <row r="8" spans="1:33" ht="25" x14ac:dyDescent="0.35">
      <c r="A8" s="73">
        <v>90441300</v>
      </c>
      <c r="B8" s="73" t="s">
        <v>311</v>
      </c>
      <c r="C8" s="3" t="s">
        <v>161</v>
      </c>
      <c r="D8" s="3" t="s">
        <v>293</v>
      </c>
      <c r="E8" s="3">
        <v>300</v>
      </c>
      <c r="F8" s="8">
        <v>10</v>
      </c>
      <c r="G8" s="8">
        <v>300</v>
      </c>
      <c r="H8" s="15" t="s">
        <v>312</v>
      </c>
      <c r="I8" s="104" t="s">
        <v>313</v>
      </c>
      <c r="J8" s="105">
        <v>3917.4</v>
      </c>
      <c r="K8" s="10"/>
      <c r="L8" s="10">
        <f t="shared" si="0"/>
        <v>0</v>
      </c>
      <c r="M8" s="11">
        <f t="shared" si="1"/>
        <v>0</v>
      </c>
      <c r="O8" s="127">
        <v>15.6</v>
      </c>
      <c r="P8" s="127">
        <f t="shared" si="13"/>
        <v>16.600000000000001</v>
      </c>
      <c r="Q8" s="106">
        <f t="shared" si="2"/>
        <v>0</v>
      </c>
      <c r="R8" s="106">
        <f t="shared" si="3"/>
        <v>0</v>
      </c>
      <c r="T8" s="8">
        <f t="shared" si="4"/>
        <v>30</v>
      </c>
      <c r="U8" s="8">
        <f t="shared" si="5"/>
        <v>300</v>
      </c>
      <c r="V8" s="16">
        <f t="shared" si="12"/>
        <v>363.00000000000006</v>
      </c>
      <c r="W8" s="8">
        <f t="shared" si="6"/>
        <v>0</v>
      </c>
      <c r="X8" s="8">
        <v>144</v>
      </c>
      <c r="Y8" s="10">
        <f t="shared" si="7"/>
        <v>0</v>
      </c>
      <c r="AA8" s="12">
        <v>9</v>
      </c>
      <c r="AB8" s="13">
        <f t="shared" si="8"/>
        <v>0</v>
      </c>
      <c r="AD8" s="107">
        <v>14.4</v>
      </c>
      <c r="AE8" s="107">
        <f t="shared" si="9"/>
        <v>0</v>
      </c>
      <c r="AF8" s="14" t="e">
        <f t="shared" si="10"/>
        <v>#DIV/0!</v>
      </c>
      <c r="AG8" s="13">
        <f t="shared" si="11"/>
        <v>0</v>
      </c>
    </row>
    <row r="9" spans="1:33" ht="25" x14ac:dyDescent="0.35">
      <c r="A9" s="102" t="s">
        <v>314</v>
      </c>
      <c r="B9" s="102" t="s">
        <v>314</v>
      </c>
      <c r="C9" s="103" t="s">
        <v>161</v>
      </c>
      <c r="D9" s="3">
        <v>20</v>
      </c>
      <c r="E9" s="3">
        <v>300</v>
      </c>
      <c r="F9" s="8">
        <v>10</v>
      </c>
      <c r="G9" s="8">
        <v>230</v>
      </c>
      <c r="H9" s="15" t="s">
        <v>315</v>
      </c>
      <c r="I9" s="104" t="s">
        <v>316</v>
      </c>
      <c r="J9" s="105">
        <v>3917.4</v>
      </c>
      <c r="K9" s="10"/>
      <c r="L9" s="10">
        <f t="shared" si="0"/>
        <v>0</v>
      </c>
      <c r="M9" s="11">
        <f t="shared" si="1"/>
        <v>0</v>
      </c>
      <c r="O9" s="127">
        <v>16.100000000000001</v>
      </c>
      <c r="P9" s="127">
        <f>O9+1</f>
        <v>17.100000000000001</v>
      </c>
      <c r="Q9" s="106">
        <f t="shared" si="2"/>
        <v>0</v>
      </c>
      <c r="R9" s="106">
        <f t="shared" si="3"/>
        <v>0</v>
      </c>
      <c r="T9" s="8">
        <f t="shared" si="4"/>
        <v>23</v>
      </c>
      <c r="U9" s="8">
        <f t="shared" si="5"/>
        <v>230</v>
      </c>
      <c r="V9" s="16">
        <f t="shared" si="12"/>
        <v>278.3</v>
      </c>
      <c r="W9" s="8">
        <f t="shared" si="6"/>
        <v>0</v>
      </c>
      <c r="X9" s="8">
        <v>144</v>
      </c>
      <c r="Y9" s="10">
        <f t="shared" si="7"/>
        <v>0</v>
      </c>
      <c r="AA9" s="12">
        <v>11</v>
      </c>
      <c r="AB9" s="13">
        <f t="shared" si="8"/>
        <v>0</v>
      </c>
      <c r="AD9" s="107">
        <v>15.6</v>
      </c>
      <c r="AE9" s="107">
        <f t="shared" si="9"/>
        <v>0</v>
      </c>
      <c r="AF9" s="14" t="e">
        <f t="shared" si="10"/>
        <v>#DIV/0!</v>
      </c>
      <c r="AG9" s="13">
        <f t="shared" si="11"/>
        <v>0</v>
      </c>
    </row>
    <row r="10" spans="1:33" ht="25" x14ac:dyDescent="0.35">
      <c r="A10" s="73">
        <v>90442300</v>
      </c>
      <c r="B10" s="73" t="s">
        <v>317</v>
      </c>
      <c r="C10" s="3" t="s">
        <v>161</v>
      </c>
      <c r="D10" s="3" t="s">
        <v>318</v>
      </c>
      <c r="E10" s="3">
        <v>300</v>
      </c>
      <c r="F10" s="8">
        <v>10</v>
      </c>
      <c r="G10" s="8">
        <v>230</v>
      </c>
      <c r="H10" s="15" t="s">
        <v>319</v>
      </c>
      <c r="I10" s="104" t="s">
        <v>320</v>
      </c>
      <c r="J10" s="105">
        <v>3917.4</v>
      </c>
      <c r="K10" s="10"/>
      <c r="L10" s="10">
        <f t="shared" si="0"/>
        <v>0</v>
      </c>
      <c r="M10" s="11">
        <f t="shared" si="1"/>
        <v>0</v>
      </c>
      <c r="O10" s="127">
        <v>16.100000000000001</v>
      </c>
      <c r="P10" s="127">
        <f>O10+1</f>
        <v>17.100000000000001</v>
      </c>
      <c r="Q10" s="106">
        <f t="shared" si="2"/>
        <v>0</v>
      </c>
      <c r="R10" s="106">
        <f t="shared" si="3"/>
        <v>0</v>
      </c>
      <c r="T10" s="8">
        <f t="shared" si="4"/>
        <v>23</v>
      </c>
      <c r="U10" s="8">
        <f t="shared" si="5"/>
        <v>230</v>
      </c>
      <c r="V10" s="16">
        <f t="shared" si="12"/>
        <v>278.3</v>
      </c>
      <c r="W10" s="8">
        <f t="shared" si="6"/>
        <v>0</v>
      </c>
      <c r="X10" s="8">
        <v>144</v>
      </c>
      <c r="Y10" s="10">
        <f t="shared" si="7"/>
        <v>0</v>
      </c>
      <c r="AA10" s="12">
        <v>11</v>
      </c>
      <c r="AB10" s="13">
        <f t="shared" si="8"/>
        <v>0</v>
      </c>
      <c r="AD10" s="107">
        <v>18</v>
      </c>
      <c r="AE10" s="107">
        <f t="shared" si="9"/>
        <v>0</v>
      </c>
      <c r="AF10" s="14" t="e">
        <f t="shared" si="10"/>
        <v>#DIV/0!</v>
      </c>
      <c r="AG10" s="13">
        <f t="shared" si="11"/>
        <v>0</v>
      </c>
    </row>
    <row r="11" spans="1:33" ht="25" x14ac:dyDescent="0.35">
      <c r="A11" s="102" t="s">
        <v>321</v>
      </c>
      <c r="B11" s="102" t="s">
        <v>321</v>
      </c>
      <c r="C11" s="103" t="s">
        <v>161</v>
      </c>
      <c r="D11" s="3">
        <v>25</v>
      </c>
      <c r="E11" s="3">
        <v>300</v>
      </c>
      <c r="F11" s="8">
        <v>10</v>
      </c>
      <c r="G11" s="8">
        <v>150</v>
      </c>
      <c r="H11" s="15" t="s">
        <v>322</v>
      </c>
      <c r="I11" s="128" t="s">
        <v>323</v>
      </c>
      <c r="J11" s="105">
        <v>3917.4</v>
      </c>
      <c r="K11" s="10"/>
      <c r="L11" s="10">
        <f t="shared" si="0"/>
        <v>0</v>
      </c>
      <c r="M11" s="11">
        <f t="shared" si="1"/>
        <v>0</v>
      </c>
      <c r="O11" s="127">
        <v>18.82</v>
      </c>
      <c r="P11" s="127">
        <v>19.82</v>
      </c>
      <c r="Q11" s="106">
        <f t="shared" si="2"/>
        <v>0</v>
      </c>
      <c r="R11" s="106">
        <f t="shared" si="3"/>
        <v>0</v>
      </c>
      <c r="T11" s="8">
        <f t="shared" si="4"/>
        <v>15</v>
      </c>
      <c r="U11" s="8">
        <f t="shared" si="5"/>
        <v>150</v>
      </c>
      <c r="V11" s="16">
        <f t="shared" si="12"/>
        <v>181.50000000000003</v>
      </c>
      <c r="W11" s="8">
        <f t="shared" si="6"/>
        <v>0</v>
      </c>
      <c r="X11" s="8">
        <v>144</v>
      </c>
      <c r="Y11" s="10">
        <f t="shared" si="7"/>
        <v>0</v>
      </c>
      <c r="AA11" s="12">
        <v>15.5</v>
      </c>
      <c r="AB11" s="13">
        <f t="shared" si="8"/>
        <v>0</v>
      </c>
      <c r="AD11" s="107">
        <v>25.2</v>
      </c>
      <c r="AE11" s="107">
        <f t="shared" si="9"/>
        <v>0</v>
      </c>
      <c r="AF11" s="14" t="e">
        <f t="shared" si="10"/>
        <v>#DIV/0!</v>
      </c>
      <c r="AG11" s="13">
        <f t="shared" si="11"/>
        <v>0</v>
      </c>
    </row>
    <row r="12" spans="1:33" ht="25" x14ac:dyDescent="0.35">
      <c r="A12" s="73">
        <v>90443300</v>
      </c>
      <c r="B12" s="73" t="s">
        <v>324</v>
      </c>
      <c r="C12" s="3" t="s">
        <v>161</v>
      </c>
      <c r="D12" s="3" t="s">
        <v>325</v>
      </c>
      <c r="E12" s="3">
        <v>300</v>
      </c>
      <c r="F12" s="8">
        <v>10</v>
      </c>
      <c r="G12" s="8">
        <v>150</v>
      </c>
      <c r="H12" s="15" t="s">
        <v>326</v>
      </c>
      <c r="I12" s="128" t="s">
        <v>327</v>
      </c>
      <c r="J12" s="105">
        <v>3917.4</v>
      </c>
      <c r="K12" s="10"/>
      <c r="L12" s="10">
        <f t="shared" si="0"/>
        <v>0</v>
      </c>
      <c r="M12" s="11">
        <f t="shared" si="1"/>
        <v>0</v>
      </c>
      <c r="O12" s="127">
        <v>18.82</v>
      </c>
      <c r="P12" s="127">
        <v>19.82</v>
      </c>
      <c r="Q12" s="106">
        <f t="shared" si="2"/>
        <v>0</v>
      </c>
      <c r="R12" s="106">
        <f t="shared" si="3"/>
        <v>0</v>
      </c>
      <c r="T12" s="8">
        <f t="shared" si="4"/>
        <v>15</v>
      </c>
      <c r="U12" s="8">
        <f t="shared" si="5"/>
        <v>150</v>
      </c>
      <c r="V12" s="16">
        <f t="shared" si="12"/>
        <v>181.50000000000003</v>
      </c>
      <c r="W12" s="8">
        <f t="shared" si="6"/>
        <v>0</v>
      </c>
      <c r="X12" s="8">
        <v>144</v>
      </c>
      <c r="Y12" s="10">
        <f t="shared" si="7"/>
        <v>0</v>
      </c>
      <c r="AA12" s="12">
        <v>15.5</v>
      </c>
      <c r="AB12" s="13">
        <f t="shared" si="8"/>
        <v>0</v>
      </c>
      <c r="AD12" s="107">
        <v>27.6</v>
      </c>
      <c r="AE12" s="107">
        <f t="shared" si="9"/>
        <v>0</v>
      </c>
      <c r="AF12" s="14" t="e">
        <f t="shared" si="10"/>
        <v>#DIV/0!</v>
      </c>
      <c r="AG12" s="13">
        <f t="shared" si="11"/>
        <v>0</v>
      </c>
    </row>
    <row r="13" spans="1:33" ht="25" x14ac:dyDescent="0.35">
      <c r="A13" s="102" t="s">
        <v>328</v>
      </c>
      <c r="B13" s="102" t="s">
        <v>328</v>
      </c>
      <c r="C13" s="103" t="s">
        <v>329</v>
      </c>
      <c r="D13" s="3">
        <v>15</v>
      </c>
      <c r="E13" s="3">
        <v>300</v>
      </c>
      <c r="F13" s="8">
        <v>10</v>
      </c>
      <c r="G13" s="8">
        <v>80</v>
      </c>
      <c r="H13" s="15" t="s">
        <v>330</v>
      </c>
      <c r="I13" s="128" t="s">
        <v>331</v>
      </c>
      <c r="J13" s="105">
        <v>3917.4</v>
      </c>
      <c r="K13" s="10"/>
      <c r="L13" s="10">
        <f t="shared" si="0"/>
        <v>0</v>
      </c>
      <c r="M13" s="11">
        <f t="shared" si="1"/>
        <v>0</v>
      </c>
      <c r="O13" s="127">
        <v>7.5</v>
      </c>
      <c r="P13" s="127">
        <f>O13+1</f>
        <v>8.5</v>
      </c>
      <c r="Q13" s="106">
        <f t="shared" si="2"/>
        <v>0</v>
      </c>
      <c r="R13" s="106">
        <f t="shared" si="3"/>
        <v>0</v>
      </c>
      <c r="T13" s="8">
        <f t="shared" si="4"/>
        <v>8</v>
      </c>
      <c r="U13" s="8">
        <f t="shared" si="5"/>
        <v>80</v>
      </c>
      <c r="V13" s="16">
        <f t="shared" si="12"/>
        <v>96.800000000000011</v>
      </c>
      <c r="W13" s="8">
        <f t="shared" si="6"/>
        <v>0</v>
      </c>
      <c r="X13" s="8">
        <v>144</v>
      </c>
      <c r="Y13" s="10">
        <f t="shared" si="7"/>
        <v>0</v>
      </c>
      <c r="AA13" s="12">
        <v>17.899999999999999</v>
      </c>
      <c r="AB13" s="13">
        <f t="shared" si="8"/>
        <v>0</v>
      </c>
      <c r="AD13" s="107">
        <v>26.4</v>
      </c>
      <c r="AE13" s="107">
        <f t="shared" si="9"/>
        <v>0</v>
      </c>
      <c r="AF13" s="14" t="e">
        <f t="shared" si="10"/>
        <v>#DIV/0!</v>
      </c>
      <c r="AG13" s="13">
        <f t="shared" si="11"/>
        <v>0</v>
      </c>
    </row>
    <row r="14" spans="1:33" ht="25" x14ac:dyDescent="0.35">
      <c r="A14" s="102" t="s">
        <v>332</v>
      </c>
      <c r="B14" s="102" t="s">
        <v>332</v>
      </c>
      <c r="C14" s="103" t="s">
        <v>329</v>
      </c>
      <c r="D14" s="3">
        <v>20</v>
      </c>
      <c r="E14" s="3">
        <v>300</v>
      </c>
      <c r="F14" s="8">
        <v>5</v>
      </c>
      <c r="G14" s="8">
        <v>50</v>
      </c>
      <c r="H14" s="15" t="s">
        <v>333</v>
      </c>
      <c r="I14" s="128" t="s">
        <v>334</v>
      </c>
      <c r="J14" s="105">
        <v>3917.4</v>
      </c>
      <c r="K14" s="10"/>
      <c r="L14" s="10">
        <f t="shared" si="0"/>
        <v>0</v>
      </c>
      <c r="M14" s="11">
        <f t="shared" si="1"/>
        <v>0</v>
      </c>
      <c r="O14" s="127">
        <v>6.2</v>
      </c>
      <c r="P14" s="127">
        <v>7.2</v>
      </c>
      <c r="Q14" s="106">
        <f t="shared" si="2"/>
        <v>0</v>
      </c>
      <c r="R14" s="106">
        <f t="shared" si="3"/>
        <v>0</v>
      </c>
      <c r="T14" s="8">
        <f t="shared" si="4"/>
        <v>10</v>
      </c>
      <c r="U14" s="8">
        <f t="shared" si="5"/>
        <v>50</v>
      </c>
      <c r="V14" s="16">
        <f t="shared" si="12"/>
        <v>66</v>
      </c>
      <c r="W14" s="8">
        <f t="shared" si="6"/>
        <v>0</v>
      </c>
      <c r="X14" s="8">
        <v>144</v>
      </c>
      <c r="Y14" s="10">
        <f t="shared" si="7"/>
        <v>0</v>
      </c>
      <c r="AA14" s="12">
        <v>22.75</v>
      </c>
      <c r="AB14" s="13">
        <f t="shared" si="8"/>
        <v>0</v>
      </c>
      <c r="AD14" s="107">
        <v>38.4</v>
      </c>
      <c r="AE14" s="107">
        <f t="shared" si="9"/>
        <v>0</v>
      </c>
      <c r="AF14" s="14" t="e">
        <f t="shared" si="10"/>
        <v>#DIV/0!</v>
      </c>
      <c r="AG14" s="13">
        <f t="shared" si="11"/>
        <v>0</v>
      </c>
    </row>
    <row r="15" spans="1:33" ht="25" x14ac:dyDescent="0.35">
      <c r="A15" s="102" t="s">
        <v>335</v>
      </c>
      <c r="B15" s="102" t="s">
        <v>335</v>
      </c>
      <c r="C15" s="103" t="s">
        <v>329</v>
      </c>
      <c r="D15" s="3">
        <v>25</v>
      </c>
      <c r="E15" s="3">
        <v>300</v>
      </c>
      <c r="F15" s="8">
        <v>5</v>
      </c>
      <c r="G15" s="8">
        <v>30</v>
      </c>
      <c r="H15" s="15" t="s">
        <v>336</v>
      </c>
      <c r="I15" s="104" t="s">
        <v>337</v>
      </c>
      <c r="J15" s="105">
        <v>3917.4</v>
      </c>
      <c r="K15" s="10"/>
      <c r="L15" s="10">
        <f t="shared" si="0"/>
        <v>0</v>
      </c>
      <c r="M15" s="11">
        <f t="shared" si="1"/>
        <v>0</v>
      </c>
      <c r="O15" s="127">
        <v>13.7</v>
      </c>
      <c r="P15" s="127">
        <v>14.7</v>
      </c>
      <c r="Q15" s="106">
        <f t="shared" si="2"/>
        <v>0</v>
      </c>
      <c r="R15" s="106">
        <f t="shared" si="3"/>
        <v>0</v>
      </c>
      <c r="T15" s="8">
        <f t="shared" si="4"/>
        <v>6</v>
      </c>
      <c r="U15" s="8">
        <f t="shared" si="5"/>
        <v>30</v>
      </c>
      <c r="V15" s="16">
        <f t="shared" si="12"/>
        <v>39.6</v>
      </c>
      <c r="W15" s="8">
        <f t="shared" si="6"/>
        <v>0</v>
      </c>
      <c r="X15" s="8">
        <v>144</v>
      </c>
      <c r="Y15" s="10">
        <f t="shared" si="7"/>
        <v>0</v>
      </c>
      <c r="AA15" s="12">
        <v>39.5</v>
      </c>
      <c r="AB15" s="13">
        <f t="shared" si="8"/>
        <v>0</v>
      </c>
      <c r="AD15" s="107">
        <v>63.6</v>
      </c>
      <c r="AE15" s="107">
        <f t="shared" si="9"/>
        <v>0</v>
      </c>
      <c r="AF15" s="14" t="e">
        <f t="shared" si="10"/>
        <v>#DIV/0!</v>
      </c>
      <c r="AG15" s="13">
        <f t="shared" si="11"/>
        <v>0</v>
      </c>
    </row>
    <row r="16" spans="1:33" ht="13" x14ac:dyDescent="0.35">
      <c r="A16" s="74"/>
      <c r="B16" s="74"/>
      <c r="C16" s="74"/>
      <c r="D16" s="75"/>
      <c r="E16" s="75"/>
      <c r="F16" s="76"/>
      <c r="G16" s="76"/>
      <c r="H16" s="77"/>
      <c r="I16" s="2" t="s">
        <v>78</v>
      </c>
      <c r="J16" s="2"/>
      <c r="K16" s="2">
        <f>SUBTOTAL(9,K3:K15)</f>
        <v>0</v>
      </c>
      <c r="L16" s="2">
        <f>SUBTOTAL(9,L3:L15)</f>
        <v>0</v>
      </c>
      <c r="M16" s="17">
        <f>SUBTOTAL(9,M3:M15)</f>
        <v>0</v>
      </c>
      <c r="Q16" s="78">
        <f>SUBTOTAL(9,Q3:Q15)</f>
        <v>0</v>
      </c>
      <c r="R16" s="78">
        <f>SUBTOTAL(9,R3:R15)</f>
        <v>0</v>
      </c>
      <c r="T16" s="108" t="s">
        <v>78</v>
      </c>
      <c r="U16" s="109"/>
      <c r="V16" s="110"/>
      <c r="W16" s="3">
        <f>SUBTOTAL(9,W3:W15)</f>
        <v>0</v>
      </c>
      <c r="X16" s="73"/>
      <c r="Y16" s="2">
        <f>SUM(Y3:Y15)</f>
        <v>0</v>
      </c>
      <c r="AA16" s="9"/>
      <c r="AB16" s="9">
        <f>SUBTOTAL(9,AB3:AB15)</f>
        <v>0</v>
      </c>
      <c r="AD16" s="107"/>
      <c r="AE16" s="111">
        <f>SUBTOTAL(9,AE3:AE15)</f>
        <v>0</v>
      </c>
      <c r="AF16" s="129"/>
      <c r="AG16" s="79">
        <f>SUBTOTAL(9,AG3:AG15)</f>
        <v>0</v>
      </c>
    </row>
  </sheetData>
  <mergeCells count="11">
    <mergeCell ref="AD1:AE1"/>
    <mergeCell ref="AF1:AG1"/>
    <mergeCell ref="T16:V16"/>
    <mergeCell ref="F1:G1"/>
    <mergeCell ref="K1:L1"/>
    <mergeCell ref="O1:O2"/>
    <mergeCell ref="P1:P2"/>
    <mergeCell ref="Q1:Q2"/>
    <mergeCell ref="R1:R2"/>
    <mergeCell ref="T1:V1"/>
    <mergeCell ref="AA1:AB1"/>
  </mergeCells>
  <pageMargins left="0.5" right="0.5" top="0.5" bottom="0.5" header="0" footer="0"/>
  <pageSetup paperSize="9" scale="1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3E1CE-84F1-4205-AFB2-0D0FEF29AE71}">
  <sheetPr>
    <pageSetUpPr fitToPage="1"/>
  </sheetPr>
  <dimension ref="A1:AG15"/>
  <sheetViews>
    <sheetView workbookViewId="0"/>
  </sheetViews>
  <sheetFormatPr defaultColWidth="9.1796875" defaultRowHeight="12.5" x14ac:dyDescent="0.35"/>
  <cols>
    <col min="1" max="1" width="13.453125" style="18" bestFit="1" customWidth="1"/>
    <col min="2" max="2" width="11.26953125" style="18" bestFit="1" customWidth="1"/>
    <col min="3" max="3" width="13.453125" style="18" customWidth="1"/>
    <col min="4" max="4" width="5.1796875" style="18" bestFit="1" customWidth="1"/>
    <col min="5" max="5" width="8.54296875" style="18" bestFit="1" customWidth="1"/>
    <col min="6" max="6" width="6" style="80" bestFit="1" customWidth="1"/>
    <col min="7" max="7" width="6.26953125" style="80" bestFit="1" customWidth="1"/>
    <col min="8" max="8" width="32.7265625" style="18" bestFit="1" customWidth="1"/>
    <col min="9" max="10" width="14.1796875" style="18" customWidth="1"/>
    <col min="11" max="11" width="7" style="18" customWidth="1"/>
    <col min="12" max="12" width="7.26953125" style="18" customWidth="1"/>
    <col min="13" max="13" width="8" style="18" customWidth="1"/>
    <col min="14" max="19" width="9.1796875" style="18" customWidth="1"/>
    <col min="20" max="20" width="7.54296875" style="18" customWidth="1"/>
    <col min="21" max="21" width="6.453125" style="18" customWidth="1"/>
    <col min="22" max="22" width="5.54296875" style="18" customWidth="1"/>
    <col min="23" max="24" width="7" style="18" customWidth="1"/>
    <col min="25" max="25" width="8.26953125" style="18" customWidth="1"/>
    <col min="26" max="26" width="9.1796875" style="18" customWidth="1"/>
    <col min="27" max="30" width="9.1796875" style="18"/>
    <col min="31" max="31" width="10.1796875" style="18" bestFit="1" customWidth="1"/>
    <col min="32" max="16384" width="9.1796875" style="18"/>
  </cols>
  <sheetData>
    <row r="1" spans="1:33" ht="19.5" customHeight="1" x14ac:dyDescent="0.35">
      <c r="A1" s="21" t="s">
        <v>260</v>
      </c>
      <c r="B1" s="21" t="s">
        <v>164</v>
      </c>
      <c r="C1" s="21" t="s">
        <v>56</v>
      </c>
      <c r="D1" s="21" t="s">
        <v>165</v>
      </c>
      <c r="E1" s="21" t="s">
        <v>261</v>
      </c>
      <c r="F1" s="22" t="s">
        <v>166</v>
      </c>
      <c r="G1" s="23"/>
      <c r="H1" s="21" t="s">
        <v>59</v>
      </c>
      <c r="I1" s="21" t="s">
        <v>167</v>
      </c>
      <c r="J1" s="24" t="s">
        <v>61</v>
      </c>
      <c r="K1" s="22" t="s">
        <v>168</v>
      </c>
      <c r="L1" s="23"/>
      <c r="M1" s="21" t="s">
        <v>169</v>
      </c>
      <c r="O1" s="112" t="s">
        <v>64</v>
      </c>
      <c r="P1" s="113" t="s">
        <v>65</v>
      </c>
      <c r="Q1" s="112" t="s">
        <v>66</v>
      </c>
      <c r="R1" s="112" t="s">
        <v>67</v>
      </c>
      <c r="T1" s="22" t="s">
        <v>170</v>
      </c>
      <c r="U1" s="81"/>
      <c r="V1" s="23"/>
      <c r="W1" s="21" t="s">
        <v>171</v>
      </c>
      <c r="X1" s="21" t="s">
        <v>69</v>
      </c>
      <c r="Y1" s="21" t="s">
        <v>70</v>
      </c>
      <c r="AA1" s="22" t="s">
        <v>71</v>
      </c>
      <c r="AB1" s="23"/>
      <c r="AD1" s="22" t="s">
        <v>72</v>
      </c>
      <c r="AE1" s="23"/>
      <c r="AF1" s="22" t="s">
        <v>73</v>
      </c>
      <c r="AG1" s="23"/>
    </row>
    <row r="2" spans="1:33" ht="19.5" customHeight="1" x14ac:dyDescent="0.35">
      <c r="A2" s="43"/>
      <c r="B2" s="43"/>
      <c r="C2" s="35"/>
      <c r="D2" s="21" t="s">
        <v>74</v>
      </c>
      <c r="E2" s="21" t="s">
        <v>74</v>
      </c>
      <c r="F2" s="21" t="s">
        <v>173</v>
      </c>
      <c r="G2" s="21" t="s">
        <v>76</v>
      </c>
      <c r="H2" s="82"/>
      <c r="I2" s="21"/>
      <c r="J2" s="21"/>
      <c r="K2" s="21" t="s">
        <v>174</v>
      </c>
      <c r="L2" s="21" t="s">
        <v>175</v>
      </c>
      <c r="M2" s="43"/>
      <c r="O2" s="114"/>
      <c r="P2" s="115"/>
      <c r="Q2" s="114"/>
      <c r="R2" s="114"/>
      <c r="T2" s="21" t="s">
        <v>176</v>
      </c>
      <c r="U2" s="21" t="s">
        <v>177</v>
      </c>
      <c r="V2" s="21" t="s">
        <v>178</v>
      </c>
      <c r="W2" s="35"/>
      <c r="X2" s="21" t="s">
        <v>262</v>
      </c>
      <c r="Y2" s="21" t="s">
        <v>83</v>
      </c>
      <c r="AA2" s="21" t="s">
        <v>75</v>
      </c>
      <c r="AB2" s="21" t="s">
        <v>178</v>
      </c>
      <c r="AD2" s="21" t="s">
        <v>180</v>
      </c>
      <c r="AE2" s="21" t="s">
        <v>178</v>
      </c>
      <c r="AF2" s="116" t="s">
        <v>84</v>
      </c>
      <c r="AG2" s="71"/>
    </row>
    <row r="3" spans="1:33" ht="25" x14ac:dyDescent="0.35">
      <c r="A3" s="117" t="s">
        <v>263</v>
      </c>
      <c r="B3" s="117" t="s">
        <v>263</v>
      </c>
      <c r="C3" s="58" t="s">
        <v>161</v>
      </c>
      <c r="D3" s="21">
        <v>15</v>
      </c>
      <c r="E3" s="21"/>
      <c r="F3" s="35">
        <v>50</v>
      </c>
      <c r="G3" s="35">
        <v>1200</v>
      </c>
      <c r="H3" s="53" t="s">
        <v>264</v>
      </c>
      <c r="I3" s="118" t="s">
        <v>265</v>
      </c>
      <c r="J3" s="119">
        <v>3917.4</v>
      </c>
      <c r="K3" s="43"/>
      <c r="L3" s="43">
        <f t="shared" ref="L3:L14" si="0">K3/G3</f>
        <v>0</v>
      </c>
      <c r="M3" s="44">
        <f t="shared" ref="M3:M14" si="1">L3*0.06</f>
        <v>0</v>
      </c>
      <c r="O3" s="62">
        <v>10.6</v>
      </c>
      <c r="P3" s="62">
        <f>O3+1</f>
        <v>11.6</v>
      </c>
      <c r="Q3" s="62">
        <f t="shared" ref="Q3:Q14" si="2">O3*L3</f>
        <v>0</v>
      </c>
      <c r="R3" s="62">
        <f t="shared" ref="R3:R14" si="3">P3*L3</f>
        <v>0</v>
      </c>
      <c r="T3" s="35">
        <f t="shared" ref="T3:T14" si="4">$G3/$F3</f>
        <v>24</v>
      </c>
      <c r="U3" s="35">
        <f t="shared" ref="U3:U10" si="5">$G3</f>
        <v>1200</v>
      </c>
      <c r="V3" s="54">
        <f t="shared" ref="V3:V10" si="6">(U3+T3)*1.1</f>
        <v>1346.4</v>
      </c>
      <c r="W3" s="35">
        <f t="shared" ref="W3:W14" si="7">$L3*V3</f>
        <v>0</v>
      </c>
      <c r="X3" s="35">
        <v>276</v>
      </c>
      <c r="Y3" s="43">
        <f t="shared" ref="Y3:Y10" si="8">ROUNDUP(W3/X3,)</f>
        <v>0</v>
      </c>
      <c r="AA3" s="49">
        <v>1.84</v>
      </c>
      <c r="AB3" s="50">
        <f t="shared" ref="AB3:AB14" si="9">K3*AA3</f>
        <v>0</v>
      </c>
      <c r="AD3" s="120">
        <v>2.4</v>
      </c>
      <c r="AE3" s="120">
        <f>K3*AD3/100</f>
        <v>0</v>
      </c>
      <c r="AF3" s="50" t="e">
        <f t="shared" ref="AF3:AF14" si="10">AG3/K3</f>
        <v>#DIV/0!</v>
      </c>
      <c r="AG3" s="50">
        <f t="shared" ref="AG3:AG14" si="11">AE3*$AG$2</f>
        <v>0</v>
      </c>
    </row>
    <row r="4" spans="1:33" ht="25" x14ac:dyDescent="0.35">
      <c r="A4" s="117" t="s">
        <v>266</v>
      </c>
      <c r="B4" s="117" t="s">
        <v>266</v>
      </c>
      <c r="C4" s="58" t="s">
        <v>161</v>
      </c>
      <c r="D4" s="21">
        <v>25</v>
      </c>
      <c r="E4" s="21"/>
      <c r="F4" s="35">
        <v>10</v>
      </c>
      <c r="G4" s="35">
        <v>520</v>
      </c>
      <c r="H4" s="40" t="s">
        <v>267</v>
      </c>
      <c r="I4" s="118" t="s">
        <v>268</v>
      </c>
      <c r="J4" s="119">
        <v>3917.4</v>
      </c>
      <c r="K4" s="43"/>
      <c r="L4" s="43">
        <f t="shared" si="0"/>
        <v>0</v>
      </c>
      <c r="M4" s="44">
        <f t="shared" si="1"/>
        <v>0</v>
      </c>
      <c r="O4" s="62">
        <v>11.9</v>
      </c>
      <c r="P4" s="62">
        <v>13.1</v>
      </c>
      <c r="Q4" s="62">
        <f t="shared" si="2"/>
        <v>0</v>
      </c>
      <c r="R4" s="62">
        <f t="shared" si="3"/>
        <v>0</v>
      </c>
      <c r="T4" s="35">
        <f t="shared" si="4"/>
        <v>52</v>
      </c>
      <c r="U4" s="35">
        <f t="shared" si="5"/>
        <v>520</v>
      </c>
      <c r="V4" s="54">
        <f t="shared" si="6"/>
        <v>629.20000000000005</v>
      </c>
      <c r="W4" s="35">
        <f t="shared" si="7"/>
        <v>0</v>
      </c>
      <c r="X4" s="35">
        <v>144</v>
      </c>
      <c r="Y4" s="43">
        <f t="shared" si="8"/>
        <v>0</v>
      </c>
      <c r="AA4" s="49"/>
      <c r="AB4" s="50">
        <f t="shared" si="9"/>
        <v>0</v>
      </c>
      <c r="AD4" s="120">
        <v>10.8</v>
      </c>
      <c r="AE4" s="120">
        <f t="shared" ref="AE4:AE14" si="12">K4*AD4/100</f>
        <v>0</v>
      </c>
      <c r="AF4" s="50" t="e">
        <f t="shared" si="10"/>
        <v>#DIV/0!</v>
      </c>
      <c r="AG4" s="50">
        <f t="shared" si="11"/>
        <v>0</v>
      </c>
    </row>
    <row r="5" spans="1:33" ht="25" x14ac:dyDescent="0.35">
      <c r="A5" s="117" t="s">
        <v>269</v>
      </c>
      <c r="B5" s="117" t="s">
        <v>269</v>
      </c>
      <c r="C5" s="58" t="s">
        <v>161</v>
      </c>
      <c r="D5" s="21">
        <v>15</v>
      </c>
      <c r="E5" s="21">
        <v>300</v>
      </c>
      <c r="F5" s="35">
        <v>10</v>
      </c>
      <c r="G5" s="35">
        <v>300</v>
      </c>
      <c r="H5" s="40" t="s">
        <v>270</v>
      </c>
      <c r="I5" s="118" t="s">
        <v>271</v>
      </c>
      <c r="J5" s="119">
        <v>3917.4</v>
      </c>
      <c r="K5" s="43"/>
      <c r="L5" s="43">
        <f t="shared" si="0"/>
        <v>0</v>
      </c>
      <c r="M5" s="44">
        <f t="shared" si="1"/>
        <v>0</v>
      </c>
      <c r="O5" s="62">
        <v>11.5</v>
      </c>
      <c r="P5" s="62">
        <f t="shared" ref="P5:P10" si="13">O5+1</f>
        <v>12.5</v>
      </c>
      <c r="Q5" s="62">
        <f t="shared" si="2"/>
        <v>0</v>
      </c>
      <c r="R5" s="62">
        <f t="shared" si="3"/>
        <v>0</v>
      </c>
      <c r="T5" s="35">
        <f t="shared" si="4"/>
        <v>30</v>
      </c>
      <c r="U5" s="35">
        <f t="shared" si="5"/>
        <v>300</v>
      </c>
      <c r="V5" s="54">
        <f t="shared" si="6"/>
        <v>363.00000000000006</v>
      </c>
      <c r="W5" s="35">
        <f t="shared" si="7"/>
        <v>0</v>
      </c>
      <c r="X5" s="35">
        <v>144</v>
      </c>
      <c r="Y5" s="43">
        <f t="shared" si="8"/>
        <v>0</v>
      </c>
      <c r="AA5" s="49">
        <v>9.36</v>
      </c>
      <c r="AB5" s="50">
        <f t="shared" si="9"/>
        <v>0</v>
      </c>
      <c r="AD5" s="120">
        <v>14.4</v>
      </c>
      <c r="AE5" s="120">
        <f t="shared" si="12"/>
        <v>0</v>
      </c>
      <c r="AF5" s="50" t="e">
        <f t="shared" si="10"/>
        <v>#DIV/0!</v>
      </c>
      <c r="AG5" s="50">
        <f t="shared" si="11"/>
        <v>0</v>
      </c>
    </row>
    <row r="6" spans="1:33" ht="25" x14ac:dyDescent="0.35">
      <c r="A6" s="117" t="s">
        <v>272</v>
      </c>
      <c r="B6" s="117" t="s">
        <v>272</v>
      </c>
      <c r="C6" s="58" t="s">
        <v>161</v>
      </c>
      <c r="D6" s="21">
        <v>20</v>
      </c>
      <c r="E6" s="21">
        <v>300</v>
      </c>
      <c r="F6" s="35">
        <v>10</v>
      </c>
      <c r="G6" s="35">
        <v>230</v>
      </c>
      <c r="H6" s="40" t="s">
        <v>273</v>
      </c>
      <c r="I6" s="118" t="s">
        <v>274</v>
      </c>
      <c r="J6" s="119">
        <v>3917.4</v>
      </c>
      <c r="K6" s="43"/>
      <c r="L6" s="43">
        <f t="shared" si="0"/>
        <v>0</v>
      </c>
      <c r="M6" s="44">
        <f t="shared" si="1"/>
        <v>0</v>
      </c>
      <c r="O6" s="62">
        <v>12.3</v>
      </c>
      <c r="P6" s="62">
        <f t="shared" si="13"/>
        <v>13.3</v>
      </c>
      <c r="Q6" s="62">
        <f t="shared" si="2"/>
        <v>0</v>
      </c>
      <c r="R6" s="62">
        <f t="shared" si="3"/>
        <v>0</v>
      </c>
      <c r="T6" s="35">
        <f t="shared" si="4"/>
        <v>23</v>
      </c>
      <c r="U6" s="35">
        <f t="shared" si="5"/>
        <v>230</v>
      </c>
      <c r="V6" s="54">
        <f t="shared" si="6"/>
        <v>278.3</v>
      </c>
      <c r="W6" s="35">
        <f t="shared" si="7"/>
        <v>0</v>
      </c>
      <c r="X6" s="35">
        <v>144</v>
      </c>
      <c r="Y6" s="43">
        <f t="shared" si="8"/>
        <v>0</v>
      </c>
      <c r="AA6" s="49"/>
      <c r="AB6" s="50">
        <f t="shared" si="9"/>
        <v>0</v>
      </c>
      <c r="AD6" s="120"/>
      <c r="AE6" s="120">
        <f t="shared" si="12"/>
        <v>0</v>
      </c>
      <c r="AF6" s="50" t="e">
        <f t="shared" si="10"/>
        <v>#DIV/0!</v>
      </c>
      <c r="AG6" s="50">
        <f t="shared" si="11"/>
        <v>0</v>
      </c>
    </row>
    <row r="7" spans="1:33" ht="25" x14ac:dyDescent="0.35">
      <c r="A7" s="117" t="s">
        <v>275</v>
      </c>
      <c r="B7" s="117" t="s">
        <v>275</v>
      </c>
      <c r="C7" s="58" t="s">
        <v>161</v>
      </c>
      <c r="D7" s="21">
        <v>25</v>
      </c>
      <c r="E7" s="21">
        <v>300</v>
      </c>
      <c r="F7" s="35">
        <v>10</v>
      </c>
      <c r="G7" s="35">
        <v>160</v>
      </c>
      <c r="H7" s="40" t="s">
        <v>276</v>
      </c>
      <c r="I7" s="118" t="s">
        <v>277</v>
      </c>
      <c r="J7" s="119">
        <v>3917.4</v>
      </c>
      <c r="K7" s="43"/>
      <c r="L7" s="43">
        <f t="shared" si="0"/>
        <v>0</v>
      </c>
      <c r="M7" s="44">
        <f t="shared" si="1"/>
        <v>0</v>
      </c>
      <c r="O7" s="62">
        <v>11.9</v>
      </c>
      <c r="P7" s="62">
        <f t="shared" si="13"/>
        <v>12.9</v>
      </c>
      <c r="Q7" s="62">
        <f t="shared" si="2"/>
        <v>0</v>
      </c>
      <c r="R7" s="62">
        <f t="shared" si="3"/>
        <v>0</v>
      </c>
      <c r="T7" s="35">
        <f t="shared" si="4"/>
        <v>16</v>
      </c>
      <c r="U7" s="35">
        <f t="shared" si="5"/>
        <v>160</v>
      </c>
      <c r="V7" s="54">
        <f t="shared" si="6"/>
        <v>193.60000000000002</v>
      </c>
      <c r="W7" s="35">
        <f t="shared" si="7"/>
        <v>0</v>
      </c>
      <c r="X7" s="35">
        <v>144</v>
      </c>
      <c r="Y7" s="43">
        <f t="shared" si="8"/>
        <v>0</v>
      </c>
      <c r="AA7" s="49"/>
      <c r="AB7" s="50">
        <f t="shared" si="9"/>
        <v>0</v>
      </c>
      <c r="AD7" s="120"/>
      <c r="AE7" s="120">
        <f t="shared" si="12"/>
        <v>0</v>
      </c>
      <c r="AF7" s="50" t="e">
        <f t="shared" si="10"/>
        <v>#DIV/0!</v>
      </c>
      <c r="AG7" s="50">
        <f t="shared" si="11"/>
        <v>0</v>
      </c>
    </row>
    <row r="8" spans="1:33" ht="25" x14ac:dyDescent="0.35">
      <c r="A8" s="117" t="s">
        <v>278</v>
      </c>
      <c r="B8" s="121" t="s">
        <v>278</v>
      </c>
      <c r="C8" s="58" t="s">
        <v>161</v>
      </c>
      <c r="D8" s="21">
        <v>32</v>
      </c>
      <c r="E8" s="21">
        <v>300</v>
      </c>
      <c r="F8" s="35">
        <v>5</v>
      </c>
      <c r="G8" s="35">
        <v>85</v>
      </c>
      <c r="H8" s="40" t="s">
        <v>279</v>
      </c>
      <c r="I8" s="118" t="s">
        <v>163</v>
      </c>
      <c r="J8" s="119">
        <v>3917.4</v>
      </c>
      <c r="K8" s="43"/>
      <c r="L8" s="43">
        <f t="shared" si="0"/>
        <v>0</v>
      </c>
      <c r="M8" s="44">
        <f t="shared" si="1"/>
        <v>0</v>
      </c>
      <c r="O8" s="62">
        <v>14.56</v>
      </c>
      <c r="P8" s="62">
        <f t="shared" si="13"/>
        <v>15.56</v>
      </c>
      <c r="Q8" s="62">
        <f t="shared" si="2"/>
        <v>0</v>
      </c>
      <c r="R8" s="62">
        <f t="shared" si="3"/>
        <v>0</v>
      </c>
      <c r="T8" s="35">
        <f t="shared" si="4"/>
        <v>17</v>
      </c>
      <c r="U8" s="35">
        <f t="shared" si="5"/>
        <v>85</v>
      </c>
      <c r="V8" s="54">
        <f t="shared" si="6"/>
        <v>112.2</v>
      </c>
      <c r="W8" s="35">
        <f t="shared" si="7"/>
        <v>0</v>
      </c>
      <c r="X8" s="35">
        <v>144</v>
      </c>
      <c r="Y8" s="43">
        <f t="shared" si="8"/>
        <v>0</v>
      </c>
      <c r="AA8" s="49"/>
      <c r="AB8" s="50">
        <f t="shared" si="9"/>
        <v>0</v>
      </c>
      <c r="AD8" s="120"/>
      <c r="AE8" s="120">
        <f t="shared" si="12"/>
        <v>0</v>
      </c>
      <c r="AF8" s="50" t="e">
        <f t="shared" si="10"/>
        <v>#DIV/0!</v>
      </c>
      <c r="AG8" s="50">
        <f t="shared" si="11"/>
        <v>0</v>
      </c>
    </row>
    <row r="9" spans="1:33" ht="25" x14ac:dyDescent="0.35">
      <c r="A9" s="117" t="s">
        <v>280</v>
      </c>
      <c r="B9" s="117" t="s">
        <v>280</v>
      </c>
      <c r="C9" s="58" t="s">
        <v>161</v>
      </c>
      <c r="D9" s="21">
        <v>40</v>
      </c>
      <c r="E9" s="21">
        <v>300</v>
      </c>
      <c r="F9" s="35">
        <v>5</v>
      </c>
      <c r="G9" s="35">
        <v>75</v>
      </c>
      <c r="H9" s="40" t="s">
        <v>281</v>
      </c>
      <c r="I9" s="118" t="s">
        <v>163</v>
      </c>
      <c r="J9" s="119">
        <v>3917.4</v>
      </c>
      <c r="K9" s="43"/>
      <c r="L9" s="43">
        <f t="shared" si="0"/>
        <v>0</v>
      </c>
      <c r="M9" s="44">
        <f t="shared" si="1"/>
        <v>0</v>
      </c>
      <c r="O9" s="62">
        <v>9.8000000000000007</v>
      </c>
      <c r="P9" s="62">
        <f t="shared" si="13"/>
        <v>10.8</v>
      </c>
      <c r="Q9" s="62">
        <f t="shared" si="2"/>
        <v>0</v>
      </c>
      <c r="R9" s="62">
        <f t="shared" si="3"/>
        <v>0</v>
      </c>
      <c r="T9" s="35">
        <f t="shared" si="4"/>
        <v>15</v>
      </c>
      <c r="U9" s="35">
        <f t="shared" si="5"/>
        <v>75</v>
      </c>
      <c r="V9" s="54">
        <f t="shared" si="6"/>
        <v>99.000000000000014</v>
      </c>
      <c r="W9" s="35">
        <f t="shared" si="7"/>
        <v>0</v>
      </c>
      <c r="X9" s="35">
        <v>144</v>
      </c>
      <c r="Y9" s="43">
        <f t="shared" si="8"/>
        <v>0</v>
      </c>
      <c r="AA9" s="49"/>
      <c r="AB9" s="50">
        <f t="shared" si="9"/>
        <v>0</v>
      </c>
      <c r="AD9" s="120"/>
      <c r="AE9" s="120">
        <f t="shared" si="12"/>
        <v>0</v>
      </c>
      <c r="AF9" s="50" t="e">
        <f t="shared" si="10"/>
        <v>#DIV/0!</v>
      </c>
      <c r="AG9" s="50">
        <f t="shared" si="11"/>
        <v>0</v>
      </c>
    </row>
    <row r="10" spans="1:33" ht="25" x14ac:dyDescent="0.35">
      <c r="A10" s="117" t="s">
        <v>282</v>
      </c>
      <c r="B10" s="117" t="s">
        <v>282</v>
      </c>
      <c r="C10" s="58" t="s">
        <v>161</v>
      </c>
      <c r="D10" s="21">
        <v>50</v>
      </c>
      <c r="E10" s="21">
        <v>300</v>
      </c>
      <c r="F10" s="35">
        <v>5</v>
      </c>
      <c r="G10" s="35">
        <v>45</v>
      </c>
      <c r="H10" s="40" t="s">
        <v>162</v>
      </c>
      <c r="I10" s="118" t="s">
        <v>163</v>
      </c>
      <c r="J10" s="119">
        <v>3917.4</v>
      </c>
      <c r="K10" s="43"/>
      <c r="L10" s="43">
        <f t="shared" si="0"/>
        <v>0</v>
      </c>
      <c r="M10" s="44">
        <f t="shared" si="1"/>
        <v>0</v>
      </c>
      <c r="O10" s="62">
        <v>9.8000000000000007</v>
      </c>
      <c r="P10" s="62">
        <f t="shared" si="13"/>
        <v>10.8</v>
      </c>
      <c r="Q10" s="62">
        <f t="shared" si="2"/>
        <v>0</v>
      </c>
      <c r="R10" s="62">
        <f t="shared" si="3"/>
        <v>0</v>
      </c>
      <c r="T10" s="35">
        <f t="shared" si="4"/>
        <v>9</v>
      </c>
      <c r="U10" s="35">
        <f t="shared" si="5"/>
        <v>45</v>
      </c>
      <c r="V10" s="54">
        <f t="shared" si="6"/>
        <v>59.400000000000006</v>
      </c>
      <c r="W10" s="35">
        <f t="shared" si="7"/>
        <v>0</v>
      </c>
      <c r="X10" s="35">
        <v>144</v>
      </c>
      <c r="Y10" s="43">
        <f t="shared" si="8"/>
        <v>0</v>
      </c>
      <c r="AA10" s="49"/>
      <c r="AB10" s="50">
        <f t="shared" si="9"/>
        <v>0</v>
      </c>
      <c r="AD10" s="120"/>
      <c r="AE10" s="120">
        <f t="shared" si="12"/>
        <v>0</v>
      </c>
      <c r="AF10" s="50" t="e">
        <f t="shared" si="10"/>
        <v>#DIV/0!</v>
      </c>
      <c r="AG10" s="50">
        <f t="shared" si="11"/>
        <v>0</v>
      </c>
    </row>
    <row r="11" spans="1:33" ht="25" x14ac:dyDescent="0.35">
      <c r="A11" s="117" t="s">
        <v>283</v>
      </c>
      <c r="B11" s="117" t="s">
        <v>283</v>
      </c>
      <c r="C11" s="58" t="s">
        <v>161</v>
      </c>
      <c r="D11" s="21">
        <v>15</v>
      </c>
      <c r="E11" s="21">
        <v>25</v>
      </c>
      <c r="F11" s="35">
        <v>5</v>
      </c>
      <c r="G11" s="35">
        <v>2000</v>
      </c>
      <c r="H11" s="53" t="s">
        <v>284</v>
      </c>
      <c r="I11" s="118" t="s">
        <v>285</v>
      </c>
      <c r="J11" s="119">
        <v>3917.4</v>
      </c>
      <c r="K11" s="57"/>
      <c r="L11" s="43">
        <f t="shared" si="0"/>
        <v>0</v>
      </c>
      <c r="M11" s="44">
        <f t="shared" si="1"/>
        <v>0</v>
      </c>
      <c r="O11" s="62">
        <v>8.8000000000000007</v>
      </c>
      <c r="P11" s="62">
        <v>9.8000000000000007</v>
      </c>
      <c r="Q11" s="62">
        <f t="shared" si="2"/>
        <v>0</v>
      </c>
      <c r="R11" s="62">
        <f t="shared" si="3"/>
        <v>0</v>
      </c>
      <c r="T11" s="35">
        <f t="shared" si="4"/>
        <v>400</v>
      </c>
      <c r="U11" s="35"/>
      <c r="V11" s="54">
        <f>(U11+T11)*1</f>
        <v>400</v>
      </c>
      <c r="W11" s="35">
        <f t="shared" si="7"/>
        <v>0</v>
      </c>
      <c r="X11" s="35"/>
      <c r="Y11" s="43"/>
      <c r="AA11" s="49">
        <v>1.83</v>
      </c>
      <c r="AB11" s="50">
        <f t="shared" si="9"/>
        <v>0</v>
      </c>
      <c r="AD11" s="120">
        <v>2.76</v>
      </c>
      <c r="AE11" s="120">
        <f t="shared" si="12"/>
        <v>0</v>
      </c>
      <c r="AF11" s="50" t="e">
        <f t="shared" si="10"/>
        <v>#DIV/0!</v>
      </c>
      <c r="AG11" s="50">
        <f t="shared" si="11"/>
        <v>0</v>
      </c>
    </row>
    <row r="12" spans="1:33" ht="25" x14ac:dyDescent="0.35">
      <c r="A12" s="117" t="s">
        <v>286</v>
      </c>
      <c r="B12" s="117" t="s">
        <v>286</v>
      </c>
      <c r="C12" s="58" t="s">
        <v>161</v>
      </c>
      <c r="D12" s="21">
        <v>15</v>
      </c>
      <c r="E12" s="21">
        <v>100</v>
      </c>
      <c r="F12" s="35">
        <v>50</v>
      </c>
      <c r="G12" s="35">
        <v>1000</v>
      </c>
      <c r="H12" s="53" t="s">
        <v>287</v>
      </c>
      <c r="I12" s="118" t="s">
        <v>288</v>
      </c>
      <c r="J12" s="119">
        <v>3917.4</v>
      </c>
      <c r="K12" s="43"/>
      <c r="L12" s="43">
        <f t="shared" si="0"/>
        <v>0</v>
      </c>
      <c r="M12" s="44">
        <f t="shared" si="1"/>
        <v>0</v>
      </c>
      <c r="O12" s="62">
        <v>15</v>
      </c>
      <c r="P12" s="62">
        <f>O12+1</f>
        <v>16</v>
      </c>
      <c r="Q12" s="62">
        <f t="shared" si="2"/>
        <v>0</v>
      </c>
      <c r="R12" s="62">
        <f t="shared" si="3"/>
        <v>0</v>
      </c>
      <c r="T12" s="35">
        <f t="shared" si="4"/>
        <v>20</v>
      </c>
      <c r="U12" s="35">
        <f>$G12</f>
        <v>1000</v>
      </c>
      <c r="V12" s="54">
        <f>(U12+T12)*1.1</f>
        <v>1122</v>
      </c>
      <c r="W12" s="35">
        <f t="shared" si="7"/>
        <v>0</v>
      </c>
      <c r="X12" s="35">
        <v>144</v>
      </c>
      <c r="Y12" s="43">
        <f>ROUNDUP(W12/X12,)</f>
        <v>0</v>
      </c>
      <c r="AA12" s="49">
        <v>3.2</v>
      </c>
      <c r="AB12" s="50">
        <f t="shared" si="9"/>
        <v>0</v>
      </c>
      <c r="AD12" s="120">
        <v>3.84</v>
      </c>
      <c r="AE12" s="120">
        <f t="shared" si="12"/>
        <v>0</v>
      </c>
      <c r="AF12" s="50" t="e">
        <f t="shared" si="10"/>
        <v>#DIV/0!</v>
      </c>
      <c r="AG12" s="50">
        <f t="shared" si="11"/>
        <v>0</v>
      </c>
    </row>
    <row r="13" spans="1:33" ht="25" x14ac:dyDescent="0.35">
      <c r="A13" s="117" t="s">
        <v>289</v>
      </c>
      <c r="B13" s="117" t="s">
        <v>289</v>
      </c>
      <c r="C13" s="58" t="s">
        <v>161</v>
      </c>
      <c r="D13" s="21">
        <v>15</v>
      </c>
      <c r="E13" s="21">
        <v>150</v>
      </c>
      <c r="F13" s="35">
        <v>50</v>
      </c>
      <c r="G13" s="35">
        <v>600</v>
      </c>
      <c r="H13" s="53" t="s">
        <v>290</v>
      </c>
      <c r="I13" s="118" t="s">
        <v>291</v>
      </c>
      <c r="J13" s="119">
        <v>3917.4</v>
      </c>
      <c r="K13" s="43"/>
      <c r="L13" s="43">
        <f t="shared" si="0"/>
        <v>0</v>
      </c>
      <c r="M13" s="44">
        <f t="shared" si="1"/>
        <v>0</v>
      </c>
      <c r="O13" s="62">
        <v>14.1</v>
      </c>
      <c r="P13" s="62">
        <f>O13+1</f>
        <v>15.1</v>
      </c>
      <c r="Q13" s="62">
        <f t="shared" si="2"/>
        <v>0</v>
      </c>
      <c r="R13" s="62">
        <f t="shared" si="3"/>
        <v>0</v>
      </c>
      <c r="T13" s="35">
        <f t="shared" si="4"/>
        <v>12</v>
      </c>
      <c r="U13" s="35">
        <f>$G13</f>
        <v>600</v>
      </c>
      <c r="V13" s="54">
        <f>(U13+T13)*1.1</f>
        <v>673.2</v>
      </c>
      <c r="W13" s="35">
        <f t="shared" si="7"/>
        <v>0</v>
      </c>
      <c r="X13" s="35">
        <v>144</v>
      </c>
      <c r="Y13" s="43">
        <f>ROUNDUP(W13/X13,)</f>
        <v>0</v>
      </c>
      <c r="AA13" s="49">
        <v>4.58</v>
      </c>
      <c r="AB13" s="50">
        <f t="shared" si="9"/>
        <v>0</v>
      </c>
      <c r="AD13" s="120">
        <v>6.36</v>
      </c>
      <c r="AE13" s="120">
        <f t="shared" si="12"/>
        <v>0</v>
      </c>
      <c r="AF13" s="50" t="e">
        <f t="shared" si="10"/>
        <v>#DIV/0!</v>
      </c>
      <c r="AG13" s="50">
        <f t="shared" si="11"/>
        <v>0</v>
      </c>
    </row>
    <row r="14" spans="1:33" ht="25" x14ac:dyDescent="0.35">
      <c r="A14" s="82">
        <v>90441200</v>
      </c>
      <c r="B14" s="82" t="s">
        <v>292</v>
      </c>
      <c r="C14" s="21" t="s">
        <v>161</v>
      </c>
      <c r="D14" s="21" t="s">
        <v>293</v>
      </c>
      <c r="E14" s="21">
        <v>150</v>
      </c>
      <c r="F14" s="35">
        <v>10</v>
      </c>
      <c r="G14" s="35">
        <v>600</v>
      </c>
      <c r="H14" s="53" t="s">
        <v>294</v>
      </c>
      <c r="I14" s="118" t="s">
        <v>295</v>
      </c>
      <c r="J14" s="119">
        <v>3917.4</v>
      </c>
      <c r="K14" s="43"/>
      <c r="L14" s="43">
        <f t="shared" si="0"/>
        <v>0</v>
      </c>
      <c r="M14" s="44">
        <f t="shared" si="1"/>
        <v>0</v>
      </c>
      <c r="O14" s="62">
        <v>14.1</v>
      </c>
      <c r="P14" s="62">
        <f>O14+1</f>
        <v>15.1</v>
      </c>
      <c r="Q14" s="62">
        <f t="shared" si="2"/>
        <v>0</v>
      </c>
      <c r="R14" s="62">
        <f t="shared" si="3"/>
        <v>0</v>
      </c>
      <c r="T14" s="35">
        <f t="shared" si="4"/>
        <v>60</v>
      </c>
      <c r="U14" s="35">
        <f>$G14</f>
        <v>600</v>
      </c>
      <c r="V14" s="54">
        <f>(U14+T14)*1.1</f>
        <v>726.00000000000011</v>
      </c>
      <c r="W14" s="35">
        <f t="shared" si="7"/>
        <v>0</v>
      </c>
      <c r="X14" s="35">
        <v>144</v>
      </c>
      <c r="Y14" s="43">
        <f>ROUNDUP(W14/X14,)</f>
        <v>0</v>
      </c>
      <c r="AA14" s="49">
        <v>4.58</v>
      </c>
      <c r="AB14" s="50">
        <f t="shared" si="9"/>
        <v>0</v>
      </c>
      <c r="AD14" s="120">
        <v>6.36</v>
      </c>
      <c r="AE14" s="120">
        <f t="shared" si="12"/>
        <v>0</v>
      </c>
      <c r="AF14" s="50" t="e">
        <f t="shared" si="10"/>
        <v>#DIV/0!</v>
      </c>
      <c r="AG14" s="50">
        <f t="shared" si="11"/>
        <v>0</v>
      </c>
    </row>
    <row r="15" spans="1:33" ht="13" x14ac:dyDescent="0.35">
      <c r="A15" s="93"/>
      <c r="B15" s="93"/>
      <c r="C15" s="93"/>
      <c r="D15" s="94"/>
      <c r="E15" s="94"/>
      <c r="F15" s="95"/>
      <c r="G15" s="95"/>
      <c r="H15" s="96"/>
      <c r="I15" s="20" t="s">
        <v>78</v>
      </c>
      <c r="J15" s="20"/>
      <c r="K15" s="20">
        <f>SUBTOTAL(9,K3:K14)</f>
        <v>0</v>
      </c>
      <c r="L15" s="20">
        <f t="shared" ref="L15:M15" si="14">SUBTOTAL(9,L3:L14)</f>
        <v>0</v>
      </c>
      <c r="M15" s="66">
        <f t="shared" si="14"/>
        <v>0</v>
      </c>
      <c r="Q15" s="97">
        <f>SUBTOTAL(9,Q3:Q14)</f>
        <v>0</v>
      </c>
      <c r="R15" s="97">
        <f>SUBTOTAL(9,R3:R14)</f>
        <v>0</v>
      </c>
      <c r="T15" s="122" t="s">
        <v>78</v>
      </c>
      <c r="U15" s="123"/>
      <c r="V15" s="124"/>
      <c r="W15" s="21">
        <f>SUBTOTAL(9,W3:W14)</f>
        <v>0</v>
      </c>
      <c r="X15" s="82"/>
      <c r="Y15" s="20">
        <f>SUBTOTAL(9,Y3:Y14)</f>
        <v>0</v>
      </c>
      <c r="AA15" s="37"/>
      <c r="AB15" s="37">
        <f>SUBTOTAL(9,AB3:AB14)</f>
        <v>0</v>
      </c>
      <c r="AD15" s="120"/>
      <c r="AE15" s="125">
        <f>SUBTOTAL(9,AE3:AE14)</f>
        <v>0</v>
      </c>
      <c r="AF15" s="99"/>
      <c r="AG15" s="100">
        <f>SUBTOTAL(9,AG3:AG14)</f>
        <v>0</v>
      </c>
    </row>
  </sheetData>
  <mergeCells count="11">
    <mergeCell ref="AD1:AE1"/>
    <mergeCell ref="AF1:AG1"/>
    <mergeCell ref="T15:V15"/>
    <mergeCell ref="F1:G1"/>
    <mergeCell ref="K1:L1"/>
    <mergeCell ref="O1:O2"/>
    <mergeCell ref="P1:P2"/>
    <mergeCell ref="Q1:Q2"/>
    <mergeCell ref="R1:R2"/>
    <mergeCell ref="T1:V1"/>
    <mergeCell ref="AA1:AB1"/>
  </mergeCells>
  <pageMargins left="0.5" right="0.5" top="0.5" bottom="0.5" header="0" footer="0"/>
  <pageSetup paperSize="9" scale="4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42FBF-DABD-4953-BF74-941F9109C5A7}">
  <sheetPr>
    <pageSetUpPr fitToPage="1"/>
  </sheetPr>
  <dimension ref="A1:AE39"/>
  <sheetViews>
    <sheetView zoomScaleNormal="100" workbookViewId="0"/>
  </sheetViews>
  <sheetFormatPr defaultColWidth="9.1796875" defaultRowHeight="12.5" x14ac:dyDescent="0.35"/>
  <cols>
    <col min="1" max="2" width="12.54296875" style="18" customWidth="1"/>
    <col min="3" max="3" width="5.54296875" style="18" bestFit="1" customWidth="1"/>
    <col min="4" max="4" width="5.1796875" style="18" bestFit="1" customWidth="1"/>
    <col min="5" max="5" width="6.1796875" style="18" bestFit="1" customWidth="1"/>
    <col min="6" max="6" width="25.1796875" style="18" bestFit="1" customWidth="1"/>
    <col min="7" max="8" width="14.26953125" style="18" customWidth="1"/>
    <col min="9" max="24" width="9.1796875" style="18" customWidth="1"/>
    <col min="25" max="16384" width="9.1796875" style="18"/>
  </cols>
  <sheetData>
    <row r="1" spans="1:31" ht="27" customHeight="1" x14ac:dyDescent="0.35">
      <c r="A1" s="20" t="s">
        <v>55</v>
      </c>
      <c r="B1" s="21" t="s">
        <v>56</v>
      </c>
      <c r="C1" s="21" t="s">
        <v>57</v>
      </c>
      <c r="D1" s="22" t="s">
        <v>58</v>
      </c>
      <c r="E1" s="23"/>
      <c r="F1" s="20" t="s">
        <v>59</v>
      </c>
      <c r="G1" s="21" t="s">
        <v>60</v>
      </c>
      <c r="H1" s="24" t="s">
        <v>61</v>
      </c>
      <c r="I1" s="22" t="s">
        <v>62</v>
      </c>
      <c r="J1" s="23"/>
      <c r="K1" s="24" t="s">
        <v>63</v>
      </c>
      <c r="L1" s="25"/>
      <c r="M1" s="26" t="s">
        <v>64</v>
      </c>
      <c r="N1" s="27" t="s">
        <v>65</v>
      </c>
      <c r="O1" s="28" t="s">
        <v>66</v>
      </c>
      <c r="P1" s="28" t="s">
        <v>67</v>
      </c>
      <c r="R1" s="29" t="s">
        <v>68</v>
      </c>
      <c r="S1" s="29"/>
      <c r="T1" s="29"/>
      <c r="U1" s="30"/>
      <c r="V1" s="21" t="s">
        <v>69</v>
      </c>
      <c r="W1" s="21" t="s">
        <v>70</v>
      </c>
      <c r="Y1" s="31" t="s">
        <v>71</v>
      </c>
      <c r="Z1" s="32"/>
      <c r="AB1" s="22" t="s">
        <v>72</v>
      </c>
      <c r="AC1" s="23"/>
      <c r="AD1" s="29" t="s">
        <v>73</v>
      </c>
      <c r="AE1" s="29"/>
    </row>
    <row r="2" spans="1:31" ht="20.149999999999999" customHeight="1" x14ac:dyDescent="0.35">
      <c r="A2" s="33"/>
      <c r="B2" s="24"/>
      <c r="C2" s="21" t="s">
        <v>74</v>
      </c>
      <c r="D2" s="21" t="s">
        <v>75</v>
      </c>
      <c r="E2" s="21" t="s">
        <v>76</v>
      </c>
      <c r="F2" s="20"/>
      <c r="G2" s="21"/>
      <c r="H2" s="21"/>
      <c r="I2" s="21" t="s">
        <v>77</v>
      </c>
      <c r="J2" s="21" t="s">
        <v>76</v>
      </c>
      <c r="K2" s="21" t="s">
        <v>78</v>
      </c>
      <c r="L2" s="25"/>
      <c r="M2" s="26"/>
      <c r="N2" s="27"/>
      <c r="O2" s="34"/>
      <c r="P2" s="34"/>
      <c r="R2" s="21" t="s">
        <v>79</v>
      </c>
      <c r="S2" s="21" t="s">
        <v>80</v>
      </c>
      <c r="T2" s="21" t="s">
        <v>81</v>
      </c>
      <c r="U2" s="21" t="s">
        <v>82</v>
      </c>
      <c r="V2" s="35"/>
      <c r="W2" s="21" t="s">
        <v>83</v>
      </c>
      <c r="Y2" s="21" t="s">
        <v>75</v>
      </c>
      <c r="Z2" s="21" t="s">
        <v>78</v>
      </c>
      <c r="AB2" s="21" t="s">
        <v>75</v>
      </c>
      <c r="AC2" s="21" t="s">
        <v>78</v>
      </c>
      <c r="AD2" s="36" t="s">
        <v>84</v>
      </c>
      <c r="AE2" s="37"/>
    </row>
    <row r="3" spans="1:31" x14ac:dyDescent="0.25">
      <c r="A3" s="38" t="s">
        <v>85</v>
      </c>
      <c r="B3" s="39" t="s">
        <v>86</v>
      </c>
      <c r="C3" s="35">
        <v>15</v>
      </c>
      <c r="D3" s="35">
        <v>10</v>
      </c>
      <c r="E3" s="35">
        <v>2500</v>
      </c>
      <c r="F3" s="40" t="s">
        <v>87</v>
      </c>
      <c r="G3" s="41">
        <v>9319696100156</v>
      </c>
      <c r="H3" s="42">
        <v>3917.4</v>
      </c>
      <c r="I3" s="43"/>
      <c r="J3" s="43">
        <f t="shared" ref="J3:J38" si="0">I3/E3</f>
        <v>0</v>
      </c>
      <c r="K3" s="44">
        <f t="shared" ref="K3:K38" si="1">J3*0.06</f>
        <v>0</v>
      </c>
      <c r="L3" s="45"/>
      <c r="M3" s="46">
        <v>25</v>
      </c>
      <c r="N3" s="46">
        <v>27.2</v>
      </c>
      <c r="O3" s="47">
        <f t="shared" ref="O3:O38" si="2">M3*J3</f>
        <v>0</v>
      </c>
      <c r="P3" s="47">
        <f t="shared" ref="P3:P38" si="3">N3*J3</f>
        <v>0</v>
      </c>
      <c r="R3" s="48">
        <f t="shared" ref="R3:R38" si="4">$E3/$D3</f>
        <v>250</v>
      </c>
      <c r="S3" s="48">
        <f t="shared" ref="S3:S38" si="5">$E3</f>
        <v>2500</v>
      </c>
      <c r="T3" s="35">
        <f t="shared" ref="T3:T38" si="6">ROUND(SUM(R3:S3)*1.1,)</f>
        <v>3025</v>
      </c>
      <c r="U3" s="35">
        <f t="shared" ref="U3:U38" si="7">$J3*T3</f>
        <v>0</v>
      </c>
      <c r="V3" s="48">
        <v>184</v>
      </c>
      <c r="W3" s="43">
        <f t="shared" ref="W3:W38" si="8">ROUNDUP(U3/V3,)</f>
        <v>0</v>
      </c>
      <c r="Y3" s="49">
        <v>5.4</v>
      </c>
      <c r="Z3" s="50">
        <f t="shared" ref="Z3:Z38" si="9">Y3*$I3</f>
        <v>0</v>
      </c>
      <c r="AB3" s="51">
        <v>9.6</v>
      </c>
      <c r="AC3" s="51">
        <f t="shared" ref="AC3:AC38" si="10">I3*AB3/100</f>
        <v>0</v>
      </c>
      <c r="AD3" s="52" t="e">
        <f t="shared" ref="AD3:AD38" si="11">AE3/I3</f>
        <v>#DIV/0!</v>
      </c>
      <c r="AE3" s="50">
        <f t="shared" ref="AE3:AE38" si="12">AC3*$AE$2</f>
        <v>0</v>
      </c>
    </row>
    <row r="4" spans="1:31" x14ac:dyDescent="0.25">
      <c r="A4" s="38" t="s">
        <v>88</v>
      </c>
      <c r="B4" s="39" t="s">
        <v>86</v>
      </c>
      <c r="C4" s="35">
        <v>20</v>
      </c>
      <c r="D4" s="35">
        <v>10</v>
      </c>
      <c r="E4" s="35">
        <v>1500</v>
      </c>
      <c r="F4" s="40" t="s">
        <v>89</v>
      </c>
      <c r="G4" s="41">
        <v>9319696100200</v>
      </c>
      <c r="H4" s="42">
        <v>3917.4</v>
      </c>
      <c r="I4" s="43"/>
      <c r="J4" s="43">
        <f t="shared" si="0"/>
        <v>0</v>
      </c>
      <c r="K4" s="44">
        <f t="shared" si="1"/>
        <v>0</v>
      </c>
      <c r="L4" s="45"/>
      <c r="M4" s="46">
        <v>18</v>
      </c>
      <c r="N4" s="46">
        <v>19.7</v>
      </c>
      <c r="O4" s="47">
        <f t="shared" si="2"/>
        <v>0</v>
      </c>
      <c r="P4" s="47">
        <f t="shared" si="3"/>
        <v>0</v>
      </c>
      <c r="R4" s="48">
        <f t="shared" si="4"/>
        <v>150</v>
      </c>
      <c r="S4" s="48">
        <f t="shared" si="5"/>
        <v>1500</v>
      </c>
      <c r="T4" s="35">
        <f t="shared" si="6"/>
        <v>1815</v>
      </c>
      <c r="U4" s="35">
        <f t="shared" si="7"/>
        <v>0</v>
      </c>
      <c r="V4" s="35">
        <v>276</v>
      </c>
      <c r="W4" s="43">
        <f t="shared" si="8"/>
        <v>0</v>
      </c>
      <c r="Y4" s="49">
        <v>6.5</v>
      </c>
      <c r="Z4" s="50">
        <f t="shared" si="9"/>
        <v>0</v>
      </c>
      <c r="AB4" s="51">
        <v>12</v>
      </c>
      <c r="AC4" s="51">
        <f t="shared" si="10"/>
        <v>0</v>
      </c>
      <c r="AD4" s="52" t="e">
        <f t="shared" si="11"/>
        <v>#DIV/0!</v>
      </c>
      <c r="AE4" s="50">
        <f t="shared" si="12"/>
        <v>0</v>
      </c>
    </row>
    <row r="5" spans="1:31" x14ac:dyDescent="0.25">
      <c r="A5" s="38" t="s">
        <v>90</v>
      </c>
      <c r="B5" s="39" t="s">
        <v>86</v>
      </c>
      <c r="C5" s="35">
        <v>25</v>
      </c>
      <c r="D5" s="35">
        <v>10</v>
      </c>
      <c r="E5" s="35">
        <v>900</v>
      </c>
      <c r="F5" s="40" t="s">
        <v>91</v>
      </c>
      <c r="G5" s="41">
        <v>9319696100255</v>
      </c>
      <c r="H5" s="42">
        <v>3917.4</v>
      </c>
      <c r="I5" s="43"/>
      <c r="J5" s="43">
        <f t="shared" si="0"/>
        <v>0</v>
      </c>
      <c r="K5" s="44">
        <f t="shared" si="1"/>
        <v>0</v>
      </c>
      <c r="L5" s="45"/>
      <c r="M5" s="46">
        <v>16.7</v>
      </c>
      <c r="N5" s="46">
        <v>18</v>
      </c>
      <c r="O5" s="47">
        <f t="shared" si="2"/>
        <v>0</v>
      </c>
      <c r="P5" s="47">
        <f t="shared" si="3"/>
        <v>0</v>
      </c>
      <c r="R5" s="35">
        <f t="shared" si="4"/>
        <v>90</v>
      </c>
      <c r="S5" s="35">
        <f t="shared" si="5"/>
        <v>900</v>
      </c>
      <c r="T5" s="35">
        <f t="shared" si="6"/>
        <v>1089</v>
      </c>
      <c r="U5" s="35">
        <f t="shared" si="7"/>
        <v>0</v>
      </c>
      <c r="V5" s="35">
        <v>276</v>
      </c>
      <c r="W5" s="43">
        <f t="shared" si="8"/>
        <v>0</v>
      </c>
      <c r="Y5" s="50">
        <v>9.7799999999999994</v>
      </c>
      <c r="Z5" s="50">
        <f t="shared" si="9"/>
        <v>0</v>
      </c>
      <c r="AB5" s="51">
        <v>15.6</v>
      </c>
      <c r="AC5" s="51">
        <f t="shared" si="10"/>
        <v>0</v>
      </c>
      <c r="AD5" s="52" t="e">
        <f t="shared" si="11"/>
        <v>#DIV/0!</v>
      </c>
      <c r="AE5" s="50">
        <f t="shared" si="12"/>
        <v>0</v>
      </c>
    </row>
    <row r="6" spans="1:31" x14ac:dyDescent="0.25">
      <c r="A6" s="38" t="s">
        <v>92</v>
      </c>
      <c r="B6" s="39" t="s">
        <v>86</v>
      </c>
      <c r="C6" s="35">
        <v>32</v>
      </c>
      <c r="D6" s="35">
        <v>10</v>
      </c>
      <c r="E6" s="35">
        <v>490</v>
      </c>
      <c r="F6" s="40" t="s">
        <v>93</v>
      </c>
      <c r="G6" s="41">
        <v>9319696100323</v>
      </c>
      <c r="H6" s="42">
        <v>3917.4</v>
      </c>
      <c r="I6" s="43"/>
      <c r="J6" s="43">
        <f t="shared" si="0"/>
        <v>0</v>
      </c>
      <c r="K6" s="44">
        <f t="shared" si="1"/>
        <v>0</v>
      </c>
      <c r="L6" s="45"/>
      <c r="M6" s="46">
        <v>15.1</v>
      </c>
      <c r="N6" s="46">
        <v>16.2</v>
      </c>
      <c r="O6" s="47">
        <f t="shared" si="2"/>
        <v>0</v>
      </c>
      <c r="P6" s="47">
        <f t="shared" si="3"/>
        <v>0</v>
      </c>
      <c r="R6" s="48">
        <f t="shared" si="4"/>
        <v>49</v>
      </c>
      <c r="S6" s="48">
        <f t="shared" si="5"/>
        <v>490</v>
      </c>
      <c r="T6" s="35">
        <f t="shared" si="6"/>
        <v>593</v>
      </c>
      <c r="U6" s="35">
        <f t="shared" si="7"/>
        <v>0</v>
      </c>
      <c r="V6" s="35">
        <v>144</v>
      </c>
      <c r="W6" s="43">
        <f t="shared" si="8"/>
        <v>0</v>
      </c>
      <c r="Y6" s="50">
        <v>16.670000000000002</v>
      </c>
      <c r="Z6" s="50">
        <f t="shared" si="9"/>
        <v>0</v>
      </c>
      <c r="AB6" s="51">
        <v>28.8</v>
      </c>
      <c r="AC6" s="51">
        <f t="shared" si="10"/>
        <v>0</v>
      </c>
      <c r="AD6" s="52" t="e">
        <f t="shared" si="11"/>
        <v>#DIV/0!</v>
      </c>
      <c r="AE6" s="50">
        <f t="shared" si="12"/>
        <v>0</v>
      </c>
    </row>
    <row r="7" spans="1:31" x14ac:dyDescent="0.25">
      <c r="A7" s="38" t="s">
        <v>94</v>
      </c>
      <c r="B7" s="39" t="s">
        <v>86</v>
      </c>
      <c r="C7" s="35">
        <v>50</v>
      </c>
      <c r="D7" s="35">
        <v>10</v>
      </c>
      <c r="E7" s="35">
        <v>220</v>
      </c>
      <c r="F7" s="40" t="s">
        <v>95</v>
      </c>
      <c r="G7" s="41">
        <v>9319696100507</v>
      </c>
      <c r="H7" s="42">
        <v>3917.4</v>
      </c>
      <c r="I7" s="43"/>
      <c r="J7" s="43">
        <f t="shared" si="0"/>
        <v>0</v>
      </c>
      <c r="K7" s="44">
        <f t="shared" si="1"/>
        <v>0</v>
      </c>
      <c r="L7" s="45"/>
      <c r="M7" s="46">
        <v>14.5</v>
      </c>
      <c r="N7" s="46">
        <v>15.5</v>
      </c>
      <c r="O7" s="47">
        <f t="shared" si="2"/>
        <v>0</v>
      </c>
      <c r="P7" s="47">
        <f t="shared" si="3"/>
        <v>0</v>
      </c>
      <c r="R7" s="35">
        <f t="shared" si="4"/>
        <v>22</v>
      </c>
      <c r="S7" s="35">
        <f t="shared" si="5"/>
        <v>220</v>
      </c>
      <c r="T7" s="35">
        <f t="shared" si="6"/>
        <v>266</v>
      </c>
      <c r="U7" s="35">
        <f t="shared" si="7"/>
        <v>0</v>
      </c>
      <c r="V7" s="35">
        <v>144</v>
      </c>
      <c r="W7" s="43">
        <f t="shared" si="8"/>
        <v>0</v>
      </c>
      <c r="Y7" s="50">
        <v>27.14</v>
      </c>
      <c r="Z7" s="50">
        <f t="shared" si="9"/>
        <v>0</v>
      </c>
      <c r="AB7" s="51">
        <v>48</v>
      </c>
      <c r="AC7" s="51">
        <f t="shared" si="10"/>
        <v>0</v>
      </c>
      <c r="AD7" s="52" t="e">
        <f t="shared" si="11"/>
        <v>#DIV/0!</v>
      </c>
      <c r="AE7" s="50">
        <f t="shared" si="12"/>
        <v>0</v>
      </c>
    </row>
    <row r="8" spans="1:31" x14ac:dyDescent="0.25">
      <c r="A8" s="38" t="s">
        <v>96</v>
      </c>
      <c r="B8" s="39" t="s">
        <v>86</v>
      </c>
      <c r="C8" s="48">
        <v>15</v>
      </c>
      <c r="D8" s="35">
        <v>10</v>
      </c>
      <c r="E8" s="35">
        <v>1000</v>
      </c>
      <c r="F8" s="53" t="s">
        <v>97</v>
      </c>
      <c r="G8" s="41">
        <v>9319696110155</v>
      </c>
      <c r="H8" s="42">
        <v>3917.4</v>
      </c>
      <c r="I8" s="43"/>
      <c r="J8" s="43">
        <f t="shared" si="0"/>
        <v>0</v>
      </c>
      <c r="K8" s="44">
        <f t="shared" si="1"/>
        <v>0</v>
      </c>
      <c r="L8" s="45"/>
      <c r="M8" s="46">
        <v>17.100000000000001</v>
      </c>
      <c r="N8" s="46">
        <v>18.5</v>
      </c>
      <c r="O8" s="47">
        <f t="shared" si="2"/>
        <v>0</v>
      </c>
      <c r="P8" s="47">
        <f t="shared" si="3"/>
        <v>0</v>
      </c>
      <c r="R8" s="35">
        <f t="shared" si="4"/>
        <v>100</v>
      </c>
      <c r="S8" s="35">
        <f t="shared" si="5"/>
        <v>1000</v>
      </c>
      <c r="T8" s="54">
        <f t="shared" si="6"/>
        <v>1210</v>
      </c>
      <c r="U8" s="35">
        <f t="shared" si="7"/>
        <v>0</v>
      </c>
      <c r="V8" s="48">
        <v>184</v>
      </c>
      <c r="W8" s="43">
        <f t="shared" si="8"/>
        <v>0</v>
      </c>
      <c r="Y8" s="49">
        <v>14.01</v>
      </c>
      <c r="Z8" s="50">
        <f t="shared" si="9"/>
        <v>0</v>
      </c>
      <c r="AB8" s="51">
        <v>24</v>
      </c>
      <c r="AC8" s="51">
        <f t="shared" si="10"/>
        <v>0</v>
      </c>
      <c r="AD8" s="52" t="e">
        <f t="shared" si="11"/>
        <v>#DIV/0!</v>
      </c>
      <c r="AE8" s="50">
        <f t="shared" si="12"/>
        <v>0</v>
      </c>
    </row>
    <row r="9" spans="1:31" x14ac:dyDescent="0.25">
      <c r="A9" s="38" t="s">
        <v>98</v>
      </c>
      <c r="B9" s="39" t="s">
        <v>86</v>
      </c>
      <c r="C9" s="35">
        <v>20</v>
      </c>
      <c r="D9" s="35">
        <v>10</v>
      </c>
      <c r="E9" s="35">
        <v>550</v>
      </c>
      <c r="F9" s="40" t="s">
        <v>99</v>
      </c>
      <c r="G9" s="41">
        <v>9319696110209</v>
      </c>
      <c r="H9" s="42">
        <v>3917.4</v>
      </c>
      <c r="I9" s="43"/>
      <c r="J9" s="43">
        <f t="shared" si="0"/>
        <v>0</v>
      </c>
      <c r="K9" s="44">
        <f t="shared" si="1"/>
        <v>0</v>
      </c>
      <c r="L9" s="45"/>
      <c r="M9" s="46">
        <v>14.6</v>
      </c>
      <c r="N9" s="46">
        <v>15.6</v>
      </c>
      <c r="O9" s="47">
        <f t="shared" si="2"/>
        <v>0</v>
      </c>
      <c r="P9" s="47">
        <f t="shared" si="3"/>
        <v>0</v>
      </c>
      <c r="R9" s="35">
        <f t="shared" si="4"/>
        <v>55</v>
      </c>
      <c r="S9" s="35">
        <f t="shared" si="5"/>
        <v>550</v>
      </c>
      <c r="T9" s="35">
        <f t="shared" si="6"/>
        <v>666</v>
      </c>
      <c r="U9" s="35">
        <f t="shared" si="7"/>
        <v>0</v>
      </c>
      <c r="V9" s="35">
        <v>276</v>
      </c>
      <c r="W9" s="43">
        <f t="shared" si="8"/>
        <v>0</v>
      </c>
      <c r="Y9" s="50">
        <v>21.53</v>
      </c>
      <c r="Z9" s="50">
        <f t="shared" si="9"/>
        <v>0</v>
      </c>
      <c r="AB9" s="51">
        <v>31.2</v>
      </c>
      <c r="AC9" s="51">
        <f t="shared" si="10"/>
        <v>0</v>
      </c>
      <c r="AD9" s="52" t="e">
        <f t="shared" si="11"/>
        <v>#DIV/0!</v>
      </c>
      <c r="AE9" s="50">
        <f t="shared" si="12"/>
        <v>0</v>
      </c>
    </row>
    <row r="10" spans="1:31" x14ac:dyDescent="0.25">
      <c r="A10" s="38" t="s">
        <v>100</v>
      </c>
      <c r="B10" s="39" t="s">
        <v>86</v>
      </c>
      <c r="C10" s="48">
        <v>25</v>
      </c>
      <c r="D10" s="35">
        <v>10</v>
      </c>
      <c r="E10" s="35">
        <v>350</v>
      </c>
      <c r="F10" s="53" t="s">
        <v>101</v>
      </c>
      <c r="G10" s="41">
        <v>9319696110254</v>
      </c>
      <c r="H10" s="42">
        <v>3917.4</v>
      </c>
      <c r="I10" s="43"/>
      <c r="J10" s="43">
        <f t="shared" si="0"/>
        <v>0</v>
      </c>
      <c r="K10" s="44">
        <f t="shared" si="1"/>
        <v>0</v>
      </c>
      <c r="L10" s="45"/>
      <c r="M10" s="46">
        <v>12.9</v>
      </c>
      <c r="N10" s="46">
        <v>14</v>
      </c>
      <c r="O10" s="47">
        <f t="shared" si="2"/>
        <v>0</v>
      </c>
      <c r="P10" s="47">
        <f t="shared" si="3"/>
        <v>0</v>
      </c>
      <c r="R10" s="35">
        <f t="shared" si="4"/>
        <v>35</v>
      </c>
      <c r="S10" s="35">
        <f t="shared" si="5"/>
        <v>350</v>
      </c>
      <c r="T10" s="54">
        <f t="shared" si="6"/>
        <v>424</v>
      </c>
      <c r="U10" s="35">
        <f t="shared" si="7"/>
        <v>0</v>
      </c>
      <c r="V10" s="35">
        <v>144</v>
      </c>
      <c r="W10" s="43">
        <f t="shared" si="8"/>
        <v>0</v>
      </c>
      <c r="Y10" s="49">
        <v>23.85</v>
      </c>
      <c r="Z10" s="50">
        <f t="shared" si="9"/>
        <v>0</v>
      </c>
      <c r="AB10" s="51">
        <v>33.6</v>
      </c>
      <c r="AC10" s="51">
        <f t="shared" si="10"/>
        <v>0</v>
      </c>
      <c r="AD10" s="52" t="e">
        <f t="shared" si="11"/>
        <v>#DIV/0!</v>
      </c>
      <c r="AE10" s="50">
        <f t="shared" si="12"/>
        <v>0</v>
      </c>
    </row>
    <row r="11" spans="1:31" x14ac:dyDescent="0.25">
      <c r="A11" s="38" t="s">
        <v>102</v>
      </c>
      <c r="B11" s="39" t="s">
        <v>86</v>
      </c>
      <c r="C11" s="35">
        <v>32</v>
      </c>
      <c r="D11" s="35">
        <v>10</v>
      </c>
      <c r="E11" s="35">
        <v>200</v>
      </c>
      <c r="F11" s="40" t="s">
        <v>103</v>
      </c>
      <c r="G11" s="41">
        <v>9319696110322</v>
      </c>
      <c r="H11" s="42">
        <v>3917.4</v>
      </c>
      <c r="I11" s="43"/>
      <c r="J11" s="43">
        <f t="shared" si="0"/>
        <v>0</v>
      </c>
      <c r="K11" s="44">
        <f t="shared" si="1"/>
        <v>0</v>
      </c>
      <c r="L11" s="45"/>
      <c r="M11" s="46">
        <v>11.9</v>
      </c>
      <c r="N11" s="46">
        <v>13</v>
      </c>
      <c r="O11" s="47">
        <f t="shared" si="2"/>
        <v>0</v>
      </c>
      <c r="P11" s="47">
        <f t="shared" si="3"/>
        <v>0</v>
      </c>
      <c r="R11" s="35">
        <f t="shared" si="4"/>
        <v>20</v>
      </c>
      <c r="S11" s="35">
        <f t="shared" si="5"/>
        <v>200</v>
      </c>
      <c r="T11" s="35">
        <f t="shared" si="6"/>
        <v>242</v>
      </c>
      <c r="U11" s="35">
        <f t="shared" si="7"/>
        <v>0</v>
      </c>
      <c r="V11" s="35">
        <v>144</v>
      </c>
      <c r="W11" s="43">
        <f t="shared" si="8"/>
        <v>0</v>
      </c>
      <c r="Y11" s="50">
        <v>35.28</v>
      </c>
      <c r="Z11" s="50">
        <f t="shared" si="9"/>
        <v>0</v>
      </c>
      <c r="AB11" s="51">
        <v>60</v>
      </c>
      <c r="AC11" s="51">
        <f t="shared" si="10"/>
        <v>0</v>
      </c>
      <c r="AD11" s="52" t="e">
        <f t="shared" si="11"/>
        <v>#DIV/0!</v>
      </c>
      <c r="AE11" s="50">
        <f t="shared" si="12"/>
        <v>0</v>
      </c>
    </row>
    <row r="12" spans="1:31" x14ac:dyDescent="0.25">
      <c r="A12" s="38" t="s">
        <v>104</v>
      </c>
      <c r="B12" s="39" t="s">
        <v>86</v>
      </c>
      <c r="C12" s="35">
        <v>40</v>
      </c>
      <c r="D12" s="35">
        <v>10</v>
      </c>
      <c r="E12" s="35">
        <v>130</v>
      </c>
      <c r="F12" s="40" t="s">
        <v>105</v>
      </c>
      <c r="G12" s="41">
        <v>9319696110407</v>
      </c>
      <c r="H12" s="42">
        <v>3917.4</v>
      </c>
      <c r="I12" s="43"/>
      <c r="J12" s="43">
        <f t="shared" si="0"/>
        <v>0</v>
      </c>
      <c r="K12" s="44">
        <f t="shared" si="1"/>
        <v>0</v>
      </c>
      <c r="L12" s="45"/>
      <c r="M12" s="46">
        <v>9.3000000000000007</v>
      </c>
      <c r="N12" s="46">
        <v>10.3</v>
      </c>
      <c r="O12" s="47">
        <f t="shared" si="2"/>
        <v>0</v>
      </c>
      <c r="P12" s="47">
        <f t="shared" si="3"/>
        <v>0</v>
      </c>
      <c r="R12" s="35">
        <f t="shared" si="4"/>
        <v>13</v>
      </c>
      <c r="S12" s="35">
        <f t="shared" si="5"/>
        <v>130</v>
      </c>
      <c r="T12" s="35">
        <f t="shared" si="6"/>
        <v>157</v>
      </c>
      <c r="U12" s="35">
        <f t="shared" si="7"/>
        <v>0</v>
      </c>
      <c r="V12" s="35">
        <v>144</v>
      </c>
      <c r="W12" s="43">
        <f t="shared" si="8"/>
        <v>0</v>
      </c>
      <c r="Y12" s="50">
        <v>38.74</v>
      </c>
      <c r="Z12" s="50">
        <f t="shared" si="9"/>
        <v>0</v>
      </c>
      <c r="AB12" s="51">
        <v>67.2</v>
      </c>
      <c r="AC12" s="51">
        <f t="shared" si="10"/>
        <v>0</v>
      </c>
      <c r="AD12" s="52" t="e">
        <f t="shared" si="11"/>
        <v>#DIV/0!</v>
      </c>
      <c r="AE12" s="50">
        <f t="shared" si="12"/>
        <v>0</v>
      </c>
    </row>
    <row r="13" spans="1:31" x14ac:dyDescent="0.25">
      <c r="A13" s="38" t="s">
        <v>106</v>
      </c>
      <c r="B13" s="39" t="s">
        <v>86</v>
      </c>
      <c r="C13" s="35">
        <v>50</v>
      </c>
      <c r="D13" s="35">
        <v>10</v>
      </c>
      <c r="E13" s="35">
        <v>70</v>
      </c>
      <c r="F13" s="40" t="s">
        <v>107</v>
      </c>
      <c r="G13" s="41">
        <v>9319696110506</v>
      </c>
      <c r="H13" s="42">
        <v>3917.4</v>
      </c>
      <c r="I13" s="43"/>
      <c r="J13" s="43">
        <f t="shared" si="0"/>
        <v>0</v>
      </c>
      <c r="K13" s="44">
        <f t="shared" si="1"/>
        <v>0</v>
      </c>
      <c r="L13" s="45"/>
      <c r="M13" s="46">
        <v>8.1</v>
      </c>
      <c r="N13" s="46">
        <v>9.1</v>
      </c>
      <c r="O13" s="47">
        <f t="shared" si="2"/>
        <v>0</v>
      </c>
      <c r="P13" s="47">
        <f t="shared" si="3"/>
        <v>0</v>
      </c>
      <c r="R13" s="35">
        <f t="shared" si="4"/>
        <v>7</v>
      </c>
      <c r="S13" s="35">
        <f t="shared" si="5"/>
        <v>70</v>
      </c>
      <c r="T13" s="35">
        <f t="shared" si="6"/>
        <v>85</v>
      </c>
      <c r="U13" s="35">
        <f t="shared" si="7"/>
        <v>0</v>
      </c>
      <c r="V13" s="35">
        <v>144</v>
      </c>
      <c r="W13" s="43">
        <f t="shared" si="8"/>
        <v>0</v>
      </c>
      <c r="Y13" s="50">
        <v>51.19</v>
      </c>
      <c r="Z13" s="50">
        <f t="shared" si="9"/>
        <v>0</v>
      </c>
      <c r="AB13" s="51">
        <v>91.2</v>
      </c>
      <c r="AC13" s="51">
        <f t="shared" si="10"/>
        <v>0</v>
      </c>
      <c r="AD13" s="52" t="e">
        <f t="shared" si="11"/>
        <v>#DIV/0!</v>
      </c>
      <c r="AE13" s="50">
        <f t="shared" si="12"/>
        <v>0</v>
      </c>
    </row>
    <row r="14" spans="1:31" x14ac:dyDescent="0.25">
      <c r="A14" s="38" t="s">
        <v>108</v>
      </c>
      <c r="B14" s="39" t="s">
        <v>86</v>
      </c>
      <c r="C14" s="35">
        <v>15</v>
      </c>
      <c r="D14" s="35">
        <v>10</v>
      </c>
      <c r="E14" s="35">
        <v>2900</v>
      </c>
      <c r="F14" s="40" t="s">
        <v>109</v>
      </c>
      <c r="G14" s="41">
        <v>9319696200153</v>
      </c>
      <c r="H14" s="42">
        <v>3917.4</v>
      </c>
      <c r="I14" s="43"/>
      <c r="J14" s="43">
        <f t="shared" si="0"/>
        <v>0</v>
      </c>
      <c r="K14" s="44">
        <f t="shared" si="1"/>
        <v>0</v>
      </c>
      <c r="L14" s="45"/>
      <c r="M14" s="46">
        <v>17.399999999999999</v>
      </c>
      <c r="N14" s="46">
        <v>19.5</v>
      </c>
      <c r="O14" s="47">
        <f t="shared" si="2"/>
        <v>0</v>
      </c>
      <c r="P14" s="47">
        <f t="shared" si="3"/>
        <v>0</v>
      </c>
      <c r="R14" s="35">
        <f t="shared" si="4"/>
        <v>290</v>
      </c>
      <c r="S14" s="35">
        <f t="shared" si="5"/>
        <v>2900</v>
      </c>
      <c r="T14" s="35">
        <f t="shared" si="6"/>
        <v>3509</v>
      </c>
      <c r="U14" s="35">
        <f t="shared" si="7"/>
        <v>0</v>
      </c>
      <c r="V14" s="48">
        <v>184</v>
      </c>
      <c r="W14" s="43">
        <f t="shared" si="8"/>
        <v>0</v>
      </c>
      <c r="Y14" s="50">
        <v>4.5</v>
      </c>
      <c r="Z14" s="50">
        <f t="shared" si="9"/>
        <v>0</v>
      </c>
      <c r="AB14" s="51">
        <v>7.72</v>
      </c>
      <c r="AC14" s="51">
        <f t="shared" si="10"/>
        <v>0</v>
      </c>
      <c r="AD14" s="52" t="e">
        <f t="shared" si="11"/>
        <v>#DIV/0!</v>
      </c>
      <c r="AE14" s="50">
        <f t="shared" si="12"/>
        <v>0</v>
      </c>
    </row>
    <row r="15" spans="1:31" x14ac:dyDescent="0.25">
      <c r="A15" s="38" t="s">
        <v>110</v>
      </c>
      <c r="B15" s="39" t="s">
        <v>86</v>
      </c>
      <c r="C15" s="35">
        <v>20</v>
      </c>
      <c r="D15" s="35">
        <v>10</v>
      </c>
      <c r="E15" s="35">
        <v>1700</v>
      </c>
      <c r="F15" s="40" t="s">
        <v>111</v>
      </c>
      <c r="G15" s="41">
        <v>9319696200207</v>
      </c>
      <c r="H15" s="42">
        <v>3917.4</v>
      </c>
      <c r="I15" s="43"/>
      <c r="J15" s="43">
        <f t="shared" si="0"/>
        <v>0</v>
      </c>
      <c r="K15" s="44">
        <f t="shared" si="1"/>
        <v>0</v>
      </c>
      <c r="L15" s="45"/>
      <c r="M15" s="46">
        <v>15.64</v>
      </c>
      <c r="N15" s="46">
        <v>17.5</v>
      </c>
      <c r="O15" s="47">
        <f t="shared" si="2"/>
        <v>0</v>
      </c>
      <c r="P15" s="47">
        <f t="shared" si="3"/>
        <v>0</v>
      </c>
      <c r="R15" s="35">
        <f t="shared" si="4"/>
        <v>170</v>
      </c>
      <c r="S15" s="35">
        <f t="shared" si="5"/>
        <v>1700</v>
      </c>
      <c r="T15" s="35">
        <f t="shared" si="6"/>
        <v>2057</v>
      </c>
      <c r="U15" s="35">
        <f t="shared" si="7"/>
        <v>0</v>
      </c>
      <c r="V15" s="48">
        <v>184</v>
      </c>
      <c r="W15" s="43">
        <f t="shared" si="8"/>
        <v>0</v>
      </c>
      <c r="Y15" s="49">
        <v>4.9000000000000004</v>
      </c>
      <c r="Z15" s="50">
        <f t="shared" si="9"/>
        <v>0</v>
      </c>
      <c r="AB15" s="51">
        <v>8.49</v>
      </c>
      <c r="AC15" s="51">
        <f t="shared" si="10"/>
        <v>0</v>
      </c>
      <c r="AD15" s="52" t="e">
        <f t="shared" si="11"/>
        <v>#DIV/0!</v>
      </c>
      <c r="AE15" s="50">
        <f t="shared" si="12"/>
        <v>0</v>
      </c>
    </row>
    <row r="16" spans="1:31" x14ac:dyDescent="0.25">
      <c r="A16" s="38" t="s">
        <v>112</v>
      </c>
      <c r="B16" s="39" t="s">
        <v>86</v>
      </c>
      <c r="C16" s="35">
        <v>25</v>
      </c>
      <c r="D16" s="35">
        <v>10</v>
      </c>
      <c r="E16" s="35">
        <v>1000</v>
      </c>
      <c r="F16" s="40" t="s">
        <v>113</v>
      </c>
      <c r="G16" s="41">
        <v>9319696200252</v>
      </c>
      <c r="H16" s="42">
        <v>3917.4</v>
      </c>
      <c r="I16" s="43"/>
      <c r="J16" s="43">
        <f t="shared" si="0"/>
        <v>0</v>
      </c>
      <c r="K16" s="44">
        <f t="shared" si="1"/>
        <v>0</v>
      </c>
      <c r="L16" s="45"/>
      <c r="M16" s="46">
        <v>16.5</v>
      </c>
      <c r="N16" s="46">
        <v>18</v>
      </c>
      <c r="O16" s="47">
        <f t="shared" si="2"/>
        <v>0</v>
      </c>
      <c r="P16" s="47">
        <f t="shared" si="3"/>
        <v>0</v>
      </c>
      <c r="R16" s="35">
        <f t="shared" si="4"/>
        <v>100</v>
      </c>
      <c r="S16" s="35">
        <f t="shared" si="5"/>
        <v>1000</v>
      </c>
      <c r="T16" s="35">
        <f t="shared" si="6"/>
        <v>1210</v>
      </c>
      <c r="U16" s="35">
        <f t="shared" si="7"/>
        <v>0</v>
      </c>
      <c r="V16" s="35">
        <v>276</v>
      </c>
      <c r="W16" s="43">
        <f t="shared" si="8"/>
        <v>0</v>
      </c>
      <c r="Y16" s="50">
        <v>8.3000000000000007</v>
      </c>
      <c r="Z16" s="50">
        <f t="shared" si="9"/>
        <v>0</v>
      </c>
      <c r="AB16" s="51">
        <v>14.15</v>
      </c>
      <c r="AC16" s="51">
        <f t="shared" si="10"/>
        <v>0</v>
      </c>
      <c r="AD16" s="52" t="e">
        <f t="shared" si="11"/>
        <v>#DIV/0!</v>
      </c>
      <c r="AE16" s="50">
        <f t="shared" si="12"/>
        <v>0</v>
      </c>
    </row>
    <row r="17" spans="1:31" x14ac:dyDescent="0.25">
      <c r="A17" s="40" t="s">
        <v>114</v>
      </c>
      <c r="B17" s="39" t="s">
        <v>86</v>
      </c>
      <c r="C17" s="35">
        <v>32</v>
      </c>
      <c r="D17" s="35">
        <v>10</v>
      </c>
      <c r="E17" s="35">
        <v>510</v>
      </c>
      <c r="F17" s="40" t="s">
        <v>115</v>
      </c>
      <c r="G17" s="41">
        <v>9319696200320</v>
      </c>
      <c r="H17" s="42">
        <v>3917.4</v>
      </c>
      <c r="I17" s="43"/>
      <c r="J17" s="43">
        <f t="shared" si="0"/>
        <v>0</v>
      </c>
      <c r="K17" s="44">
        <f t="shared" si="1"/>
        <v>0</v>
      </c>
      <c r="L17" s="45"/>
      <c r="M17" s="46">
        <v>13.5</v>
      </c>
      <c r="N17" s="46">
        <v>14.7</v>
      </c>
      <c r="O17" s="47">
        <f t="shared" si="2"/>
        <v>0</v>
      </c>
      <c r="P17" s="47">
        <f t="shared" si="3"/>
        <v>0</v>
      </c>
      <c r="R17" s="48">
        <f t="shared" si="4"/>
        <v>51</v>
      </c>
      <c r="S17" s="48">
        <f t="shared" si="5"/>
        <v>510</v>
      </c>
      <c r="T17" s="35">
        <f t="shared" si="6"/>
        <v>617</v>
      </c>
      <c r="U17" s="35">
        <f t="shared" si="7"/>
        <v>0</v>
      </c>
      <c r="V17" s="35">
        <v>144</v>
      </c>
      <c r="W17" s="43">
        <f t="shared" si="8"/>
        <v>0</v>
      </c>
      <c r="Y17" s="50">
        <v>15.14</v>
      </c>
      <c r="Z17" s="50">
        <f t="shared" si="9"/>
        <v>0</v>
      </c>
      <c r="AB17" s="51">
        <v>25.9</v>
      </c>
      <c r="AC17" s="51">
        <f t="shared" si="10"/>
        <v>0</v>
      </c>
      <c r="AD17" s="52" t="e">
        <f t="shared" si="11"/>
        <v>#DIV/0!</v>
      </c>
      <c r="AE17" s="50">
        <f t="shared" si="12"/>
        <v>0</v>
      </c>
    </row>
    <row r="18" spans="1:31" x14ac:dyDescent="0.25">
      <c r="A18" s="38" t="s">
        <v>116</v>
      </c>
      <c r="B18" s="39" t="s">
        <v>86</v>
      </c>
      <c r="C18" s="35">
        <v>40</v>
      </c>
      <c r="D18" s="35">
        <v>10</v>
      </c>
      <c r="E18" s="35">
        <v>500</v>
      </c>
      <c r="F18" s="40" t="s">
        <v>117</v>
      </c>
      <c r="G18" s="41">
        <v>9319696200405</v>
      </c>
      <c r="H18" s="42">
        <v>3917.4</v>
      </c>
      <c r="I18" s="43"/>
      <c r="J18" s="43">
        <f t="shared" si="0"/>
        <v>0</v>
      </c>
      <c r="K18" s="44">
        <f t="shared" si="1"/>
        <v>0</v>
      </c>
      <c r="L18" s="45"/>
      <c r="M18" s="46">
        <v>15.4</v>
      </c>
      <c r="N18" s="46">
        <v>16.5</v>
      </c>
      <c r="O18" s="47">
        <f t="shared" si="2"/>
        <v>0</v>
      </c>
      <c r="P18" s="47">
        <f t="shared" si="3"/>
        <v>0</v>
      </c>
      <c r="R18" s="35">
        <f t="shared" si="4"/>
        <v>50</v>
      </c>
      <c r="S18" s="35">
        <f t="shared" si="5"/>
        <v>500</v>
      </c>
      <c r="T18" s="35">
        <f t="shared" si="6"/>
        <v>605</v>
      </c>
      <c r="U18" s="35">
        <f t="shared" si="7"/>
        <v>0</v>
      </c>
      <c r="V18" s="35">
        <v>144</v>
      </c>
      <c r="W18" s="43">
        <f t="shared" si="8"/>
        <v>0</v>
      </c>
      <c r="Y18" s="50">
        <v>17.010000000000002</v>
      </c>
      <c r="Z18" s="50">
        <f t="shared" si="9"/>
        <v>0</v>
      </c>
      <c r="AB18" s="51">
        <v>29</v>
      </c>
      <c r="AC18" s="51">
        <f t="shared" si="10"/>
        <v>0</v>
      </c>
      <c r="AD18" s="52" t="e">
        <f t="shared" si="11"/>
        <v>#DIV/0!</v>
      </c>
      <c r="AE18" s="50">
        <f t="shared" si="12"/>
        <v>0</v>
      </c>
    </row>
    <row r="19" spans="1:31" x14ac:dyDescent="0.25">
      <c r="A19" s="55" t="s">
        <v>118</v>
      </c>
      <c r="B19" s="39" t="s">
        <v>86</v>
      </c>
      <c r="C19" s="35">
        <v>50</v>
      </c>
      <c r="D19" s="35">
        <v>10</v>
      </c>
      <c r="E19" s="35">
        <v>250</v>
      </c>
      <c r="F19" s="40" t="s">
        <v>119</v>
      </c>
      <c r="G19" s="41">
        <v>9319696200504</v>
      </c>
      <c r="H19" s="42">
        <v>3917.4</v>
      </c>
      <c r="I19" s="43"/>
      <c r="J19" s="43">
        <f t="shared" si="0"/>
        <v>0</v>
      </c>
      <c r="K19" s="44">
        <f t="shared" si="1"/>
        <v>0</v>
      </c>
      <c r="L19" s="45"/>
      <c r="M19" s="46">
        <v>12.75</v>
      </c>
      <c r="N19" s="46">
        <v>13.8</v>
      </c>
      <c r="O19" s="47">
        <f t="shared" si="2"/>
        <v>0</v>
      </c>
      <c r="P19" s="47">
        <f t="shared" si="3"/>
        <v>0</v>
      </c>
      <c r="R19" s="35">
        <f t="shared" si="4"/>
        <v>25</v>
      </c>
      <c r="S19" s="35">
        <f t="shared" si="5"/>
        <v>250</v>
      </c>
      <c r="T19" s="35">
        <f t="shared" si="6"/>
        <v>303</v>
      </c>
      <c r="U19" s="35">
        <f t="shared" si="7"/>
        <v>0</v>
      </c>
      <c r="V19" s="35">
        <v>144</v>
      </c>
      <c r="W19" s="43">
        <f t="shared" si="8"/>
        <v>0</v>
      </c>
      <c r="Y19" s="50">
        <v>22.66</v>
      </c>
      <c r="Z19" s="50">
        <f t="shared" si="9"/>
        <v>0</v>
      </c>
      <c r="AB19" s="51">
        <v>39</v>
      </c>
      <c r="AC19" s="51">
        <f t="shared" si="10"/>
        <v>0</v>
      </c>
      <c r="AD19" s="52" t="e">
        <f t="shared" si="11"/>
        <v>#DIV/0!</v>
      </c>
      <c r="AE19" s="50">
        <f t="shared" si="12"/>
        <v>0</v>
      </c>
    </row>
    <row r="20" spans="1:31" x14ac:dyDescent="0.25">
      <c r="A20" s="38" t="s">
        <v>120</v>
      </c>
      <c r="B20" s="39" t="s">
        <v>86</v>
      </c>
      <c r="C20" s="35" t="s">
        <v>121</v>
      </c>
      <c r="D20" s="35">
        <v>10</v>
      </c>
      <c r="E20" s="35">
        <v>1100</v>
      </c>
      <c r="F20" s="40" t="s">
        <v>122</v>
      </c>
      <c r="G20" s="41">
        <v>9319696920150</v>
      </c>
      <c r="H20" s="42">
        <v>3917.4</v>
      </c>
      <c r="I20" s="43"/>
      <c r="J20" s="43">
        <f t="shared" si="0"/>
        <v>0</v>
      </c>
      <c r="K20" s="44">
        <f t="shared" si="1"/>
        <v>0</v>
      </c>
      <c r="L20" s="45"/>
      <c r="M20" s="46">
        <v>15.6</v>
      </c>
      <c r="N20" s="46">
        <v>17.100000000000001</v>
      </c>
      <c r="O20" s="47">
        <f t="shared" si="2"/>
        <v>0</v>
      </c>
      <c r="P20" s="47">
        <f t="shared" si="3"/>
        <v>0</v>
      </c>
      <c r="R20" s="35">
        <f t="shared" si="4"/>
        <v>110</v>
      </c>
      <c r="S20" s="35">
        <f t="shared" si="5"/>
        <v>1100</v>
      </c>
      <c r="T20" s="35">
        <f t="shared" si="6"/>
        <v>1331</v>
      </c>
      <c r="U20" s="35">
        <f t="shared" si="7"/>
        <v>0</v>
      </c>
      <c r="V20" s="48">
        <v>184</v>
      </c>
      <c r="W20" s="43">
        <f t="shared" si="8"/>
        <v>0</v>
      </c>
      <c r="Y20" s="49">
        <v>10.31</v>
      </c>
      <c r="Z20" s="50">
        <f t="shared" si="9"/>
        <v>0</v>
      </c>
      <c r="AB20" s="51">
        <v>15.6</v>
      </c>
      <c r="AC20" s="51">
        <f t="shared" si="10"/>
        <v>0</v>
      </c>
      <c r="AD20" s="52" t="e">
        <f t="shared" si="11"/>
        <v>#DIV/0!</v>
      </c>
      <c r="AE20" s="50">
        <f t="shared" si="12"/>
        <v>0</v>
      </c>
    </row>
    <row r="21" spans="1:31" x14ac:dyDescent="0.25">
      <c r="A21" s="38" t="s">
        <v>123</v>
      </c>
      <c r="B21" s="39" t="s">
        <v>86</v>
      </c>
      <c r="C21" s="35" t="s">
        <v>124</v>
      </c>
      <c r="D21" s="35">
        <v>10</v>
      </c>
      <c r="E21" s="35">
        <v>750</v>
      </c>
      <c r="F21" s="40" t="s">
        <v>125</v>
      </c>
      <c r="G21" s="41">
        <v>9319696925155</v>
      </c>
      <c r="H21" s="42">
        <v>3917.4</v>
      </c>
      <c r="I21" s="43"/>
      <c r="J21" s="43">
        <f t="shared" si="0"/>
        <v>0</v>
      </c>
      <c r="K21" s="44">
        <f t="shared" si="1"/>
        <v>0</v>
      </c>
      <c r="L21" s="45"/>
      <c r="M21" s="46">
        <v>15</v>
      </c>
      <c r="N21" s="46">
        <v>16.3</v>
      </c>
      <c r="O21" s="47">
        <f t="shared" si="2"/>
        <v>0</v>
      </c>
      <c r="P21" s="47">
        <f t="shared" si="3"/>
        <v>0</v>
      </c>
      <c r="R21" s="35">
        <f t="shared" si="4"/>
        <v>75</v>
      </c>
      <c r="S21" s="35">
        <f t="shared" si="5"/>
        <v>750</v>
      </c>
      <c r="T21" s="35">
        <f t="shared" si="6"/>
        <v>908</v>
      </c>
      <c r="U21" s="35">
        <f t="shared" si="7"/>
        <v>0</v>
      </c>
      <c r="V21" s="48">
        <v>184</v>
      </c>
      <c r="W21" s="43">
        <f t="shared" si="8"/>
        <v>0</v>
      </c>
      <c r="Y21" s="50">
        <v>11.05</v>
      </c>
      <c r="Z21" s="50">
        <f t="shared" si="9"/>
        <v>0</v>
      </c>
      <c r="AB21" s="51">
        <v>16.8</v>
      </c>
      <c r="AC21" s="51">
        <f t="shared" si="10"/>
        <v>0</v>
      </c>
      <c r="AD21" s="52" t="e">
        <f t="shared" si="11"/>
        <v>#DIV/0!</v>
      </c>
      <c r="AE21" s="50">
        <f t="shared" si="12"/>
        <v>0</v>
      </c>
    </row>
    <row r="22" spans="1:31" x14ac:dyDescent="0.25">
      <c r="A22" s="38" t="s">
        <v>126</v>
      </c>
      <c r="B22" s="39" t="s">
        <v>86</v>
      </c>
      <c r="C22" s="35" t="s">
        <v>127</v>
      </c>
      <c r="D22" s="35">
        <v>10</v>
      </c>
      <c r="E22" s="35">
        <v>650</v>
      </c>
      <c r="F22" s="40" t="s">
        <v>128</v>
      </c>
      <c r="G22" s="41">
        <v>9319696925209</v>
      </c>
      <c r="H22" s="42">
        <v>3917.4</v>
      </c>
      <c r="I22" s="43"/>
      <c r="J22" s="43">
        <f t="shared" si="0"/>
        <v>0</v>
      </c>
      <c r="K22" s="44">
        <f t="shared" si="1"/>
        <v>0</v>
      </c>
      <c r="L22" s="45"/>
      <c r="M22" s="46">
        <v>16.2</v>
      </c>
      <c r="N22" s="46">
        <v>17.5</v>
      </c>
      <c r="O22" s="47">
        <f t="shared" si="2"/>
        <v>0</v>
      </c>
      <c r="P22" s="47">
        <f t="shared" si="3"/>
        <v>0</v>
      </c>
      <c r="R22" s="35">
        <f t="shared" si="4"/>
        <v>65</v>
      </c>
      <c r="S22" s="35">
        <f t="shared" si="5"/>
        <v>650</v>
      </c>
      <c r="T22" s="35">
        <f t="shared" si="6"/>
        <v>787</v>
      </c>
      <c r="U22" s="35">
        <f t="shared" si="7"/>
        <v>0</v>
      </c>
      <c r="V22" s="48">
        <v>184</v>
      </c>
      <c r="W22" s="43">
        <f t="shared" si="8"/>
        <v>0</v>
      </c>
      <c r="Y22" s="50">
        <v>12.46</v>
      </c>
      <c r="Z22" s="50">
        <f t="shared" si="9"/>
        <v>0</v>
      </c>
      <c r="AB22" s="51">
        <v>19.2</v>
      </c>
      <c r="AC22" s="51">
        <f t="shared" si="10"/>
        <v>0</v>
      </c>
      <c r="AD22" s="52" t="e">
        <f t="shared" si="11"/>
        <v>#DIV/0!</v>
      </c>
      <c r="AE22" s="50">
        <f t="shared" si="12"/>
        <v>0</v>
      </c>
    </row>
    <row r="23" spans="1:31" x14ac:dyDescent="0.25">
      <c r="A23" s="38" t="s">
        <v>129</v>
      </c>
      <c r="B23" s="39" t="s">
        <v>86</v>
      </c>
      <c r="C23" s="35" t="s">
        <v>121</v>
      </c>
      <c r="D23" s="35">
        <v>10</v>
      </c>
      <c r="E23" s="35">
        <v>900</v>
      </c>
      <c r="F23" s="40" t="s">
        <v>130</v>
      </c>
      <c r="G23" s="41">
        <v>9319696820153</v>
      </c>
      <c r="H23" s="42">
        <v>3917.4</v>
      </c>
      <c r="I23" s="43"/>
      <c r="J23" s="43">
        <f t="shared" si="0"/>
        <v>0</v>
      </c>
      <c r="K23" s="44">
        <f t="shared" si="1"/>
        <v>0</v>
      </c>
      <c r="L23" s="45"/>
      <c r="M23" s="46">
        <v>16</v>
      </c>
      <c r="N23" s="56">
        <v>17.5</v>
      </c>
      <c r="O23" s="47">
        <f t="shared" si="2"/>
        <v>0</v>
      </c>
      <c r="P23" s="47">
        <f t="shared" si="3"/>
        <v>0</v>
      </c>
      <c r="R23" s="35">
        <f t="shared" si="4"/>
        <v>90</v>
      </c>
      <c r="S23" s="35">
        <f t="shared" si="5"/>
        <v>900</v>
      </c>
      <c r="T23" s="35">
        <f t="shared" si="6"/>
        <v>1089</v>
      </c>
      <c r="U23" s="35">
        <f t="shared" si="7"/>
        <v>0</v>
      </c>
      <c r="V23" s="48">
        <v>184</v>
      </c>
      <c r="W23" s="43">
        <f t="shared" si="8"/>
        <v>0</v>
      </c>
      <c r="Y23" s="50">
        <v>14.68</v>
      </c>
      <c r="Z23" s="50">
        <f t="shared" si="9"/>
        <v>0</v>
      </c>
      <c r="AB23" s="51">
        <v>21.6</v>
      </c>
      <c r="AC23" s="51">
        <f t="shared" si="10"/>
        <v>0</v>
      </c>
      <c r="AD23" s="52" t="e">
        <f t="shared" si="11"/>
        <v>#DIV/0!</v>
      </c>
      <c r="AE23" s="50">
        <f t="shared" si="12"/>
        <v>0</v>
      </c>
    </row>
    <row r="24" spans="1:31" x14ac:dyDescent="0.25">
      <c r="A24" s="38" t="s">
        <v>131</v>
      </c>
      <c r="B24" s="39" t="s">
        <v>86</v>
      </c>
      <c r="C24" s="35" t="s">
        <v>127</v>
      </c>
      <c r="D24" s="35">
        <v>10</v>
      </c>
      <c r="E24" s="35">
        <v>550</v>
      </c>
      <c r="F24" s="40" t="s">
        <v>132</v>
      </c>
      <c r="G24" s="41">
        <v>9319696825202</v>
      </c>
      <c r="H24" s="42">
        <v>3917.4</v>
      </c>
      <c r="I24" s="43"/>
      <c r="J24" s="43">
        <f t="shared" si="0"/>
        <v>0</v>
      </c>
      <c r="K24" s="44">
        <f t="shared" si="1"/>
        <v>0</v>
      </c>
      <c r="L24" s="45"/>
      <c r="M24" s="46">
        <v>14.3</v>
      </c>
      <c r="N24" s="46">
        <v>15.5</v>
      </c>
      <c r="O24" s="47">
        <f t="shared" si="2"/>
        <v>0</v>
      </c>
      <c r="P24" s="47">
        <f t="shared" si="3"/>
        <v>0</v>
      </c>
      <c r="R24" s="35">
        <f t="shared" si="4"/>
        <v>55</v>
      </c>
      <c r="S24" s="35">
        <f t="shared" si="5"/>
        <v>550</v>
      </c>
      <c r="T24" s="35">
        <f t="shared" si="6"/>
        <v>666</v>
      </c>
      <c r="U24" s="35">
        <f t="shared" si="7"/>
        <v>0</v>
      </c>
      <c r="V24" s="48">
        <v>184</v>
      </c>
      <c r="W24" s="43">
        <f t="shared" si="8"/>
        <v>0</v>
      </c>
      <c r="Y24" s="50">
        <v>16.78</v>
      </c>
      <c r="Z24" s="50">
        <f t="shared" si="9"/>
        <v>0</v>
      </c>
      <c r="AB24" s="51">
        <v>24</v>
      </c>
      <c r="AC24" s="51">
        <f t="shared" si="10"/>
        <v>0</v>
      </c>
      <c r="AD24" s="52" t="e">
        <f t="shared" si="11"/>
        <v>#DIV/0!</v>
      </c>
      <c r="AE24" s="50">
        <f t="shared" si="12"/>
        <v>0</v>
      </c>
    </row>
    <row r="25" spans="1:31" x14ac:dyDescent="0.25">
      <c r="A25" s="38" t="s">
        <v>133</v>
      </c>
      <c r="B25" s="39" t="s">
        <v>86</v>
      </c>
      <c r="C25" s="35" t="s">
        <v>134</v>
      </c>
      <c r="D25" s="35">
        <v>10</v>
      </c>
      <c r="E25" s="35">
        <v>220</v>
      </c>
      <c r="F25" s="40" t="s">
        <v>135</v>
      </c>
      <c r="G25" s="41">
        <v>9319696840328</v>
      </c>
      <c r="H25" s="42">
        <v>3917.4</v>
      </c>
      <c r="I25" s="43"/>
      <c r="J25" s="43">
        <f t="shared" si="0"/>
        <v>0</v>
      </c>
      <c r="K25" s="44">
        <f t="shared" si="1"/>
        <v>0</v>
      </c>
      <c r="L25" s="45"/>
      <c r="M25" s="46">
        <v>13.2</v>
      </c>
      <c r="N25" s="46">
        <v>13.1</v>
      </c>
      <c r="O25" s="47">
        <f t="shared" si="2"/>
        <v>0</v>
      </c>
      <c r="P25" s="47">
        <f t="shared" si="3"/>
        <v>0</v>
      </c>
      <c r="R25" s="35">
        <f t="shared" si="4"/>
        <v>22</v>
      </c>
      <c r="S25" s="35">
        <f t="shared" si="5"/>
        <v>220</v>
      </c>
      <c r="T25" s="35">
        <f t="shared" si="6"/>
        <v>266</v>
      </c>
      <c r="U25" s="35">
        <f t="shared" si="7"/>
        <v>0</v>
      </c>
      <c r="V25" s="35">
        <v>276</v>
      </c>
      <c r="W25" s="43">
        <f t="shared" si="8"/>
        <v>0</v>
      </c>
      <c r="Y25" s="50">
        <v>27.73</v>
      </c>
      <c r="Z25" s="50">
        <f t="shared" si="9"/>
        <v>0</v>
      </c>
      <c r="AB25" s="51">
        <v>42</v>
      </c>
      <c r="AC25" s="51">
        <f t="shared" si="10"/>
        <v>0</v>
      </c>
      <c r="AD25" s="52" t="e">
        <f t="shared" si="11"/>
        <v>#DIV/0!</v>
      </c>
      <c r="AE25" s="50">
        <f t="shared" si="12"/>
        <v>0</v>
      </c>
    </row>
    <row r="26" spans="1:31" x14ac:dyDescent="0.25">
      <c r="A26" s="38" t="s">
        <v>136</v>
      </c>
      <c r="B26" s="39" t="s">
        <v>86</v>
      </c>
      <c r="C26" s="35">
        <v>15</v>
      </c>
      <c r="D26" s="35">
        <v>10</v>
      </c>
      <c r="E26" s="35">
        <v>1200</v>
      </c>
      <c r="F26" s="40" t="s">
        <v>137</v>
      </c>
      <c r="G26" s="41">
        <v>9319696500154</v>
      </c>
      <c r="H26" s="42">
        <v>3917.4</v>
      </c>
      <c r="I26" s="43"/>
      <c r="J26" s="43">
        <f t="shared" si="0"/>
        <v>0</v>
      </c>
      <c r="K26" s="44">
        <f t="shared" si="1"/>
        <v>0</v>
      </c>
      <c r="L26" s="45"/>
      <c r="M26" s="46">
        <v>19.399999999999999</v>
      </c>
      <c r="N26" s="46">
        <v>21</v>
      </c>
      <c r="O26" s="47">
        <f t="shared" si="2"/>
        <v>0</v>
      </c>
      <c r="P26" s="47">
        <f t="shared" si="3"/>
        <v>0</v>
      </c>
      <c r="R26" s="35">
        <f t="shared" si="4"/>
        <v>120</v>
      </c>
      <c r="S26" s="35">
        <f t="shared" si="5"/>
        <v>1200</v>
      </c>
      <c r="T26" s="35">
        <f t="shared" si="6"/>
        <v>1452</v>
      </c>
      <c r="U26" s="35">
        <f t="shared" si="7"/>
        <v>0</v>
      </c>
      <c r="V26" s="48">
        <v>64</v>
      </c>
      <c r="W26" s="43">
        <f t="shared" si="8"/>
        <v>0</v>
      </c>
      <c r="Y26" s="50">
        <v>10.45</v>
      </c>
      <c r="Z26" s="50">
        <f t="shared" si="9"/>
        <v>0</v>
      </c>
      <c r="AB26" s="51">
        <v>14.4</v>
      </c>
      <c r="AC26" s="51">
        <f t="shared" si="10"/>
        <v>0</v>
      </c>
      <c r="AD26" s="52" t="e">
        <f t="shared" si="11"/>
        <v>#DIV/0!</v>
      </c>
      <c r="AE26" s="50">
        <f t="shared" si="12"/>
        <v>0</v>
      </c>
    </row>
    <row r="27" spans="1:31" x14ac:dyDescent="0.25">
      <c r="A27" s="38" t="s">
        <v>138</v>
      </c>
      <c r="B27" s="39" t="s">
        <v>86</v>
      </c>
      <c r="C27" s="35">
        <v>20</v>
      </c>
      <c r="D27" s="35">
        <v>10</v>
      </c>
      <c r="E27" s="35">
        <v>800</v>
      </c>
      <c r="F27" s="40" t="s">
        <v>139</v>
      </c>
      <c r="G27" s="41">
        <v>9319696502004</v>
      </c>
      <c r="H27" s="42">
        <v>3917.4</v>
      </c>
      <c r="I27" s="43"/>
      <c r="J27" s="43">
        <f t="shared" si="0"/>
        <v>0</v>
      </c>
      <c r="K27" s="44">
        <f t="shared" si="1"/>
        <v>0</v>
      </c>
      <c r="L27" s="45"/>
      <c r="M27" s="46">
        <v>19.8</v>
      </c>
      <c r="N27" s="46">
        <v>21.5</v>
      </c>
      <c r="O27" s="47">
        <f t="shared" si="2"/>
        <v>0</v>
      </c>
      <c r="P27" s="47">
        <f t="shared" si="3"/>
        <v>0</v>
      </c>
      <c r="R27" s="48">
        <f t="shared" si="4"/>
        <v>80</v>
      </c>
      <c r="S27" s="48">
        <f t="shared" si="5"/>
        <v>800</v>
      </c>
      <c r="T27" s="35">
        <f t="shared" si="6"/>
        <v>968</v>
      </c>
      <c r="U27" s="35">
        <f t="shared" si="7"/>
        <v>0</v>
      </c>
      <c r="V27" s="48">
        <v>184</v>
      </c>
      <c r="W27" s="43">
        <f t="shared" si="8"/>
        <v>0</v>
      </c>
      <c r="Y27" s="50">
        <v>13.3</v>
      </c>
      <c r="Z27" s="50">
        <f t="shared" si="9"/>
        <v>0</v>
      </c>
      <c r="AB27" s="51">
        <v>19.2</v>
      </c>
      <c r="AC27" s="51">
        <f t="shared" si="10"/>
        <v>0</v>
      </c>
      <c r="AD27" s="52" t="e">
        <f t="shared" si="11"/>
        <v>#DIV/0!</v>
      </c>
      <c r="AE27" s="50">
        <f t="shared" si="12"/>
        <v>0</v>
      </c>
    </row>
    <row r="28" spans="1:31" x14ac:dyDescent="0.25">
      <c r="A28" s="38" t="s">
        <v>140</v>
      </c>
      <c r="B28" s="39" t="s">
        <v>86</v>
      </c>
      <c r="C28" s="35">
        <v>25</v>
      </c>
      <c r="D28" s="35">
        <v>10</v>
      </c>
      <c r="E28" s="35">
        <v>500</v>
      </c>
      <c r="F28" s="40" t="s">
        <v>141</v>
      </c>
      <c r="G28" s="41">
        <v>9319696500253</v>
      </c>
      <c r="H28" s="42">
        <v>3917.4</v>
      </c>
      <c r="I28" s="43"/>
      <c r="J28" s="43">
        <f t="shared" si="0"/>
        <v>0</v>
      </c>
      <c r="K28" s="44">
        <f t="shared" si="1"/>
        <v>0</v>
      </c>
      <c r="L28" s="45"/>
      <c r="M28" s="46">
        <v>16.3</v>
      </c>
      <c r="N28" s="46">
        <v>17.5</v>
      </c>
      <c r="O28" s="47">
        <f t="shared" si="2"/>
        <v>0</v>
      </c>
      <c r="P28" s="47">
        <f t="shared" si="3"/>
        <v>0</v>
      </c>
      <c r="R28" s="35">
        <f t="shared" si="4"/>
        <v>50</v>
      </c>
      <c r="S28" s="35">
        <f t="shared" si="5"/>
        <v>500</v>
      </c>
      <c r="T28" s="35">
        <f t="shared" si="6"/>
        <v>605</v>
      </c>
      <c r="U28" s="35">
        <f t="shared" si="7"/>
        <v>0</v>
      </c>
      <c r="V28" s="48">
        <v>184</v>
      </c>
      <c r="W28" s="43">
        <f t="shared" si="8"/>
        <v>0</v>
      </c>
      <c r="Y28" s="50">
        <v>15.27</v>
      </c>
      <c r="Z28" s="50">
        <f t="shared" si="9"/>
        <v>0</v>
      </c>
      <c r="AB28" s="51">
        <v>22.8</v>
      </c>
      <c r="AC28" s="51">
        <f t="shared" si="10"/>
        <v>0</v>
      </c>
      <c r="AD28" s="52" t="e">
        <f t="shared" si="11"/>
        <v>#DIV/0!</v>
      </c>
      <c r="AE28" s="50">
        <f t="shared" si="12"/>
        <v>0</v>
      </c>
    </row>
    <row r="29" spans="1:31" x14ac:dyDescent="0.25">
      <c r="A29" s="38" t="s">
        <v>142</v>
      </c>
      <c r="B29" s="39" t="s">
        <v>86</v>
      </c>
      <c r="C29" s="35">
        <v>32</v>
      </c>
      <c r="D29" s="35">
        <v>10</v>
      </c>
      <c r="E29" s="35">
        <v>320</v>
      </c>
      <c r="F29" s="40" t="s">
        <v>143</v>
      </c>
      <c r="G29" s="41">
        <v>9319696500321</v>
      </c>
      <c r="H29" s="42">
        <v>3917.4</v>
      </c>
      <c r="I29" s="43"/>
      <c r="J29" s="43">
        <f t="shared" si="0"/>
        <v>0</v>
      </c>
      <c r="K29" s="44">
        <f t="shared" si="1"/>
        <v>0</v>
      </c>
      <c r="L29" s="45"/>
      <c r="M29" s="46">
        <v>15.52</v>
      </c>
      <c r="N29" s="46">
        <v>16.600000000000001</v>
      </c>
      <c r="O29" s="47">
        <f t="shared" si="2"/>
        <v>0</v>
      </c>
      <c r="P29" s="47">
        <f t="shared" si="3"/>
        <v>0</v>
      </c>
      <c r="R29" s="35">
        <f t="shared" si="4"/>
        <v>32</v>
      </c>
      <c r="S29" s="35">
        <f t="shared" si="5"/>
        <v>320</v>
      </c>
      <c r="T29" s="35">
        <f t="shared" si="6"/>
        <v>387</v>
      </c>
      <c r="U29" s="35">
        <f t="shared" si="7"/>
        <v>0</v>
      </c>
      <c r="V29" s="35">
        <v>276</v>
      </c>
      <c r="W29" s="43">
        <f t="shared" si="8"/>
        <v>0</v>
      </c>
      <c r="Y29" s="50">
        <v>23.67</v>
      </c>
      <c r="Z29" s="50">
        <f t="shared" si="9"/>
        <v>0</v>
      </c>
      <c r="AB29" s="51">
        <v>40.299999999999997</v>
      </c>
      <c r="AC29" s="51">
        <f t="shared" si="10"/>
        <v>0</v>
      </c>
      <c r="AD29" s="52" t="e">
        <f t="shared" si="11"/>
        <v>#DIV/0!</v>
      </c>
      <c r="AE29" s="50">
        <f t="shared" si="12"/>
        <v>0</v>
      </c>
    </row>
    <row r="30" spans="1:31" x14ac:dyDescent="0.25">
      <c r="A30" s="57" t="s">
        <v>144</v>
      </c>
      <c r="B30" s="39" t="s">
        <v>86</v>
      </c>
      <c r="C30" s="35">
        <v>40</v>
      </c>
      <c r="D30" s="35">
        <v>10</v>
      </c>
      <c r="E30" s="35">
        <v>210</v>
      </c>
      <c r="F30" s="53" t="s">
        <v>145</v>
      </c>
      <c r="G30" s="41">
        <v>9319696504008</v>
      </c>
      <c r="H30" s="42">
        <v>3917.4</v>
      </c>
      <c r="I30" s="43"/>
      <c r="J30" s="43">
        <f t="shared" si="0"/>
        <v>0</v>
      </c>
      <c r="K30" s="44">
        <f t="shared" si="1"/>
        <v>0</v>
      </c>
      <c r="L30" s="45"/>
      <c r="M30" s="46">
        <v>13</v>
      </c>
      <c r="N30" s="46">
        <v>14.1</v>
      </c>
      <c r="O30" s="47">
        <f t="shared" si="2"/>
        <v>0</v>
      </c>
      <c r="P30" s="47">
        <f t="shared" si="3"/>
        <v>0</v>
      </c>
      <c r="R30" s="35">
        <f t="shared" si="4"/>
        <v>21</v>
      </c>
      <c r="S30" s="35">
        <f t="shared" si="5"/>
        <v>210</v>
      </c>
      <c r="T30" s="35">
        <f t="shared" si="6"/>
        <v>254</v>
      </c>
      <c r="U30" s="35">
        <f t="shared" si="7"/>
        <v>0</v>
      </c>
      <c r="V30" s="35">
        <v>276</v>
      </c>
      <c r="W30" s="43">
        <f t="shared" si="8"/>
        <v>0</v>
      </c>
      <c r="Y30" s="50">
        <v>27.5</v>
      </c>
      <c r="Z30" s="50">
        <f t="shared" si="9"/>
        <v>0</v>
      </c>
      <c r="AB30" s="51">
        <v>47.15</v>
      </c>
      <c r="AC30" s="51">
        <f t="shared" si="10"/>
        <v>0</v>
      </c>
      <c r="AD30" s="52" t="e">
        <f t="shared" si="11"/>
        <v>#DIV/0!</v>
      </c>
      <c r="AE30" s="50">
        <f t="shared" si="12"/>
        <v>0</v>
      </c>
    </row>
    <row r="31" spans="1:31" x14ac:dyDescent="0.25">
      <c r="A31" s="38" t="s">
        <v>146</v>
      </c>
      <c r="B31" s="39" t="s">
        <v>86</v>
      </c>
      <c r="C31" s="35">
        <v>50</v>
      </c>
      <c r="D31" s="35">
        <v>10</v>
      </c>
      <c r="E31" s="35">
        <v>140</v>
      </c>
      <c r="F31" s="40" t="s">
        <v>147</v>
      </c>
      <c r="G31" s="41">
        <v>9319696500505</v>
      </c>
      <c r="H31" s="42">
        <v>3917.4</v>
      </c>
      <c r="I31" s="43"/>
      <c r="J31" s="43">
        <f t="shared" si="0"/>
        <v>0</v>
      </c>
      <c r="K31" s="44">
        <f t="shared" si="1"/>
        <v>0</v>
      </c>
      <c r="L31" s="45"/>
      <c r="M31" s="46">
        <v>14.6</v>
      </c>
      <c r="N31" s="46">
        <v>15.6</v>
      </c>
      <c r="O31" s="47">
        <f t="shared" si="2"/>
        <v>0</v>
      </c>
      <c r="P31" s="47">
        <f t="shared" si="3"/>
        <v>0</v>
      </c>
      <c r="R31" s="48">
        <f t="shared" si="4"/>
        <v>14</v>
      </c>
      <c r="S31" s="48">
        <f t="shared" si="5"/>
        <v>140</v>
      </c>
      <c r="T31" s="35">
        <f t="shared" si="6"/>
        <v>169</v>
      </c>
      <c r="U31" s="35">
        <f t="shared" si="7"/>
        <v>0</v>
      </c>
      <c r="V31" s="35">
        <v>276</v>
      </c>
      <c r="W31" s="43">
        <f t="shared" si="8"/>
        <v>0</v>
      </c>
      <c r="Y31" s="50">
        <v>41.66</v>
      </c>
      <c r="Z31" s="50">
        <f t="shared" si="9"/>
        <v>0</v>
      </c>
      <c r="AB31" s="51">
        <v>75.599999999999994</v>
      </c>
      <c r="AC31" s="51">
        <f t="shared" si="10"/>
        <v>0</v>
      </c>
      <c r="AD31" s="52" t="e">
        <f t="shared" si="11"/>
        <v>#DIV/0!</v>
      </c>
      <c r="AE31" s="50">
        <f t="shared" si="12"/>
        <v>0</v>
      </c>
    </row>
    <row r="32" spans="1:31" x14ac:dyDescent="0.25">
      <c r="A32" s="38" t="s">
        <v>148</v>
      </c>
      <c r="B32" s="39" t="s">
        <v>86</v>
      </c>
      <c r="C32" s="35">
        <v>15</v>
      </c>
      <c r="D32" s="35">
        <v>10</v>
      </c>
      <c r="E32" s="35">
        <v>540</v>
      </c>
      <c r="F32" s="40" t="s">
        <v>149</v>
      </c>
      <c r="G32" s="41">
        <v>9319696600151</v>
      </c>
      <c r="H32" s="42">
        <v>3917.4</v>
      </c>
      <c r="I32" s="43"/>
      <c r="J32" s="43">
        <f t="shared" si="0"/>
        <v>0</v>
      </c>
      <c r="K32" s="44">
        <f t="shared" si="1"/>
        <v>0</v>
      </c>
      <c r="L32" s="45"/>
      <c r="M32" s="46">
        <v>13.5</v>
      </c>
      <c r="N32" s="46">
        <v>14.7</v>
      </c>
      <c r="O32" s="47">
        <f t="shared" si="2"/>
        <v>0</v>
      </c>
      <c r="P32" s="47">
        <f t="shared" si="3"/>
        <v>0</v>
      </c>
      <c r="R32" s="48">
        <f t="shared" si="4"/>
        <v>54</v>
      </c>
      <c r="S32" s="48">
        <f t="shared" si="5"/>
        <v>540</v>
      </c>
      <c r="T32" s="35">
        <f t="shared" si="6"/>
        <v>653</v>
      </c>
      <c r="U32" s="35">
        <f t="shared" si="7"/>
        <v>0</v>
      </c>
      <c r="V32" s="48">
        <v>184</v>
      </c>
      <c r="W32" s="43">
        <f t="shared" si="8"/>
        <v>0</v>
      </c>
      <c r="Y32" s="49">
        <v>23.25</v>
      </c>
      <c r="Z32" s="50">
        <f t="shared" si="9"/>
        <v>0</v>
      </c>
      <c r="AB32" s="51">
        <v>33.6</v>
      </c>
      <c r="AC32" s="51">
        <f t="shared" si="10"/>
        <v>0</v>
      </c>
      <c r="AD32" s="52" t="e">
        <f t="shared" si="11"/>
        <v>#DIV/0!</v>
      </c>
      <c r="AE32" s="50">
        <f t="shared" si="12"/>
        <v>0</v>
      </c>
    </row>
    <row r="33" spans="1:31" x14ac:dyDescent="0.25">
      <c r="A33" s="38" t="s">
        <v>150</v>
      </c>
      <c r="B33" s="39" t="s">
        <v>86</v>
      </c>
      <c r="C33" s="48">
        <v>20</v>
      </c>
      <c r="D33" s="35">
        <v>10</v>
      </c>
      <c r="E33" s="35">
        <v>350</v>
      </c>
      <c r="F33" s="53" t="s">
        <v>151</v>
      </c>
      <c r="G33" s="41">
        <v>9319696600205</v>
      </c>
      <c r="H33" s="42">
        <v>3917.4</v>
      </c>
      <c r="I33" s="43"/>
      <c r="J33" s="43">
        <f t="shared" si="0"/>
        <v>0</v>
      </c>
      <c r="K33" s="44">
        <f t="shared" si="1"/>
        <v>0</v>
      </c>
      <c r="L33" s="45"/>
      <c r="M33" s="46">
        <v>14.1</v>
      </c>
      <c r="N33" s="46">
        <v>15.2</v>
      </c>
      <c r="O33" s="47">
        <f t="shared" si="2"/>
        <v>0</v>
      </c>
      <c r="P33" s="47">
        <f t="shared" si="3"/>
        <v>0</v>
      </c>
      <c r="R33" s="35">
        <f t="shared" si="4"/>
        <v>35</v>
      </c>
      <c r="S33" s="35">
        <f t="shared" si="5"/>
        <v>350</v>
      </c>
      <c r="T33" s="54">
        <f t="shared" si="6"/>
        <v>424</v>
      </c>
      <c r="U33" s="35">
        <f t="shared" si="7"/>
        <v>0</v>
      </c>
      <c r="V33" s="35">
        <v>276</v>
      </c>
      <c r="W33" s="43">
        <f t="shared" si="8"/>
        <v>0</v>
      </c>
      <c r="Y33" s="49">
        <v>27.33</v>
      </c>
      <c r="Z33" s="50">
        <f t="shared" si="9"/>
        <v>0</v>
      </c>
      <c r="AB33" s="51">
        <v>40.799999999999997</v>
      </c>
      <c r="AC33" s="51">
        <f t="shared" si="10"/>
        <v>0</v>
      </c>
      <c r="AD33" s="52" t="e">
        <f t="shared" si="11"/>
        <v>#DIV/0!</v>
      </c>
      <c r="AE33" s="50">
        <f t="shared" si="12"/>
        <v>0</v>
      </c>
    </row>
    <row r="34" spans="1:31" x14ac:dyDescent="0.25">
      <c r="A34" s="38" t="s">
        <v>152</v>
      </c>
      <c r="B34" s="39" t="s">
        <v>86</v>
      </c>
      <c r="C34" s="35">
        <v>25</v>
      </c>
      <c r="D34" s="35">
        <v>10</v>
      </c>
      <c r="E34" s="35">
        <v>220</v>
      </c>
      <c r="F34" s="40" t="s">
        <v>153</v>
      </c>
      <c r="G34" s="41">
        <v>9319696600250</v>
      </c>
      <c r="H34" s="42">
        <v>3917.4</v>
      </c>
      <c r="I34" s="43"/>
      <c r="J34" s="43">
        <f t="shared" si="0"/>
        <v>0</v>
      </c>
      <c r="K34" s="44">
        <f t="shared" si="1"/>
        <v>0</v>
      </c>
      <c r="L34" s="45"/>
      <c r="M34" s="46">
        <v>14</v>
      </c>
      <c r="N34" s="56">
        <v>15.13</v>
      </c>
      <c r="O34" s="47">
        <f t="shared" si="2"/>
        <v>0</v>
      </c>
      <c r="P34" s="47">
        <f t="shared" si="3"/>
        <v>0</v>
      </c>
      <c r="R34" s="48">
        <f t="shared" si="4"/>
        <v>22</v>
      </c>
      <c r="S34" s="48">
        <f t="shared" si="5"/>
        <v>220</v>
      </c>
      <c r="T34" s="35">
        <f t="shared" si="6"/>
        <v>266</v>
      </c>
      <c r="U34" s="35">
        <f t="shared" si="7"/>
        <v>0</v>
      </c>
      <c r="V34" s="35">
        <v>276</v>
      </c>
      <c r="W34" s="43">
        <f t="shared" si="8"/>
        <v>0</v>
      </c>
      <c r="Y34" s="50">
        <v>34.14</v>
      </c>
      <c r="Z34" s="50">
        <f t="shared" si="9"/>
        <v>0</v>
      </c>
      <c r="AB34" s="51">
        <v>50.4</v>
      </c>
      <c r="AC34" s="51">
        <f t="shared" si="10"/>
        <v>0</v>
      </c>
      <c r="AD34" s="52" t="e">
        <f t="shared" si="11"/>
        <v>#DIV/0!</v>
      </c>
      <c r="AE34" s="50">
        <f t="shared" si="12"/>
        <v>0</v>
      </c>
    </row>
    <row r="35" spans="1:31" x14ac:dyDescent="0.25">
      <c r="A35" s="38" t="s">
        <v>154</v>
      </c>
      <c r="B35" s="39" t="s">
        <v>86</v>
      </c>
      <c r="C35" s="35">
        <v>32</v>
      </c>
      <c r="D35" s="35">
        <v>10</v>
      </c>
      <c r="E35" s="35">
        <v>100</v>
      </c>
      <c r="F35" s="40" t="s">
        <v>155</v>
      </c>
      <c r="G35" s="41">
        <v>9319696600328</v>
      </c>
      <c r="H35" s="42">
        <v>3917.4</v>
      </c>
      <c r="I35" s="43"/>
      <c r="J35" s="43">
        <f t="shared" si="0"/>
        <v>0</v>
      </c>
      <c r="K35" s="44">
        <f t="shared" si="1"/>
        <v>0</v>
      </c>
      <c r="L35" s="45"/>
      <c r="M35" s="46">
        <v>9.8000000000000007</v>
      </c>
      <c r="N35" s="46">
        <v>10.7</v>
      </c>
      <c r="O35" s="47">
        <f t="shared" si="2"/>
        <v>0</v>
      </c>
      <c r="P35" s="47">
        <f t="shared" si="3"/>
        <v>0</v>
      </c>
      <c r="R35" s="35">
        <f t="shared" si="4"/>
        <v>10</v>
      </c>
      <c r="S35" s="35">
        <f t="shared" si="5"/>
        <v>100</v>
      </c>
      <c r="T35" s="35">
        <f t="shared" si="6"/>
        <v>121</v>
      </c>
      <c r="U35" s="35">
        <f t="shared" si="7"/>
        <v>0</v>
      </c>
      <c r="V35" s="35">
        <v>144</v>
      </c>
      <c r="W35" s="43">
        <f t="shared" si="8"/>
        <v>0</v>
      </c>
      <c r="Y35" s="50">
        <v>49.94</v>
      </c>
      <c r="Z35" s="50">
        <f t="shared" si="9"/>
        <v>0</v>
      </c>
      <c r="AB35" s="51">
        <v>91.2</v>
      </c>
      <c r="AC35" s="51">
        <f t="shared" si="10"/>
        <v>0</v>
      </c>
      <c r="AD35" s="52" t="e">
        <f t="shared" si="11"/>
        <v>#DIV/0!</v>
      </c>
      <c r="AE35" s="50">
        <f t="shared" si="12"/>
        <v>0</v>
      </c>
    </row>
    <row r="36" spans="1:31" x14ac:dyDescent="0.25">
      <c r="A36" s="38" t="s">
        <v>156</v>
      </c>
      <c r="B36" s="39" t="s">
        <v>86</v>
      </c>
      <c r="C36" s="35">
        <v>40</v>
      </c>
      <c r="D36" s="35">
        <v>10</v>
      </c>
      <c r="E36" s="35">
        <v>80</v>
      </c>
      <c r="F36" s="40" t="s">
        <v>157</v>
      </c>
      <c r="G36" s="41">
        <v>9319696600403</v>
      </c>
      <c r="H36" s="42">
        <v>3917.4</v>
      </c>
      <c r="I36" s="43"/>
      <c r="J36" s="43">
        <f t="shared" si="0"/>
        <v>0</v>
      </c>
      <c r="K36" s="44">
        <f t="shared" si="1"/>
        <v>0</v>
      </c>
      <c r="L36" s="45"/>
      <c r="M36" s="46">
        <v>9.8000000000000007</v>
      </c>
      <c r="N36" s="46">
        <v>10.7</v>
      </c>
      <c r="O36" s="47">
        <f t="shared" si="2"/>
        <v>0</v>
      </c>
      <c r="P36" s="47">
        <f t="shared" si="3"/>
        <v>0</v>
      </c>
      <c r="R36" s="35">
        <f t="shared" si="4"/>
        <v>8</v>
      </c>
      <c r="S36" s="35">
        <f t="shared" si="5"/>
        <v>80</v>
      </c>
      <c r="T36" s="35">
        <f t="shared" si="6"/>
        <v>97</v>
      </c>
      <c r="U36" s="35">
        <f t="shared" si="7"/>
        <v>0</v>
      </c>
      <c r="V36" s="35">
        <v>144</v>
      </c>
      <c r="W36" s="43">
        <f t="shared" si="8"/>
        <v>0</v>
      </c>
      <c r="Y36" s="50">
        <v>65.260000000000005</v>
      </c>
      <c r="Z36" s="50">
        <f t="shared" si="9"/>
        <v>0</v>
      </c>
      <c r="AB36" s="51">
        <v>114</v>
      </c>
      <c r="AC36" s="51">
        <f t="shared" si="10"/>
        <v>0</v>
      </c>
      <c r="AD36" s="52" t="e">
        <f t="shared" si="11"/>
        <v>#DIV/0!</v>
      </c>
      <c r="AE36" s="50">
        <f t="shared" si="12"/>
        <v>0</v>
      </c>
    </row>
    <row r="37" spans="1:31" x14ac:dyDescent="0.25">
      <c r="A37" s="38" t="s">
        <v>158</v>
      </c>
      <c r="B37" s="39" t="s">
        <v>86</v>
      </c>
      <c r="C37" s="35">
        <v>50</v>
      </c>
      <c r="D37" s="35">
        <v>10</v>
      </c>
      <c r="E37" s="35">
        <v>50</v>
      </c>
      <c r="F37" s="40" t="s">
        <v>159</v>
      </c>
      <c r="G37" s="41">
        <v>9319696600502</v>
      </c>
      <c r="H37" s="42">
        <v>3917.4</v>
      </c>
      <c r="I37" s="43"/>
      <c r="J37" s="43">
        <f t="shared" si="0"/>
        <v>0</v>
      </c>
      <c r="K37" s="44">
        <f t="shared" si="1"/>
        <v>0</v>
      </c>
      <c r="L37" s="45"/>
      <c r="M37" s="46">
        <v>9.9</v>
      </c>
      <c r="N37" s="46">
        <v>10.9</v>
      </c>
      <c r="O37" s="47">
        <f t="shared" si="2"/>
        <v>0</v>
      </c>
      <c r="P37" s="47">
        <f t="shared" si="3"/>
        <v>0</v>
      </c>
      <c r="R37" s="35">
        <f t="shared" si="4"/>
        <v>5</v>
      </c>
      <c r="S37" s="35">
        <f t="shared" si="5"/>
        <v>50</v>
      </c>
      <c r="T37" s="35">
        <f t="shared" si="6"/>
        <v>61</v>
      </c>
      <c r="U37" s="35">
        <f t="shared" si="7"/>
        <v>0</v>
      </c>
      <c r="V37" s="35">
        <v>144</v>
      </c>
      <c r="W37" s="43">
        <f t="shared" si="8"/>
        <v>0</v>
      </c>
      <c r="Y37" s="50">
        <v>89.21</v>
      </c>
      <c r="Z37" s="50">
        <f t="shared" si="9"/>
        <v>0</v>
      </c>
      <c r="AB37" s="51">
        <v>154.83000000000001</v>
      </c>
      <c r="AC37" s="51">
        <f t="shared" si="10"/>
        <v>0</v>
      </c>
      <c r="AD37" s="52" t="e">
        <f t="shared" si="11"/>
        <v>#DIV/0!</v>
      </c>
      <c r="AE37" s="50">
        <f t="shared" si="12"/>
        <v>0</v>
      </c>
    </row>
    <row r="38" spans="1:31" ht="25" x14ac:dyDescent="0.35">
      <c r="A38" s="38" t="s">
        <v>160</v>
      </c>
      <c r="B38" s="58" t="s">
        <v>161</v>
      </c>
      <c r="C38" s="35">
        <v>50</v>
      </c>
      <c r="D38" s="35">
        <v>5</v>
      </c>
      <c r="E38" s="35">
        <v>45</v>
      </c>
      <c r="F38" s="40" t="s">
        <v>162</v>
      </c>
      <c r="G38" s="59" t="s">
        <v>163</v>
      </c>
      <c r="H38" s="60">
        <v>3917.4</v>
      </c>
      <c r="I38" s="43"/>
      <c r="J38" s="43">
        <f t="shared" si="0"/>
        <v>0</v>
      </c>
      <c r="K38" s="44">
        <f t="shared" si="1"/>
        <v>0</v>
      </c>
      <c r="L38" s="45"/>
      <c r="M38" s="61">
        <v>9.8000000000000007</v>
      </c>
      <c r="N38" s="61">
        <v>10.8</v>
      </c>
      <c r="O38" s="62">
        <f t="shared" si="2"/>
        <v>0</v>
      </c>
      <c r="P38" s="62">
        <f t="shared" si="3"/>
        <v>0</v>
      </c>
      <c r="R38" s="48">
        <f t="shared" si="4"/>
        <v>9</v>
      </c>
      <c r="S38" s="48">
        <f t="shared" si="5"/>
        <v>45</v>
      </c>
      <c r="T38" s="35">
        <f t="shared" si="6"/>
        <v>59</v>
      </c>
      <c r="U38" s="35">
        <f t="shared" si="7"/>
        <v>0</v>
      </c>
      <c r="V38" s="48">
        <v>144</v>
      </c>
      <c r="W38" s="43">
        <f t="shared" si="8"/>
        <v>0</v>
      </c>
      <c r="Y38" s="50"/>
      <c r="Z38" s="50">
        <f t="shared" si="9"/>
        <v>0</v>
      </c>
      <c r="AB38" s="51"/>
      <c r="AC38" s="51">
        <f t="shared" si="10"/>
        <v>0</v>
      </c>
      <c r="AD38" s="52" t="e">
        <f t="shared" si="11"/>
        <v>#DIV/0!</v>
      </c>
      <c r="AE38" s="50">
        <f t="shared" si="12"/>
        <v>0</v>
      </c>
    </row>
    <row r="39" spans="1:31" ht="13" x14ac:dyDescent="0.3">
      <c r="A39" s="63"/>
      <c r="B39" s="63"/>
      <c r="C39" s="64"/>
      <c r="D39" s="64"/>
      <c r="E39" s="64"/>
      <c r="F39" s="65"/>
      <c r="G39" s="20" t="s">
        <v>78</v>
      </c>
      <c r="H39" s="20"/>
      <c r="I39" s="20">
        <f>SUBTOTAL(9,I3:I38)</f>
        <v>0</v>
      </c>
      <c r="J39" s="20">
        <f>SUBTOTAL(9,J3:J38)</f>
        <v>0</v>
      </c>
      <c r="K39" s="66">
        <f>SUBTOTAL(9,K3:K38)</f>
        <v>0</v>
      </c>
      <c r="L39" s="67"/>
      <c r="O39" s="68">
        <f>SUBTOTAL(9,O3:O38)</f>
        <v>0</v>
      </c>
      <c r="P39" s="68">
        <f>SUBTOTAL(9,P3:P38)</f>
        <v>0</v>
      </c>
      <c r="R39" s="35"/>
      <c r="S39" s="35"/>
      <c r="T39" s="35"/>
      <c r="U39" s="21">
        <f>SUBTOTAL(9,U3:U38)</f>
        <v>0</v>
      </c>
      <c r="V39" s="69"/>
      <c r="W39" s="20">
        <f>SUBTOTAL(9,W3:W38)</f>
        <v>0</v>
      </c>
      <c r="Y39" s="50"/>
      <c r="Z39" s="37">
        <f>SUBTOTAL(9,Z3:Z38)</f>
        <v>0</v>
      </c>
      <c r="AB39" s="43"/>
      <c r="AC39" s="70">
        <f>SUBTOTAL(9,AC3:AC38)</f>
        <v>0</v>
      </c>
      <c r="AD39" s="71"/>
      <c r="AE39" s="37">
        <f>SUBTOTAL(9,AE3:AE38)</f>
        <v>0</v>
      </c>
    </row>
  </sheetData>
  <mergeCells count="10">
    <mergeCell ref="AB1:AC1"/>
    <mergeCell ref="AD1:AE1"/>
    <mergeCell ref="D1:E1"/>
    <mergeCell ref="I1:J1"/>
    <mergeCell ref="M1:M2"/>
    <mergeCell ref="N1:N2"/>
    <mergeCell ref="O1:O2"/>
    <mergeCell ref="P1:P2"/>
    <mergeCell ref="R1:T1"/>
    <mergeCell ref="Y1:Z1"/>
  </mergeCells>
  <pageMargins left="0.39370078740157483" right="0.39370078740157483" top="0.39370078740157483" bottom="0.39370078740157483" header="0" footer="0"/>
  <pageSetup paperSize="9" scale="45" orientation="landscape" horizontalDpi="4294967295" verticalDpi="18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0DA2C-8EF8-47E9-B0EF-7B6FC5A8FA8B}">
  <sheetPr>
    <pageSetUpPr fitToPage="1"/>
  </sheetPr>
  <dimension ref="A1:AD165"/>
  <sheetViews>
    <sheetView workbookViewId="0"/>
  </sheetViews>
  <sheetFormatPr defaultColWidth="9.1796875" defaultRowHeight="12.5" x14ac:dyDescent="0.25"/>
  <cols>
    <col min="1" max="1" width="13.453125" style="18" bestFit="1" customWidth="1"/>
    <col min="2" max="2" width="12.54296875" style="18" customWidth="1"/>
    <col min="3" max="3" width="14.54296875" style="192" customWidth="1"/>
    <col min="4" max="4" width="13.453125" style="18" customWidth="1"/>
    <col min="5" max="5" width="7.7265625" style="18" bestFit="1" customWidth="1"/>
    <col min="6" max="6" width="8.54296875" style="18" bestFit="1" customWidth="1"/>
    <col min="7" max="7" width="6" style="18" bestFit="1" customWidth="1"/>
    <col min="8" max="8" width="6.1796875" style="18" bestFit="1" customWidth="1"/>
    <col min="9" max="9" width="25.1796875" style="18" customWidth="1"/>
    <col min="10" max="11" width="14.26953125" style="18" customWidth="1"/>
    <col min="12" max="23" width="9.1796875" style="18" customWidth="1"/>
    <col min="24" max="24" width="10" style="18" bestFit="1" customWidth="1"/>
    <col min="25" max="25" width="10.7265625" style="18" bestFit="1" customWidth="1"/>
    <col min="26" max="27" width="9.1796875" style="18" customWidth="1"/>
    <col min="28" max="28" width="10.1796875" style="18" bestFit="1" customWidth="1"/>
    <col min="29" max="29" width="9.1796875" style="18" customWidth="1"/>
    <col min="30" max="30" width="12.26953125" style="18" bestFit="1" customWidth="1"/>
    <col min="31" max="16384" width="9.1796875" style="18"/>
  </cols>
  <sheetData>
    <row r="1" spans="1:30" ht="12.75" customHeight="1" x14ac:dyDescent="0.35">
      <c r="A1" s="138" t="s">
        <v>410</v>
      </c>
      <c r="B1" s="20" t="s">
        <v>55</v>
      </c>
      <c r="C1" s="139" t="s">
        <v>411</v>
      </c>
      <c r="D1" s="29" t="s">
        <v>56</v>
      </c>
      <c r="E1" s="21" t="s">
        <v>57</v>
      </c>
      <c r="F1" s="21" t="s">
        <v>261</v>
      </c>
      <c r="G1" s="22" t="s">
        <v>58</v>
      </c>
      <c r="H1" s="23"/>
      <c r="I1" s="140" t="s">
        <v>59</v>
      </c>
      <c r="J1" s="140" t="s">
        <v>60</v>
      </c>
      <c r="K1" s="140" t="s">
        <v>412</v>
      </c>
      <c r="L1" s="22" t="s">
        <v>62</v>
      </c>
      <c r="M1" s="23"/>
      <c r="O1" s="29" t="s">
        <v>63</v>
      </c>
      <c r="P1" s="29"/>
      <c r="Q1" s="141"/>
      <c r="R1" s="29" t="s">
        <v>68</v>
      </c>
      <c r="S1" s="29"/>
      <c r="T1" s="29"/>
      <c r="U1" s="24" t="s">
        <v>413</v>
      </c>
      <c r="V1" s="21" t="s">
        <v>70</v>
      </c>
      <c r="W1" s="141"/>
      <c r="X1" s="29" t="s">
        <v>71</v>
      </c>
      <c r="Y1" s="29"/>
      <c r="AA1" s="29" t="s">
        <v>414</v>
      </c>
      <c r="AB1" s="29"/>
      <c r="AC1" s="29" t="s">
        <v>73</v>
      </c>
      <c r="AD1" s="29"/>
    </row>
    <row r="2" spans="1:30" ht="13" x14ac:dyDescent="0.35">
      <c r="A2" s="33" t="s">
        <v>415</v>
      </c>
      <c r="B2" s="33" t="s">
        <v>415</v>
      </c>
      <c r="C2" s="33" t="s">
        <v>415</v>
      </c>
      <c r="D2" s="29"/>
      <c r="E2" s="21" t="s">
        <v>416</v>
      </c>
      <c r="F2" s="21" t="s">
        <v>74</v>
      </c>
      <c r="G2" s="21" t="s">
        <v>75</v>
      </c>
      <c r="H2" s="21" t="s">
        <v>76</v>
      </c>
      <c r="I2" s="142"/>
      <c r="J2" s="142"/>
      <c r="K2" s="142"/>
      <c r="L2" s="21" t="s">
        <v>77</v>
      </c>
      <c r="M2" s="21" t="s">
        <v>76</v>
      </c>
      <c r="O2" s="21" t="s">
        <v>417</v>
      </c>
      <c r="P2" s="21" t="s">
        <v>78</v>
      </c>
      <c r="Q2" s="143"/>
      <c r="R2" s="21" t="s">
        <v>79</v>
      </c>
      <c r="S2" s="21" t="s">
        <v>80</v>
      </c>
      <c r="T2" s="21" t="s">
        <v>81</v>
      </c>
      <c r="U2" s="21" t="s">
        <v>82</v>
      </c>
      <c r="V2" s="21" t="s">
        <v>83</v>
      </c>
      <c r="W2" s="143"/>
      <c r="X2" s="21" t="s">
        <v>75</v>
      </c>
      <c r="Y2" s="21" t="s">
        <v>78</v>
      </c>
      <c r="AA2" s="21" t="s">
        <v>180</v>
      </c>
      <c r="AB2" s="21" t="s">
        <v>178</v>
      </c>
      <c r="AC2" s="36" t="s">
        <v>84</v>
      </c>
      <c r="AD2" s="37"/>
    </row>
    <row r="3" spans="1:30" ht="26" x14ac:dyDescent="0.35">
      <c r="A3" s="144" t="s">
        <v>370</v>
      </c>
      <c r="B3" s="144" t="s">
        <v>370</v>
      </c>
      <c r="C3" s="144" t="s">
        <v>418</v>
      </c>
      <c r="D3" s="145" t="s">
        <v>161</v>
      </c>
      <c r="E3" s="48">
        <v>15</v>
      </c>
      <c r="F3" s="35">
        <v>225</v>
      </c>
      <c r="G3" s="35">
        <v>10</v>
      </c>
      <c r="H3" s="35">
        <v>400</v>
      </c>
      <c r="I3" s="146" t="s">
        <v>419</v>
      </c>
      <c r="J3" s="118" t="s">
        <v>372</v>
      </c>
      <c r="K3" s="147">
        <v>3917.22</v>
      </c>
      <c r="L3" s="43"/>
      <c r="M3" s="43">
        <f t="shared" ref="M3:M15" si="0">$L3/$H3</f>
        <v>0</v>
      </c>
      <c r="O3" s="44">
        <v>0.05</v>
      </c>
      <c r="P3" s="44">
        <f t="shared" ref="P3:P15" si="1">$M3*$O3</f>
        <v>0</v>
      </c>
      <c r="Q3" s="45"/>
      <c r="R3" s="35">
        <f t="shared" ref="R3:S15" si="2">G3</f>
        <v>10</v>
      </c>
      <c r="S3" s="35">
        <f t="shared" si="2"/>
        <v>400</v>
      </c>
      <c r="T3" s="35">
        <f t="shared" ref="T3:T15" si="3">S3+R3</f>
        <v>410</v>
      </c>
      <c r="U3" s="43">
        <f t="shared" ref="U3:U15" si="4">$M3*$T3*1.05</f>
        <v>0</v>
      </c>
      <c r="V3" s="43">
        <f t="shared" ref="V3:V15" si="5">ROUNDUP($U3/125,)</f>
        <v>0</v>
      </c>
      <c r="W3" s="45"/>
      <c r="X3" s="50">
        <v>9.5</v>
      </c>
      <c r="Y3" s="50">
        <f t="shared" ref="Y3:Y15" si="6">X3*$L3</f>
        <v>0</v>
      </c>
      <c r="AA3" s="51">
        <v>7.0000000000000007E-2</v>
      </c>
      <c r="AB3" s="51">
        <f t="shared" ref="AB3:AB15" si="7">$L3*AA3</f>
        <v>0</v>
      </c>
      <c r="AC3" s="52" t="e">
        <f t="shared" ref="AC3:AC15" si="8">AD3/L3</f>
        <v>#DIV/0!</v>
      </c>
      <c r="AD3" s="50">
        <f t="shared" ref="AD3:AD15" si="9">AB3*$AD$2</f>
        <v>0</v>
      </c>
    </row>
    <row r="4" spans="1:30" ht="26" x14ac:dyDescent="0.35">
      <c r="A4" s="144" t="s">
        <v>420</v>
      </c>
      <c r="B4" s="144" t="s">
        <v>420</v>
      </c>
      <c r="C4" s="144" t="s">
        <v>421</v>
      </c>
      <c r="D4" s="145" t="s">
        <v>161</v>
      </c>
      <c r="E4" s="48">
        <v>15</v>
      </c>
      <c r="F4" s="35">
        <v>375</v>
      </c>
      <c r="G4" s="35">
        <v>10</v>
      </c>
      <c r="H4" s="35">
        <v>200</v>
      </c>
      <c r="I4" s="146" t="s">
        <v>422</v>
      </c>
      <c r="J4" s="118" t="s">
        <v>423</v>
      </c>
      <c r="K4" s="147">
        <v>3917.22</v>
      </c>
      <c r="L4" s="43"/>
      <c r="M4" s="43">
        <f t="shared" si="0"/>
        <v>0</v>
      </c>
      <c r="O4" s="44">
        <v>0.05</v>
      </c>
      <c r="P4" s="44">
        <f t="shared" si="1"/>
        <v>0</v>
      </c>
      <c r="Q4" s="45"/>
      <c r="R4" s="35">
        <f t="shared" si="2"/>
        <v>10</v>
      </c>
      <c r="S4" s="35">
        <f t="shared" si="2"/>
        <v>200</v>
      </c>
      <c r="T4" s="35">
        <f t="shared" si="3"/>
        <v>210</v>
      </c>
      <c r="U4" s="43">
        <f t="shared" si="4"/>
        <v>0</v>
      </c>
      <c r="V4" s="43">
        <f t="shared" si="5"/>
        <v>0</v>
      </c>
      <c r="W4" s="45"/>
      <c r="X4" s="50">
        <v>14.4</v>
      </c>
      <c r="Y4" s="50">
        <f t="shared" si="6"/>
        <v>0</v>
      </c>
      <c r="AA4" s="51">
        <v>0.22</v>
      </c>
      <c r="AB4" s="51">
        <f t="shared" si="7"/>
        <v>0</v>
      </c>
      <c r="AC4" s="52" t="e">
        <f t="shared" si="8"/>
        <v>#DIV/0!</v>
      </c>
      <c r="AD4" s="50">
        <f t="shared" si="9"/>
        <v>0</v>
      </c>
    </row>
    <row r="5" spans="1:30" ht="26" x14ac:dyDescent="0.35">
      <c r="A5" s="144" t="s">
        <v>424</v>
      </c>
      <c r="B5" s="144" t="s">
        <v>424</v>
      </c>
      <c r="C5" s="144" t="s">
        <v>425</v>
      </c>
      <c r="D5" s="145" t="s">
        <v>161</v>
      </c>
      <c r="E5" s="48">
        <v>15</v>
      </c>
      <c r="F5" s="35">
        <v>457</v>
      </c>
      <c r="G5" s="35">
        <v>10</v>
      </c>
      <c r="H5" s="35">
        <v>200</v>
      </c>
      <c r="I5" s="146" t="s">
        <v>426</v>
      </c>
      <c r="J5" s="118" t="s">
        <v>427</v>
      </c>
      <c r="K5" s="147">
        <v>3917.22</v>
      </c>
      <c r="L5" s="43"/>
      <c r="M5" s="43">
        <f t="shared" si="0"/>
        <v>0</v>
      </c>
      <c r="O5" s="44">
        <v>0.05</v>
      </c>
      <c r="P5" s="44">
        <f t="shared" si="1"/>
        <v>0</v>
      </c>
      <c r="Q5" s="45"/>
      <c r="R5" s="35">
        <f t="shared" si="2"/>
        <v>10</v>
      </c>
      <c r="S5" s="35">
        <f t="shared" si="2"/>
        <v>200</v>
      </c>
      <c r="T5" s="35">
        <f t="shared" si="3"/>
        <v>210</v>
      </c>
      <c r="U5" s="43">
        <f t="shared" si="4"/>
        <v>0</v>
      </c>
      <c r="V5" s="43">
        <f t="shared" si="5"/>
        <v>0</v>
      </c>
      <c r="W5" s="45"/>
      <c r="X5" s="50">
        <v>16.739999999999998</v>
      </c>
      <c r="Y5" s="50">
        <f t="shared" si="6"/>
        <v>0</v>
      </c>
      <c r="AA5" s="51">
        <v>0.24</v>
      </c>
      <c r="AB5" s="51">
        <f t="shared" si="7"/>
        <v>0</v>
      </c>
      <c r="AC5" s="52" t="e">
        <f t="shared" si="8"/>
        <v>#DIV/0!</v>
      </c>
      <c r="AD5" s="50">
        <f t="shared" si="9"/>
        <v>0</v>
      </c>
    </row>
    <row r="6" spans="1:30" ht="26" x14ac:dyDescent="0.35">
      <c r="A6" s="82">
        <v>90441400</v>
      </c>
      <c r="B6" s="82" t="s">
        <v>428</v>
      </c>
      <c r="C6" s="82" t="s">
        <v>425</v>
      </c>
      <c r="D6" s="21" t="s">
        <v>161</v>
      </c>
      <c r="E6" s="48" t="s">
        <v>293</v>
      </c>
      <c r="F6" s="35">
        <v>450</v>
      </c>
      <c r="G6" s="35">
        <v>10</v>
      </c>
      <c r="H6" s="35">
        <v>200</v>
      </c>
      <c r="I6" s="146" t="s">
        <v>429</v>
      </c>
      <c r="J6" s="118" t="s">
        <v>430</v>
      </c>
      <c r="K6" s="147">
        <v>3917.22</v>
      </c>
      <c r="L6" s="43"/>
      <c r="M6" s="43">
        <f t="shared" si="0"/>
        <v>0</v>
      </c>
      <c r="O6" s="44">
        <v>0.05</v>
      </c>
      <c r="P6" s="44">
        <f t="shared" si="1"/>
        <v>0</v>
      </c>
      <c r="Q6" s="45"/>
      <c r="R6" s="35">
        <f t="shared" si="2"/>
        <v>10</v>
      </c>
      <c r="S6" s="35">
        <f t="shared" si="2"/>
        <v>200</v>
      </c>
      <c r="T6" s="35">
        <f t="shared" si="3"/>
        <v>210</v>
      </c>
      <c r="U6" s="43">
        <f t="shared" si="4"/>
        <v>0</v>
      </c>
      <c r="V6" s="43">
        <f t="shared" si="5"/>
        <v>0</v>
      </c>
      <c r="W6" s="45"/>
      <c r="X6" s="50">
        <v>16.739999999999998</v>
      </c>
      <c r="Y6" s="50">
        <f t="shared" si="6"/>
        <v>0</v>
      </c>
      <c r="AA6" s="51">
        <v>0.24</v>
      </c>
      <c r="AB6" s="51">
        <f t="shared" si="7"/>
        <v>0</v>
      </c>
      <c r="AC6" s="52" t="e">
        <f t="shared" si="8"/>
        <v>#DIV/0!</v>
      </c>
      <c r="AD6" s="50">
        <f t="shared" si="9"/>
        <v>0</v>
      </c>
    </row>
    <row r="7" spans="1:30" ht="26" x14ac:dyDescent="0.35">
      <c r="A7" s="144" t="s">
        <v>431</v>
      </c>
      <c r="B7" s="144" t="s">
        <v>431</v>
      </c>
      <c r="C7" s="144" t="s">
        <v>432</v>
      </c>
      <c r="D7" s="145" t="s">
        <v>161</v>
      </c>
      <c r="E7" s="48">
        <v>15</v>
      </c>
      <c r="F7" s="35">
        <v>610</v>
      </c>
      <c r="G7" s="35">
        <v>10</v>
      </c>
      <c r="H7" s="35">
        <v>100</v>
      </c>
      <c r="I7" s="146" t="s">
        <v>433</v>
      </c>
      <c r="J7" s="118" t="s">
        <v>434</v>
      </c>
      <c r="K7" s="147">
        <v>3917.22</v>
      </c>
      <c r="L7" s="43"/>
      <c r="M7" s="43">
        <f t="shared" si="0"/>
        <v>0</v>
      </c>
      <c r="O7" s="44">
        <v>0.04</v>
      </c>
      <c r="P7" s="44">
        <f t="shared" si="1"/>
        <v>0</v>
      </c>
      <c r="Q7" s="45"/>
      <c r="R7" s="35">
        <f t="shared" si="2"/>
        <v>10</v>
      </c>
      <c r="S7" s="35">
        <f t="shared" si="2"/>
        <v>100</v>
      </c>
      <c r="T7" s="35">
        <f t="shared" si="3"/>
        <v>110</v>
      </c>
      <c r="U7" s="43">
        <f t="shared" si="4"/>
        <v>0</v>
      </c>
      <c r="V7" s="43">
        <f t="shared" si="5"/>
        <v>0</v>
      </c>
      <c r="W7" s="45"/>
      <c r="X7" s="50">
        <v>21.06</v>
      </c>
      <c r="Y7" s="50">
        <f t="shared" si="6"/>
        <v>0</v>
      </c>
      <c r="AA7" s="51">
        <v>0.3</v>
      </c>
      <c r="AB7" s="51">
        <f t="shared" si="7"/>
        <v>0</v>
      </c>
      <c r="AC7" s="52" t="e">
        <f t="shared" si="8"/>
        <v>#DIV/0!</v>
      </c>
      <c r="AD7" s="50">
        <f t="shared" si="9"/>
        <v>0</v>
      </c>
    </row>
    <row r="8" spans="1:30" ht="26" x14ac:dyDescent="0.35">
      <c r="A8" s="82">
        <v>90441600</v>
      </c>
      <c r="B8" s="82" t="s">
        <v>435</v>
      </c>
      <c r="C8" s="82" t="s">
        <v>432</v>
      </c>
      <c r="D8" s="21" t="s">
        <v>161</v>
      </c>
      <c r="E8" s="48" t="s">
        <v>293</v>
      </c>
      <c r="F8" s="35">
        <v>600</v>
      </c>
      <c r="G8" s="35">
        <v>10</v>
      </c>
      <c r="H8" s="35">
        <v>100</v>
      </c>
      <c r="I8" s="146" t="s">
        <v>436</v>
      </c>
      <c r="J8" s="118" t="s">
        <v>437</v>
      </c>
      <c r="K8" s="147">
        <v>3917.22</v>
      </c>
      <c r="L8" s="43"/>
      <c r="M8" s="43">
        <f t="shared" si="0"/>
        <v>0</v>
      </c>
      <c r="O8" s="44">
        <v>0.04</v>
      </c>
      <c r="P8" s="44">
        <f t="shared" si="1"/>
        <v>0</v>
      </c>
      <c r="Q8" s="45"/>
      <c r="R8" s="48">
        <f t="shared" si="2"/>
        <v>10</v>
      </c>
      <c r="S8" s="48">
        <f t="shared" si="2"/>
        <v>100</v>
      </c>
      <c r="T8" s="35">
        <f t="shared" si="3"/>
        <v>110</v>
      </c>
      <c r="U8" s="43">
        <f t="shared" si="4"/>
        <v>0</v>
      </c>
      <c r="V8" s="43">
        <f t="shared" si="5"/>
        <v>0</v>
      </c>
      <c r="W8" s="45"/>
      <c r="X8" s="50">
        <v>21.06</v>
      </c>
      <c r="Y8" s="50">
        <f t="shared" si="6"/>
        <v>0</v>
      </c>
      <c r="AA8" s="51">
        <v>0.31</v>
      </c>
      <c r="AB8" s="51">
        <f t="shared" si="7"/>
        <v>0</v>
      </c>
      <c r="AC8" s="52" t="e">
        <f t="shared" si="8"/>
        <v>#DIV/0!</v>
      </c>
      <c r="AD8" s="50">
        <f t="shared" si="9"/>
        <v>0</v>
      </c>
    </row>
    <row r="9" spans="1:30" ht="26" x14ac:dyDescent="0.35">
      <c r="A9" s="144" t="s">
        <v>438</v>
      </c>
      <c r="B9" s="144" t="s">
        <v>438</v>
      </c>
      <c r="C9" s="144" t="s">
        <v>439</v>
      </c>
      <c r="D9" s="145" t="s">
        <v>86</v>
      </c>
      <c r="E9" s="48">
        <v>15</v>
      </c>
      <c r="F9" s="35">
        <v>760</v>
      </c>
      <c r="G9" s="35">
        <v>10</v>
      </c>
      <c r="H9" s="35">
        <v>100</v>
      </c>
      <c r="I9" s="146" t="s">
        <v>440</v>
      </c>
      <c r="J9" s="118" t="s">
        <v>441</v>
      </c>
      <c r="K9" s="147">
        <v>3917.22</v>
      </c>
      <c r="L9" s="43"/>
      <c r="M9" s="43">
        <f t="shared" si="0"/>
        <v>0</v>
      </c>
      <c r="O9" s="44">
        <v>0.04</v>
      </c>
      <c r="P9" s="44">
        <f t="shared" si="1"/>
        <v>0</v>
      </c>
      <c r="Q9" s="45"/>
      <c r="R9" s="35">
        <f t="shared" si="2"/>
        <v>10</v>
      </c>
      <c r="S9" s="35">
        <f t="shared" si="2"/>
        <v>100</v>
      </c>
      <c r="T9" s="35">
        <f t="shared" si="3"/>
        <v>110</v>
      </c>
      <c r="U9" s="43">
        <f t="shared" si="4"/>
        <v>0</v>
      </c>
      <c r="V9" s="43">
        <f t="shared" si="5"/>
        <v>0</v>
      </c>
      <c r="W9" s="45"/>
      <c r="X9" s="50">
        <v>25.2</v>
      </c>
      <c r="Y9" s="50">
        <f t="shared" si="6"/>
        <v>0</v>
      </c>
      <c r="AA9" s="51">
        <v>0.35</v>
      </c>
      <c r="AB9" s="51">
        <f t="shared" si="7"/>
        <v>0</v>
      </c>
      <c r="AC9" s="52" t="e">
        <f t="shared" si="8"/>
        <v>#DIV/0!</v>
      </c>
      <c r="AD9" s="50">
        <f t="shared" si="9"/>
        <v>0</v>
      </c>
    </row>
    <row r="10" spans="1:30" ht="26" x14ac:dyDescent="0.35">
      <c r="A10" s="144" t="s">
        <v>442</v>
      </c>
      <c r="B10" s="144" t="s">
        <v>442</v>
      </c>
      <c r="C10" s="144" t="s">
        <v>443</v>
      </c>
      <c r="D10" s="145" t="s">
        <v>86</v>
      </c>
      <c r="E10" s="48">
        <v>15</v>
      </c>
      <c r="F10" s="35">
        <v>915</v>
      </c>
      <c r="G10" s="35">
        <v>10</v>
      </c>
      <c r="H10" s="35">
        <v>100</v>
      </c>
      <c r="I10" s="146" t="s">
        <v>444</v>
      </c>
      <c r="J10" s="118" t="s">
        <v>445</v>
      </c>
      <c r="K10" s="147">
        <v>3917.22</v>
      </c>
      <c r="L10" s="43"/>
      <c r="M10" s="43">
        <f t="shared" si="0"/>
        <v>0</v>
      </c>
      <c r="O10" s="44">
        <v>0.05</v>
      </c>
      <c r="P10" s="44">
        <f t="shared" si="1"/>
        <v>0</v>
      </c>
      <c r="Q10" s="45"/>
      <c r="R10" s="35">
        <f t="shared" si="2"/>
        <v>10</v>
      </c>
      <c r="S10" s="35">
        <f t="shared" si="2"/>
        <v>100</v>
      </c>
      <c r="T10" s="35">
        <f t="shared" si="3"/>
        <v>110</v>
      </c>
      <c r="U10" s="43">
        <f t="shared" si="4"/>
        <v>0</v>
      </c>
      <c r="V10" s="43">
        <f t="shared" si="5"/>
        <v>0</v>
      </c>
      <c r="W10" s="45"/>
      <c r="X10" s="50">
        <v>28.44</v>
      </c>
      <c r="Y10" s="50">
        <f t="shared" si="6"/>
        <v>0</v>
      </c>
      <c r="AA10" s="51">
        <v>0.41</v>
      </c>
      <c r="AB10" s="51">
        <f t="shared" si="7"/>
        <v>0</v>
      </c>
      <c r="AC10" s="52" t="e">
        <f t="shared" si="8"/>
        <v>#DIV/0!</v>
      </c>
      <c r="AD10" s="50">
        <f t="shared" si="9"/>
        <v>0</v>
      </c>
    </row>
    <row r="11" spans="1:30" ht="26" x14ac:dyDescent="0.35">
      <c r="A11" s="146">
        <v>90441800</v>
      </c>
      <c r="B11" s="146" t="s">
        <v>446</v>
      </c>
      <c r="C11" s="146" t="s">
        <v>443</v>
      </c>
      <c r="D11" s="148" t="s">
        <v>86</v>
      </c>
      <c r="E11" s="48" t="s">
        <v>293</v>
      </c>
      <c r="F11" s="35">
        <v>900</v>
      </c>
      <c r="G11" s="35">
        <v>10</v>
      </c>
      <c r="H11" s="35">
        <v>100</v>
      </c>
      <c r="I11" s="146" t="s">
        <v>447</v>
      </c>
      <c r="J11" s="149" t="s">
        <v>448</v>
      </c>
      <c r="K11" s="147">
        <v>3917.22</v>
      </c>
      <c r="L11" s="43"/>
      <c r="M11" s="43">
        <f t="shared" si="0"/>
        <v>0</v>
      </c>
      <c r="O11" s="44">
        <v>0.05</v>
      </c>
      <c r="P11" s="44">
        <f t="shared" si="1"/>
        <v>0</v>
      </c>
      <c r="Q11" s="45"/>
      <c r="R11" s="48">
        <f t="shared" si="2"/>
        <v>10</v>
      </c>
      <c r="S11" s="48">
        <f t="shared" si="2"/>
        <v>100</v>
      </c>
      <c r="T11" s="35">
        <f t="shared" si="3"/>
        <v>110</v>
      </c>
      <c r="U11" s="43">
        <f t="shared" si="4"/>
        <v>0</v>
      </c>
      <c r="V11" s="43">
        <f t="shared" si="5"/>
        <v>0</v>
      </c>
      <c r="W11" s="45"/>
      <c r="X11" s="50">
        <v>28.44</v>
      </c>
      <c r="Y11" s="50">
        <f t="shared" si="6"/>
        <v>0</v>
      </c>
      <c r="AA11" s="51">
        <v>0.44</v>
      </c>
      <c r="AB11" s="51">
        <f t="shared" si="7"/>
        <v>0</v>
      </c>
      <c r="AC11" s="52" t="e">
        <f t="shared" si="8"/>
        <v>#DIV/0!</v>
      </c>
      <c r="AD11" s="50">
        <f t="shared" si="9"/>
        <v>0</v>
      </c>
    </row>
    <row r="12" spans="1:30" ht="26" x14ac:dyDescent="0.35">
      <c r="A12" s="144" t="s">
        <v>449</v>
      </c>
      <c r="B12" s="144" t="s">
        <v>449</v>
      </c>
      <c r="C12" s="144" t="s">
        <v>450</v>
      </c>
      <c r="D12" s="145" t="s">
        <v>86</v>
      </c>
      <c r="E12" s="48">
        <v>15</v>
      </c>
      <c r="F12" s="35">
        <v>1220</v>
      </c>
      <c r="G12" s="35">
        <v>10</v>
      </c>
      <c r="H12" s="35">
        <v>50</v>
      </c>
      <c r="I12" s="146" t="s">
        <v>451</v>
      </c>
      <c r="J12" s="118" t="s">
        <v>452</v>
      </c>
      <c r="K12" s="147">
        <v>3917.22</v>
      </c>
      <c r="L12" s="43"/>
      <c r="M12" s="43">
        <f t="shared" si="0"/>
        <v>0</v>
      </c>
      <c r="O12" s="44">
        <v>0.04</v>
      </c>
      <c r="P12" s="44">
        <f t="shared" si="1"/>
        <v>0</v>
      </c>
      <c r="Q12" s="45"/>
      <c r="R12" s="35">
        <f t="shared" si="2"/>
        <v>10</v>
      </c>
      <c r="S12" s="35">
        <f t="shared" si="2"/>
        <v>50</v>
      </c>
      <c r="T12" s="35">
        <f t="shared" si="3"/>
        <v>60</v>
      </c>
      <c r="U12" s="43">
        <f t="shared" si="4"/>
        <v>0</v>
      </c>
      <c r="V12" s="43">
        <f t="shared" si="5"/>
        <v>0</v>
      </c>
      <c r="W12" s="45"/>
      <c r="X12" s="50">
        <v>38.159999999999997</v>
      </c>
      <c r="Y12" s="50">
        <f t="shared" si="6"/>
        <v>0</v>
      </c>
      <c r="AA12" s="51">
        <v>0.53</v>
      </c>
      <c r="AB12" s="51">
        <f t="shared" si="7"/>
        <v>0</v>
      </c>
      <c r="AC12" s="52" t="e">
        <f t="shared" si="8"/>
        <v>#DIV/0!</v>
      </c>
      <c r="AD12" s="50">
        <f t="shared" si="9"/>
        <v>0</v>
      </c>
    </row>
    <row r="13" spans="1:30" ht="26" x14ac:dyDescent="0.35">
      <c r="A13" s="144" t="s">
        <v>453</v>
      </c>
      <c r="B13" s="144" t="s">
        <v>453</v>
      </c>
      <c r="C13" s="144" t="s">
        <v>454</v>
      </c>
      <c r="D13" s="145" t="s">
        <v>86</v>
      </c>
      <c r="E13" s="48">
        <v>15</v>
      </c>
      <c r="F13" s="35">
        <v>1524</v>
      </c>
      <c r="G13" s="35">
        <v>10</v>
      </c>
      <c r="H13" s="35">
        <v>50</v>
      </c>
      <c r="I13" s="146" t="s">
        <v>455</v>
      </c>
      <c r="J13" s="118" t="s">
        <v>456</v>
      </c>
      <c r="K13" s="147">
        <v>3917.22</v>
      </c>
      <c r="L13" s="43"/>
      <c r="M13" s="43">
        <f t="shared" si="0"/>
        <v>0</v>
      </c>
      <c r="O13" s="44">
        <v>0.05</v>
      </c>
      <c r="P13" s="44">
        <f t="shared" si="1"/>
        <v>0</v>
      </c>
      <c r="Q13" s="45"/>
      <c r="R13" s="35">
        <f t="shared" si="2"/>
        <v>10</v>
      </c>
      <c r="S13" s="35">
        <f t="shared" si="2"/>
        <v>50</v>
      </c>
      <c r="T13" s="35">
        <f t="shared" si="3"/>
        <v>60</v>
      </c>
      <c r="U13" s="43">
        <f t="shared" si="4"/>
        <v>0</v>
      </c>
      <c r="V13" s="43">
        <f t="shared" si="5"/>
        <v>0</v>
      </c>
      <c r="W13" s="45"/>
      <c r="X13" s="50">
        <v>46.62</v>
      </c>
      <c r="Y13" s="50">
        <f t="shared" si="6"/>
        <v>0</v>
      </c>
      <c r="AA13" s="51">
        <v>0.65</v>
      </c>
      <c r="AB13" s="51">
        <f t="shared" si="7"/>
        <v>0</v>
      </c>
      <c r="AC13" s="52" t="e">
        <f t="shared" si="8"/>
        <v>#DIV/0!</v>
      </c>
      <c r="AD13" s="50">
        <f t="shared" si="9"/>
        <v>0</v>
      </c>
    </row>
    <row r="14" spans="1:30" ht="26" x14ac:dyDescent="0.35">
      <c r="A14" s="144" t="s">
        <v>457</v>
      </c>
      <c r="B14" s="144" t="s">
        <v>457</v>
      </c>
      <c r="C14" s="144" t="s">
        <v>458</v>
      </c>
      <c r="D14" s="145" t="s">
        <v>86</v>
      </c>
      <c r="E14" s="48">
        <v>15</v>
      </c>
      <c r="F14" s="35">
        <v>1800</v>
      </c>
      <c r="G14" s="35">
        <v>10</v>
      </c>
      <c r="H14" s="35">
        <v>50</v>
      </c>
      <c r="I14" s="146" t="s">
        <v>459</v>
      </c>
      <c r="J14" s="118" t="s">
        <v>460</v>
      </c>
      <c r="K14" s="147">
        <v>3917.22</v>
      </c>
      <c r="L14" s="43"/>
      <c r="M14" s="43">
        <f t="shared" si="0"/>
        <v>0</v>
      </c>
      <c r="O14" s="44">
        <v>0.06</v>
      </c>
      <c r="P14" s="44">
        <f t="shared" si="1"/>
        <v>0</v>
      </c>
      <c r="Q14" s="45"/>
      <c r="R14" s="48">
        <f t="shared" si="2"/>
        <v>10</v>
      </c>
      <c r="S14" s="48">
        <f t="shared" si="2"/>
        <v>50</v>
      </c>
      <c r="T14" s="35">
        <f t="shared" si="3"/>
        <v>60</v>
      </c>
      <c r="U14" s="43">
        <f t="shared" si="4"/>
        <v>0</v>
      </c>
      <c r="V14" s="43">
        <f t="shared" si="5"/>
        <v>0</v>
      </c>
      <c r="W14" s="45"/>
      <c r="X14" s="50">
        <v>54</v>
      </c>
      <c r="Y14" s="50">
        <f t="shared" si="6"/>
        <v>0</v>
      </c>
      <c r="AA14" s="51">
        <v>0.75</v>
      </c>
      <c r="AB14" s="51">
        <f t="shared" si="7"/>
        <v>0</v>
      </c>
      <c r="AC14" s="52" t="e">
        <f t="shared" si="8"/>
        <v>#DIV/0!</v>
      </c>
      <c r="AD14" s="50">
        <f t="shared" si="9"/>
        <v>0</v>
      </c>
    </row>
    <row r="15" spans="1:30" ht="26" x14ac:dyDescent="0.35">
      <c r="A15" s="144" t="s">
        <v>461</v>
      </c>
      <c r="B15" s="144" t="s">
        <v>461</v>
      </c>
      <c r="C15" s="144" t="s">
        <v>462</v>
      </c>
      <c r="D15" s="145" t="s">
        <v>86</v>
      </c>
      <c r="E15" s="150">
        <v>15</v>
      </c>
      <c r="F15" s="150">
        <v>2100</v>
      </c>
      <c r="G15" s="150">
        <v>10</v>
      </c>
      <c r="H15" s="150">
        <v>50</v>
      </c>
      <c r="I15" s="146" t="s">
        <v>463</v>
      </c>
      <c r="J15" s="21"/>
      <c r="K15" s="147">
        <v>3917.22</v>
      </c>
      <c r="L15" s="20"/>
      <c r="M15" s="43">
        <f t="shared" si="0"/>
        <v>0</v>
      </c>
      <c r="O15" s="20"/>
      <c r="P15" s="44">
        <f t="shared" si="1"/>
        <v>0</v>
      </c>
      <c r="Q15" s="45"/>
      <c r="R15" s="48">
        <f t="shared" si="2"/>
        <v>10</v>
      </c>
      <c r="S15" s="48">
        <f t="shared" si="2"/>
        <v>50</v>
      </c>
      <c r="T15" s="35">
        <f t="shared" si="3"/>
        <v>60</v>
      </c>
      <c r="U15" s="43">
        <f t="shared" si="4"/>
        <v>0</v>
      </c>
      <c r="V15" s="43">
        <f t="shared" si="5"/>
        <v>0</v>
      </c>
      <c r="W15" s="45"/>
      <c r="X15" s="49">
        <v>62.73</v>
      </c>
      <c r="Y15" s="50">
        <f t="shared" si="6"/>
        <v>0</v>
      </c>
      <c r="AA15" s="51">
        <v>0.86</v>
      </c>
      <c r="AB15" s="51">
        <f t="shared" si="7"/>
        <v>0</v>
      </c>
      <c r="AC15" s="52" t="e">
        <f t="shared" si="8"/>
        <v>#DIV/0!</v>
      </c>
      <c r="AD15" s="50">
        <f t="shared" si="9"/>
        <v>0</v>
      </c>
    </row>
    <row r="16" spans="1:30" ht="14" x14ac:dyDescent="0.35">
      <c r="A16" s="151" t="s">
        <v>464</v>
      </c>
      <c r="B16" s="151" t="s">
        <v>464</v>
      </c>
      <c r="C16" s="151" t="s">
        <v>464</v>
      </c>
      <c r="D16" s="152"/>
      <c r="E16" s="153"/>
      <c r="F16" s="35"/>
      <c r="G16" s="35"/>
      <c r="H16" s="35"/>
      <c r="I16" s="154"/>
      <c r="J16" s="35"/>
      <c r="K16" s="35"/>
      <c r="L16" s="43"/>
      <c r="M16" s="43"/>
      <c r="O16" s="43"/>
      <c r="P16" s="44"/>
      <c r="Q16" s="45"/>
      <c r="R16" s="35"/>
      <c r="S16" s="35"/>
      <c r="T16" s="35"/>
      <c r="U16" s="43"/>
      <c r="V16" s="43"/>
      <c r="W16" s="45"/>
      <c r="X16" s="50"/>
      <c r="Y16" s="50"/>
      <c r="AA16" s="51"/>
      <c r="AB16" s="51"/>
      <c r="AC16" s="52"/>
      <c r="AD16" s="50"/>
    </row>
    <row r="17" spans="1:30" ht="26" x14ac:dyDescent="0.35">
      <c r="A17" s="144" t="s">
        <v>465</v>
      </c>
      <c r="B17" s="155" t="s">
        <v>465</v>
      </c>
      <c r="C17" s="144" t="s">
        <v>466</v>
      </c>
      <c r="D17" s="145" t="s">
        <v>161</v>
      </c>
      <c r="E17" s="48">
        <v>20</v>
      </c>
      <c r="F17" s="35">
        <v>100</v>
      </c>
      <c r="G17" s="35">
        <v>10</v>
      </c>
      <c r="H17" s="35">
        <v>500</v>
      </c>
      <c r="I17" s="146" t="s">
        <v>467</v>
      </c>
      <c r="J17" s="149" t="s">
        <v>468</v>
      </c>
      <c r="K17" s="147">
        <v>3917.22</v>
      </c>
      <c r="L17" s="43"/>
      <c r="M17" s="43">
        <f t="shared" ref="M17:M32" si="10">$L17/$H17</f>
        <v>0</v>
      </c>
      <c r="O17" s="44">
        <v>0.06</v>
      </c>
      <c r="P17" s="44">
        <f t="shared" ref="P17:P32" si="11">$M17*$O17</f>
        <v>0</v>
      </c>
      <c r="Q17" s="45"/>
      <c r="R17" s="35">
        <f t="shared" ref="R17:S32" si="12">G17</f>
        <v>10</v>
      </c>
      <c r="S17" s="35">
        <f t="shared" si="12"/>
        <v>500</v>
      </c>
      <c r="T17" s="35">
        <f t="shared" ref="T17:T32" si="13">S17+R17</f>
        <v>510</v>
      </c>
      <c r="U17" s="43">
        <f t="shared" ref="U17:U32" si="14">$M17*$T17*1.05</f>
        <v>0</v>
      </c>
      <c r="V17" s="43">
        <f t="shared" ref="V17:V32" si="15">ROUNDUP($U17/125,)</f>
        <v>0</v>
      </c>
      <c r="W17" s="45"/>
      <c r="X17" s="50">
        <v>8.5500000000000007</v>
      </c>
      <c r="Y17" s="50">
        <f t="shared" ref="Y17:Y32" si="16">X17*$L17</f>
        <v>0</v>
      </c>
      <c r="AA17" s="51">
        <v>0.13</v>
      </c>
      <c r="AB17" s="51">
        <f t="shared" ref="AB17:AB32" si="17">$L17*AA17</f>
        <v>0</v>
      </c>
      <c r="AC17" s="52" t="e">
        <f t="shared" ref="AC17:AC32" si="18">AD17/L17</f>
        <v>#DIV/0!</v>
      </c>
      <c r="AD17" s="50">
        <f t="shared" ref="AD17:AD32" si="19">AB17*$AD$2</f>
        <v>0</v>
      </c>
    </row>
    <row r="18" spans="1:30" ht="26" x14ac:dyDescent="0.35">
      <c r="A18" s="82">
        <v>90442100</v>
      </c>
      <c r="B18" s="82" t="s">
        <v>469</v>
      </c>
      <c r="C18" s="82" t="s">
        <v>466</v>
      </c>
      <c r="D18" s="21" t="s">
        <v>161</v>
      </c>
      <c r="E18" s="48" t="s">
        <v>318</v>
      </c>
      <c r="F18" s="35">
        <v>100</v>
      </c>
      <c r="G18" s="35">
        <v>10</v>
      </c>
      <c r="H18" s="35">
        <v>500</v>
      </c>
      <c r="I18" s="146" t="s">
        <v>470</v>
      </c>
      <c r="J18" s="149" t="s">
        <v>471</v>
      </c>
      <c r="K18" s="147">
        <v>3917.22</v>
      </c>
      <c r="L18" s="43"/>
      <c r="M18" s="43">
        <f t="shared" si="10"/>
        <v>0</v>
      </c>
      <c r="O18" s="44">
        <v>0.06</v>
      </c>
      <c r="P18" s="44">
        <f t="shared" si="11"/>
        <v>0</v>
      </c>
      <c r="Q18" s="45"/>
      <c r="R18" s="35">
        <f t="shared" si="12"/>
        <v>10</v>
      </c>
      <c r="S18" s="35">
        <f t="shared" si="12"/>
        <v>500</v>
      </c>
      <c r="T18" s="35">
        <f t="shared" si="13"/>
        <v>510</v>
      </c>
      <c r="U18" s="43">
        <f t="shared" si="14"/>
        <v>0</v>
      </c>
      <c r="V18" s="43">
        <f t="shared" si="15"/>
        <v>0</v>
      </c>
      <c r="W18" s="45"/>
      <c r="X18" s="50">
        <v>8.5500000000000007</v>
      </c>
      <c r="Y18" s="50">
        <f t="shared" si="16"/>
        <v>0</v>
      </c>
      <c r="AA18" s="51">
        <v>0.13</v>
      </c>
      <c r="AB18" s="51">
        <f t="shared" si="17"/>
        <v>0</v>
      </c>
      <c r="AC18" s="52" t="e">
        <f t="shared" si="18"/>
        <v>#DIV/0!</v>
      </c>
      <c r="AD18" s="50">
        <f t="shared" si="19"/>
        <v>0</v>
      </c>
    </row>
    <row r="19" spans="1:30" ht="26" x14ac:dyDescent="0.35">
      <c r="A19" s="82">
        <v>90447000</v>
      </c>
      <c r="B19" s="82" t="s">
        <v>472</v>
      </c>
      <c r="C19" s="82" t="s">
        <v>473</v>
      </c>
      <c r="D19" s="21" t="s">
        <v>161</v>
      </c>
      <c r="E19" s="48" t="s">
        <v>318</v>
      </c>
      <c r="F19" s="35">
        <v>240</v>
      </c>
      <c r="G19" s="35">
        <v>10</v>
      </c>
      <c r="H19" s="35">
        <v>250</v>
      </c>
      <c r="I19" s="146" t="s">
        <v>474</v>
      </c>
      <c r="J19" s="149" t="s">
        <v>475</v>
      </c>
      <c r="K19" s="147">
        <v>3917.22</v>
      </c>
      <c r="L19" s="43"/>
      <c r="M19" s="43">
        <f t="shared" si="10"/>
        <v>0</v>
      </c>
      <c r="O19" s="44">
        <v>0.06</v>
      </c>
      <c r="P19" s="44">
        <f t="shared" si="11"/>
        <v>0</v>
      </c>
      <c r="Q19" s="45"/>
      <c r="R19" s="35">
        <f t="shared" si="12"/>
        <v>10</v>
      </c>
      <c r="S19" s="35">
        <f t="shared" si="12"/>
        <v>250</v>
      </c>
      <c r="T19" s="35">
        <f t="shared" si="13"/>
        <v>260</v>
      </c>
      <c r="U19" s="43">
        <f t="shared" si="14"/>
        <v>0</v>
      </c>
      <c r="V19" s="43">
        <f t="shared" si="15"/>
        <v>0</v>
      </c>
      <c r="W19" s="45"/>
      <c r="X19" s="50">
        <v>15.3</v>
      </c>
      <c r="Y19" s="50">
        <f t="shared" si="16"/>
        <v>0</v>
      </c>
      <c r="AA19" s="51">
        <v>0.22</v>
      </c>
      <c r="AB19" s="51">
        <f t="shared" si="17"/>
        <v>0</v>
      </c>
      <c r="AC19" s="52" t="e">
        <f t="shared" si="18"/>
        <v>#DIV/0!</v>
      </c>
      <c r="AD19" s="50">
        <f t="shared" si="19"/>
        <v>0</v>
      </c>
    </row>
    <row r="20" spans="1:30" ht="26" x14ac:dyDescent="0.35">
      <c r="A20" s="144" t="s">
        <v>476</v>
      </c>
      <c r="B20" s="144" t="s">
        <v>476</v>
      </c>
      <c r="C20" s="144" t="s">
        <v>477</v>
      </c>
      <c r="D20" s="145" t="s">
        <v>86</v>
      </c>
      <c r="E20" s="48">
        <v>20</v>
      </c>
      <c r="F20" s="35">
        <v>457</v>
      </c>
      <c r="G20" s="35">
        <v>10</v>
      </c>
      <c r="H20" s="35">
        <v>100</v>
      </c>
      <c r="I20" s="146" t="s">
        <v>478</v>
      </c>
      <c r="J20" s="118" t="s">
        <v>479</v>
      </c>
      <c r="K20" s="147">
        <v>3917.22</v>
      </c>
      <c r="L20" s="43"/>
      <c r="M20" s="43">
        <f t="shared" si="10"/>
        <v>0</v>
      </c>
      <c r="O20" s="44">
        <v>0.04</v>
      </c>
      <c r="P20" s="44">
        <f t="shared" si="11"/>
        <v>0</v>
      </c>
      <c r="Q20" s="45"/>
      <c r="R20" s="35">
        <f t="shared" si="12"/>
        <v>10</v>
      </c>
      <c r="S20" s="35">
        <f t="shared" si="12"/>
        <v>100</v>
      </c>
      <c r="T20" s="35">
        <f t="shared" si="13"/>
        <v>110</v>
      </c>
      <c r="U20" s="43">
        <f t="shared" si="14"/>
        <v>0</v>
      </c>
      <c r="V20" s="43">
        <f t="shared" si="15"/>
        <v>0</v>
      </c>
      <c r="W20" s="45"/>
      <c r="X20" s="50">
        <v>24.84</v>
      </c>
      <c r="Y20" s="50">
        <f t="shared" si="16"/>
        <v>0</v>
      </c>
      <c r="AA20" s="51">
        <v>0.35</v>
      </c>
      <c r="AB20" s="51">
        <f t="shared" si="17"/>
        <v>0</v>
      </c>
      <c r="AC20" s="52" t="e">
        <f t="shared" si="18"/>
        <v>#DIV/0!</v>
      </c>
      <c r="AD20" s="50">
        <f t="shared" si="19"/>
        <v>0</v>
      </c>
    </row>
    <row r="21" spans="1:30" ht="26" x14ac:dyDescent="0.35">
      <c r="A21" s="82">
        <v>90442400</v>
      </c>
      <c r="B21" s="82" t="s">
        <v>480</v>
      </c>
      <c r="C21" s="82" t="s">
        <v>477</v>
      </c>
      <c r="D21" s="21" t="s">
        <v>86</v>
      </c>
      <c r="E21" s="48" t="s">
        <v>318</v>
      </c>
      <c r="F21" s="35">
        <v>450</v>
      </c>
      <c r="G21" s="35">
        <v>10</v>
      </c>
      <c r="H21" s="35">
        <v>100</v>
      </c>
      <c r="I21" s="146" t="s">
        <v>481</v>
      </c>
      <c r="J21" s="149" t="s">
        <v>482</v>
      </c>
      <c r="K21" s="147">
        <v>3917.22</v>
      </c>
      <c r="L21" s="43"/>
      <c r="M21" s="43">
        <f t="shared" si="10"/>
        <v>0</v>
      </c>
      <c r="O21" s="44">
        <v>0.04</v>
      </c>
      <c r="P21" s="44">
        <f t="shared" si="11"/>
        <v>0</v>
      </c>
      <c r="Q21" s="45"/>
      <c r="R21" s="35">
        <f t="shared" si="12"/>
        <v>10</v>
      </c>
      <c r="S21" s="35">
        <f t="shared" si="12"/>
        <v>100</v>
      </c>
      <c r="T21" s="35">
        <f t="shared" si="13"/>
        <v>110</v>
      </c>
      <c r="U21" s="43">
        <f t="shared" si="14"/>
        <v>0</v>
      </c>
      <c r="V21" s="43">
        <f t="shared" si="15"/>
        <v>0</v>
      </c>
      <c r="W21" s="45"/>
      <c r="X21" s="50">
        <v>24.84</v>
      </c>
      <c r="Y21" s="50">
        <f t="shared" si="16"/>
        <v>0</v>
      </c>
      <c r="AA21" s="51">
        <v>0.36</v>
      </c>
      <c r="AB21" s="51">
        <f t="shared" si="17"/>
        <v>0</v>
      </c>
      <c r="AC21" s="52" t="e">
        <f t="shared" si="18"/>
        <v>#DIV/0!</v>
      </c>
      <c r="AD21" s="50">
        <f t="shared" si="19"/>
        <v>0</v>
      </c>
    </row>
    <row r="22" spans="1:30" ht="26" x14ac:dyDescent="0.35">
      <c r="A22" s="144" t="s">
        <v>483</v>
      </c>
      <c r="B22" s="144" t="s">
        <v>483</v>
      </c>
      <c r="C22" s="144" t="s">
        <v>484</v>
      </c>
      <c r="D22" s="145" t="s">
        <v>86</v>
      </c>
      <c r="E22" s="48">
        <v>20</v>
      </c>
      <c r="F22" s="35">
        <v>610</v>
      </c>
      <c r="G22" s="35">
        <v>10</v>
      </c>
      <c r="H22" s="35">
        <v>100</v>
      </c>
      <c r="I22" s="146" t="s">
        <v>485</v>
      </c>
      <c r="J22" s="118" t="s">
        <v>486</v>
      </c>
      <c r="K22" s="147">
        <v>3917.22</v>
      </c>
      <c r="L22" s="43"/>
      <c r="M22" s="43">
        <f t="shared" si="10"/>
        <v>0</v>
      </c>
      <c r="O22" s="44">
        <v>0.06</v>
      </c>
      <c r="P22" s="44">
        <f t="shared" si="11"/>
        <v>0</v>
      </c>
      <c r="Q22" s="45"/>
      <c r="R22" s="35">
        <f t="shared" si="12"/>
        <v>10</v>
      </c>
      <c r="S22" s="35">
        <f t="shared" si="12"/>
        <v>100</v>
      </c>
      <c r="T22" s="35">
        <f t="shared" si="13"/>
        <v>110</v>
      </c>
      <c r="U22" s="43">
        <f t="shared" si="14"/>
        <v>0</v>
      </c>
      <c r="V22" s="43">
        <f t="shared" si="15"/>
        <v>0</v>
      </c>
      <c r="W22" s="45"/>
      <c r="X22" s="50">
        <v>31.5</v>
      </c>
      <c r="Y22" s="50">
        <f t="shared" si="16"/>
        <v>0</v>
      </c>
      <c r="AA22" s="51">
        <v>0.45</v>
      </c>
      <c r="AB22" s="51">
        <f t="shared" si="17"/>
        <v>0</v>
      </c>
      <c r="AC22" s="52" t="e">
        <f t="shared" si="18"/>
        <v>#DIV/0!</v>
      </c>
      <c r="AD22" s="50">
        <f t="shared" si="19"/>
        <v>0</v>
      </c>
    </row>
    <row r="23" spans="1:30" ht="26" x14ac:dyDescent="0.35">
      <c r="A23" s="82">
        <v>90442600</v>
      </c>
      <c r="B23" s="82" t="s">
        <v>487</v>
      </c>
      <c r="C23" s="82" t="s">
        <v>484</v>
      </c>
      <c r="D23" s="21" t="s">
        <v>86</v>
      </c>
      <c r="E23" s="48" t="s">
        <v>318</v>
      </c>
      <c r="F23" s="35">
        <v>600</v>
      </c>
      <c r="G23" s="35">
        <v>10</v>
      </c>
      <c r="H23" s="35">
        <v>100</v>
      </c>
      <c r="I23" s="146" t="s">
        <v>488</v>
      </c>
      <c r="J23" s="149" t="s">
        <v>489</v>
      </c>
      <c r="K23" s="147">
        <v>3917.22</v>
      </c>
      <c r="L23" s="43"/>
      <c r="M23" s="43">
        <f t="shared" si="10"/>
        <v>0</v>
      </c>
      <c r="O23" s="44">
        <v>0.06</v>
      </c>
      <c r="P23" s="44">
        <f t="shared" si="11"/>
        <v>0</v>
      </c>
      <c r="Q23" s="45"/>
      <c r="R23" s="35">
        <f t="shared" si="12"/>
        <v>10</v>
      </c>
      <c r="S23" s="35">
        <f t="shared" si="12"/>
        <v>100</v>
      </c>
      <c r="T23" s="35">
        <f t="shared" si="13"/>
        <v>110</v>
      </c>
      <c r="U23" s="43">
        <f t="shared" si="14"/>
        <v>0</v>
      </c>
      <c r="V23" s="43">
        <f t="shared" si="15"/>
        <v>0</v>
      </c>
      <c r="W23" s="45"/>
      <c r="X23" s="50">
        <v>31.5</v>
      </c>
      <c r="Y23" s="50">
        <f t="shared" si="16"/>
        <v>0</v>
      </c>
      <c r="AA23" s="51">
        <v>0.46</v>
      </c>
      <c r="AB23" s="51">
        <f t="shared" si="17"/>
        <v>0</v>
      </c>
      <c r="AC23" s="52" t="e">
        <f t="shared" si="18"/>
        <v>#DIV/0!</v>
      </c>
      <c r="AD23" s="50">
        <f t="shared" si="19"/>
        <v>0</v>
      </c>
    </row>
    <row r="24" spans="1:30" ht="26" x14ac:dyDescent="0.35">
      <c r="A24" s="144" t="s">
        <v>490</v>
      </c>
      <c r="B24" s="144" t="s">
        <v>490</v>
      </c>
      <c r="C24" s="144" t="s">
        <v>491</v>
      </c>
      <c r="D24" s="145" t="s">
        <v>86</v>
      </c>
      <c r="E24" s="48">
        <v>20</v>
      </c>
      <c r="F24" s="35">
        <v>760</v>
      </c>
      <c r="G24" s="35">
        <v>10</v>
      </c>
      <c r="H24" s="35">
        <v>100</v>
      </c>
      <c r="I24" s="146" t="s">
        <v>492</v>
      </c>
      <c r="J24" s="149" t="s">
        <v>493</v>
      </c>
      <c r="K24" s="147">
        <v>3917.22</v>
      </c>
      <c r="L24" s="43"/>
      <c r="M24" s="43">
        <f t="shared" si="10"/>
        <v>0</v>
      </c>
      <c r="O24" s="44">
        <v>7.0000000000000007E-2</v>
      </c>
      <c r="P24" s="44">
        <f t="shared" si="11"/>
        <v>0</v>
      </c>
      <c r="Q24" s="45"/>
      <c r="R24" s="35">
        <f t="shared" si="12"/>
        <v>10</v>
      </c>
      <c r="S24" s="35">
        <f t="shared" si="12"/>
        <v>100</v>
      </c>
      <c r="T24" s="35">
        <f t="shared" si="13"/>
        <v>110</v>
      </c>
      <c r="U24" s="43">
        <f t="shared" si="14"/>
        <v>0</v>
      </c>
      <c r="V24" s="43">
        <f t="shared" si="15"/>
        <v>0</v>
      </c>
      <c r="W24" s="45"/>
      <c r="X24" s="50">
        <v>38.61</v>
      </c>
      <c r="Y24" s="50">
        <f t="shared" si="16"/>
        <v>0</v>
      </c>
      <c r="AA24" s="51">
        <v>0.53</v>
      </c>
      <c r="AB24" s="51">
        <f t="shared" si="17"/>
        <v>0</v>
      </c>
      <c r="AC24" s="52" t="e">
        <f t="shared" si="18"/>
        <v>#DIV/0!</v>
      </c>
      <c r="AD24" s="50">
        <f t="shared" si="19"/>
        <v>0</v>
      </c>
    </row>
    <row r="25" spans="1:30" ht="26" x14ac:dyDescent="0.35">
      <c r="A25" s="82">
        <v>90442700</v>
      </c>
      <c r="B25" s="82" t="s">
        <v>494</v>
      </c>
      <c r="C25" s="82" t="s">
        <v>491</v>
      </c>
      <c r="D25" s="21" t="s">
        <v>86</v>
      </c>
      <c r="E25" s="48" t="s">
        <v>318</v>
      </c>
      <c r="F25" s="35">
        <v>750</v>
      </c>
      <c r="G25" s="35">
        <v>10</v>
      </c>
      <c r="H25" s="35">
        <v>100</v>
      </c>
      <c r="I25" s="146" t="s">
        <v>495</v>
      </c>
      <c r="J25" s="149" t="s">
        <v>496</v>
      </c>
      <c r="K25" s="147">
        <v>3917.22</v>
      </c>
      <c r="L25" s="43"/>
      <c r="M25" s="43">
        <f t="shared" si="10"/>
        <v>0</v>
      </c>
      <c r="O25" s="44">
        <v>7.0000000000000007E-2</v>
      </c>
      <c r="P25" s="44">
        <f t="shared" si="11"/>
        <v>0</v>
      </c>
      <c r="Q25" s="45"/>
      <c r="R25" s="35">
        <f t="shared" si="12"/>
        <v>10</v>
      </c>
      <c r="S25" s="35">
        <f t="shared" si="12"/>
        <v>100</v>
      </c>
      <c r="T25" s="35">
        <f t="shared" si="13"/>
        <v>110</v>
      </c>
      <c r="U25" s="43">
        <f t="shared" si="14"/>
        <v>0</v>
      </c>
      <c r="V25" s="43">
        <f t="shared" si="15"/>
        <v>0</v>
      </c>
      <c r="W25" s="45"/>
      <c r="X25" s="50">
        <v>38.61</v>
      </c>
      <c r="Y25" s="50">
        <f t="shared" si="16"/>
        <v>0</v>
      </c>
      <c r="AA25" s="51">
        <v>0.56000000000000005</v>
      </c>
      <c r="AB25" s="51">
        <f t="shared" si="17"/>
        <v>0</v>
      </c>
      <c r="AC25" s="52" t="e">
        <f t="shared" si="18"/>
        <v>#DIV/0!</v>
      </c>
      <c r="AD25" s="50">
        <f t="shared" si="19"/>
        <v>0</v>
      </c>
    </row>
    <row r="26" spans="1:30" ht="26" x14ac:dyDescent="0.35">
      <c r="A26" s="144" t="s">
        <v>497</v>
      </c>
      <c r="B26" s="144" t="s">
        <v>497</v>
      </c>
      <c r="C26" s="144" t="s">
        <v>498</v>
      </c>
      <c r="D26" s="145" t="s">
        <v>86</v>
      </c>
      <c r="E26" s="48">
        <v>20</v>
      </c>
      <c r="F26" s="35">
        <v>915</v>
      </c>
      <c r="G26" s="35">
        <v>10</v>
      </c>
      <c r="H26" s="35">
        <v>50</v>
      </c>
      <c r="I26" s="146" t="s">
        <v>499</v>
      </c>
      <c r="J26" s="118" t="s">
        <v>500</v>
      </c>
      <c r="K26" s="147">
        <v>3917.22</v>
      </c>
      <c r="L26" s="43"/>
      <c r="M26" s="43">
        <f t="shared" si="10"/>
        <v>0</v>
      </c>
      <c r="O26" s="44">
        <v>0.04</v>
      </c>
      <c r="P26" s="44">
        <f t="shared" si="11"/>
        <v>0</v>
      </c>
      <c r="Q26" s="45"/>
      <c r="R26" s="35">
        <f t="shared" si="12"/>
        <v>10</v>
      </c>
      <c r="S26" s="35">
        <f t="shared" si="12"/>
        <v>50</v>
      </c>
      <c r="T26" s="35">
        <f t="shared" si="13"/>
        <v>60</v>
      </c>
      <c r="U26" s="43">
        <f t="shared" si="14"/>
        <v>0</v>
      </c>
      <c r="V26" s="43">
        <f t="shared" si="15"/>
        <v>0</v>
      </c>
      <c r="W26" s="45"/>
      <c r="X26" s="50">
        <v>45.72</v>
      </c>
      <c r="Y26" s="50">
        <f t="shared" si="16"/>
        <v>0</v>
      </c>
      <c r="AA26" s="51">
        <v>0.63</v>
      </c>
      <c r="AB26" s="51">
        <f t="shared" si="17"/>
        <v>0</v>
      </c>
      <c r="AC26" s="52" t="e">
        <f t="shared" si="18"/>
        <v>#DIV/0!</v>
      </c>
      <c r="AD26" s="50">
        <f t="shared" si="19"/>
        <v>0</v>
      </c>
    </row>
    <row r="27" spans="1:30" ht="26" x14ac:dyDescent="0.35">
      <c r="A27" s="82">
        <v>90442800</v>
      </c>
      <c r="B27" s="82" t="s">
        <v>501</v>
      </c>
      <c r="C27" s="82" t="s">
        <v>498</v>
      </c>
      <c r="D27" s="21" t="s">
        <v>86</v>
      </c>
      <c r="E27" s="48" t="s">
        <v>318</v>
      </c>
      <c r="F27" s="35">
        <v>900</v>
      </c>
      <c r="G27" s="35">
        <v>10</v>
      </c>
      <c r="H27" s="35">
        <v>50</v>
      </c>
      <c r="I27" s="146" t="s">
        <v>502</v>
      </c>
      <c r="J27" s="149" t="s">
        <v>503</v>
      </c>
      <c r="K27" s="147">
        <v>3917.22</v>
      </c>
      <c r="L27" s="43"/>
      <c r="M27" s="43">
        <f t="shared" si="10"/>
        <v>0</v>
      </c>
      <c r="O27" s="44">
        <v>0.04</v>
      </c>
      <c r="P27" s="44">
        <f t="shared" si="11"/>
        <v>0</v>
      </c>
      <c r="Q27" s="45"/>
      <c r="R27" s="35">
        <f t="shared" si="12"/>
        <v>10</v>
      </c>
      <c r="S27" s="35">
        <f t="shared" si="12"/>
        <v>50</v>
      </c>
      <c r="T27" s="35">
        <f t="shared" si="13"/>
        <v>60</v>
      </c>
      <c r="U27" s="43">
        <f t="shared" si="14"/>
        <v>0</v>
      </c>
      <c r="V27" s="43">
        <f t="shared" si="15"/>
        <v>0</v>
      </c>
      <c r="W27" s="45"/>
      <c r="X27" s="50">
        <v>45.72</v>
      </c>
      <c r="Y27" s="50">
        <f t="shared" si="16"/>
        <v>0</v>
      </c>
      <c r="AA27" s="51">
        <v>0.66</v>
      </c>
      <c r="AB27" s="51">
        <f t="shared" si="17"/>
        <v>0</v>
      </c>
      <c r="AC27" s="52" t="e">
        <f t="shared" si="18"/>
        <v>#DIV/0!</v>
      </c>
      <c r="AD27" s="50">
        <f t="shared" si="19"/>
        <v>0</v>
      </c>
    </row>
    <row r="28" spans="1:30" ht="26" x14ac:dyDescent="0.35">
      <c r="A28" s="144" t="s">
        <v>504</v>
      </c>
      <c r="B28" s="144" t="s">
        <v>504</v>
      </c>
      <c r="C28" s="144" t="s">
        <v>505</v>
      </c>
      <c r="D28" s="145" t="s">
        <v>86</v>
      </c>
      <c r="E28" s="48">
        <v>20</v>
      </c>
      <c r="F28" s="35">
        <v>1220</v>
      </c>
      <c r="G28" s="35">
        <v>10</v>
      </c>
      <c r="H28" s="35">
        <v>50</v>
      </c>
      <c r="I28" s="146" t="s">
        <v>506</v>
      </c>
      <c r="J28" s="149" t="s">
        <v>507</v>
      </c>
      <c r="K28" s="147">
        <v>3917.22</v>
      </c>
      <c r="L28" s="43"/>
      <c r="M28" s="43">
        <f t="shared" si="10"/>
        <v>0</v>
      </c>
      <c r="O28" s="44">
        <v>0.06</v>
      </c>
      <c r="P28" s="44">
        <f t="shared" si="11"/>
        <v>0</v>
      </c>
      <c r="Q28" s="45"/>
      <c r="R28" s="35">
        <f t="shared" si="12"/>
        <v>10</v>
      </c>
      <c r="S28" s="35">
        <f t="shared" si="12"/>
        <v>50</v>
      </c>
      <c r="T28" s="35">
        <f t="shared" si="13"/>
        <v>60</v>
      </c>
      <c r="U28" s="43">
        <f t="shared" si="14"/>
        <v>0</v>
      </c>
      <c r="V28" s="43">
        <f t="shared" si="15"/>
        <v>0</v>
      </c>
      <c r="W28" s="45"/>
      <c r="X28" s="50">
        <v>59.4</v>
      </c>
      <c r="Y28" s="50">
        <f t="shared" si="16"/>
        <v>0</v>
      </c>
      <c r="AA28" s="51">
        <v>0.83</v>
      </c>
      <c r="AB28" s="51">
        <f t="shared" si="17"/>
        <v>0</v>
      </c>
      <c r="AC28" s="52" t="e">
        <f t="shared" si="18"/>
        <v>#DIV/0!</v>
      </c>
      <c r="AD28" s="50">
        <f t="shared" si="19"/>
        <v>0</v>
      </c>
    </row>
    <row r="29" spans="1:30" ht="26" x14ac:dyDescent="0.35">
      <c r="A29" s="144" t="s">
        <v>508</v>
      </c>
      <c r="B29" s="144" t="s">
        <v>508</v>
      </c>
      <c r="C29" s="144" t="s">
        <v>509</v>
      </c>
      <c r="D29" s="145" t="s">
        <v>86</v>
      </c>
      <c r="E29" s="48">
        <v>20</v>
      </c>
      <c r="F29" s="35">
        <v>1524</v>
      </c>
      <c r="G29" s="35">
        <v>10</v>
      </c>
      <c r="H29" s="35">
        <v>50</v>
      </c>
      <c r="I29" s="146" t="s">
        <v>510</v>
      </c>
      <c r="J29" s="149" t="s">
        <v>511</v>
      </c>
      <c r="K29" s="147">
        <v>3917.22</v>
      </c>
      <c r="L29" s="43"/>
      <c r="M29" s="43">
        <f t="shared" si="10"/>
        <v>0</v>
      </c>
      <c r="O29" s="44">
        <v>7.0000000000000007E-2</v>
      </c>
      <c r="P29" s="44">
        <f t="shared" si="11"/>
        <v>0</v>
      </c>
      <c r="Q29" s="45"/>
      <c r="R29" s="35">
        <f t="shared" si="12"/>
        <v>10</v>
      </c>
      <c r="S29" s="35">
        <f t="shared" si="12"/>
        <v>50</v>
      </c>
      <c r="T29" s="35">
        <f t="shared" si="13"/>
        <v>60</v>
      </c>
      <c r="U29" s="43">
        <f t="shared" si="14"/>
        <v>0</v>
      </c>
      <c r="V29" s="43">
        <f t="shared" si="15"/>
        <v>0</v>
      </c>
      <c r="W29" s="45"/>
      <c r="X29" s="50">
        <v>73.44</v>
      </c>
      <c r="Y29" s="50">
        <f t="shared" si="16"/>
        <v>0</v>
      </c>
      <c r="AA29" s="51">
        <v>1.01</v>
      </c>
      <c r="AB29" s="51">
        <f t="shared" si="17"/>
        <v>0</v>
      </c>
      <c r="AC29" s="52" t="e">
        <f t="shared" si="18"/>
        <v>#DIV/0!</v>
      </c>
      <c r="AD29" s="50">
        <f t="shared" si="19"/>
        <v>0</v>
      </c>
    </row>
    <row r="30" spans="1:30" ht="26" x14ac:dyDescent="0.35">
      <c r="A30" s="144" t="s">
        <v>512</v>
      </c>
      <c r="B30" s="144" t="s">
        <v>512</v>
      </c>
      <c r="C30" s="144" t="s">
        <v>513</v>
      </c>
      <c r="D30" s="145" t="s">
        <v>86</v>
      </c>
      <c r="E30" s="48">
        <v>20</v>
      </c>
      <c r="F30" s="35">
        <v>1800</v>
      </c>
      <c r="G30" s="35">
        <v>10</v>
      </c>
      <c r="H30" s="35">
        <v>50</v>
      </c>
      <c r="I30" s="146" t="s">
        <v>514</v>
      </c>
      <c r="J30" s="149" t="s">
        <v>515</v>
      </c>
      <c r="K30" s="147">
        <v>3917.22</v>
      </c>
      <c r="L30" s="43"/>
      <c r="M30" s="43">
        <f t="shared" si="10"/>
        <v>0</v>
      </c>
      <c r="O30" s="44">
        <v>0.09</v>
      </c>
      <c r="P30" s="44">
        <f t="shared" si="11"/>
        <v>0</v>
      </c>
      <c r="Q30" s="45"/>
      <c r="R30" s="48">
        <f t="shared" si="12"/>
        <v>10</v>
      </c>
      <c r="S30" s="48">
        <f t="shared" si="12"/>
        <v>50</v>
      </c>
      <c r="T30" s="35">
        <f t="shared" si="13"/>
        <v>60</v>
      </c>
      <c r="U30" s="43">
        <f t="shared" si="14"/>
        <v>0</v>
      </c>
      <c r="V30" s="43">
        <f t="shared" si="15"/>
        <v>0</v>
      </c>
      <c r="W30" s="45"/>
      <c r="X30" s="50">
        <v>86.04</v>
      </c>
      <c r="Y30" s="50">
        <f t="shared" si="16"/>
        <v>0</v>
      </c>
      <c r="AA30" s="51">
        <v>1.19</v>
      </c>
      <c r="AB30" s="51">
        <f t="shared" si="17"/>
        <v>0</v>
      </c>
      <c r="AC30" s="52" t="e">
        <f t="shared" si="18"/>
        <v>#DIV/0!</v>
      </c>
      <c r="AD30" s="50">
        <f t="shared" si="19"/>
        <v>0</v>
      </c>
    </row>
    <row r="31" spans="1:30" ht="26" x14ac:dyDescent="0.35">
      <c r="A31" s="144" t="s">
        <v>516</v>
      </c>
      <c r="B31" s="144" t="s">
        <v>516</v>
      </c>
      <c r="C31" s="144" t="s">
        <v>517</v>
      </c>
      <c r="D31" s="145" t="s">
        <v>86</v>
      </c>
      <c r="E31" s="48">
        <v>20</v>
      </c>
      <c r="F31" s="35">
        <v>2100</v>
      </c>
      <c r="G31" s="35">
        <v>10</v>
      </c>
      <c r="H31" s="35">
        <v>50</v>
      </c>
      <c r="I31" s="146" t="s">
        <v>518</v>
      </c>
      <c r="J31" s="118" t="s">
        <v>519</v>
      </c>
      <c r="K31" s="147">
        <v>3917.22</v>
      </c>
      <c r="L31" s="43"/>
      <c r="M31" s="43">
        <f t="shared" si="10"/>
        <v>0</v>
      </c>
      <c r="O31" s="44">
        <v>0.1</v>
      </c>
      <c r="P31" s="44">
        <f t="shared" si="11"/>
        <v>0</v>
      </c>
      <c r="Q31" s="45"/>
      <c r="R31" s="48">
        <f t="shared" si="12"/>
        <v>10</v>
      </c>
      <c r="S31" s="48">
        <f t="shared" si="12"/>
        <v>50</v>
      </c>
      <c r="T31" s="35">
        <f t="shared" si="13"/>
        <v>60</v>
      </c>
      <c r="U31" s="43">
        <f t="shared" si="14"/>
        <v>0</v>
      </c>
      <c r="V31" s="43">
        <f t="shared" si="15"/>
        <v>0</v>
      </c>
      <c r="W31" s="45"/>
      <c r="X31" s="50">
        <v>99.9</v>
      </c>
      <c r="Y31" s="50">
        <f t="shared" si="16"/>
        <v>0</v>
      </c>
      <c r="AA31" s="51">
        <v>1.37</v>
      </c>
      <c r="AB31" s="51">
        <f t="shared" si="17"/>
        <v>0</v>
      </c>
      <c r="AC31" s="52" t="e">
        <f t="shared" si="18"/>
        <v>#DIV/0!</v>
      </c>
      <c r="AD31" s="50">
        <f t="shared" si="19"/>
        <v>0</v>
      </c>
    </row>
    <row r="32" spans="1:30" ht="26" x14ac:dyDescent="0.35">
      <c r="A32" s="144" t="s">
        <v>520</v>
      </c>
      <c r="B32" s="144" t="s">
        <v>520</v>
      </c>
      <c r="C32" s="144" t="s">
        <v>521</v>
      </c>
      <c r="D32" s="145" t="s">
        <v>86</v>
      </c>
      <c r="E32" s="48">
        <v>20</v>
      </c>
      <c r="F32" s="35">
        <v>2400</v>
      </c>
      <c r="G32" s="35">
        <v>10</v>
      </c>
      <c r="H32" s="35">
        <v>50</v>
      </c>
      <c r="I32" s="146" t="s">
        <v>522</v>
      </c>
      <c r="J32" s="118" t="s">
        <v>523</v>
      </c>
      <c r="K32" s="147">
        <v>3917.22</v>
      </c>
      <c r="L32" s="43"/>
      <c r="M32" s="43">
        <f t="shared" si="10"/>
        <v>0</v>
      </c>
      <c r="O32" s="44">
        <v>0.1</v>
      </c>
      <c r="P32" s="44">
        <f t="shared" si="11"/>
        <v>0</v>
      </c>
      <c r="Q32" s="45"/>
      <c r="R32" s="48">
        <f t="shared" si="12"/>
        <v>10</v>
      </c>
      <c r="S32" s="48">
        <f t="shared" si="12"/>
        <v>50</v>
      </c>
      <c r="T32" s="35">
        <f t="shared" si="13"/>
        <v>60</v>
      </c>
      <c r="U32" s="43">
        <f t="shared" si="14"/>
        <v>0</v>
      </c>
      <c r="V32" s="43">
        <f t="shared" si="15"/>
        <v>0</v>
      </c>
      <c r="W32" s="45"/>
      <c r="X32" s="50">
        <v>114.17</v>
      </c>
      <c r="Y32" s="50">
        <f t="shared" si="16"/>
        <v>0</v>
      </c>
      <c r="AA32" s="51">
        <v>1.6</v>
      </c>
      <c r="AB32" s="51">
        <f t="shared" si="17"/>
        <v>0</v>
      </c>
      <c r="AC32" s="52" t="e">
        <f t="shared" si="18"/>
        <v>#DIV/0!</v>
      </c>
      <c r="AD32" s="50">
        <f t="shared" si="19"/>
        <v>0</v>
      </c>
    </row>
    <row r="33" spans="1:30" ht="14" x14ac:dyDescent="0.35">
      <c r="A33" s="151" t="s">
        <v>524</v>
      </c>
      <c r="B33" s="151" t="s">
        <v>524</v>
      </c>
      <c r="C33" s="151" t="s">
        <v>524</v>
      </c>
      <c r="D33" s="152"/>
      <c r="E33" s="153"/>
      <c r="F33" s="156"/>
      <c r="G33" s="21"/>
      <c r="H33" s="21"/>
      <c r="I33" s="157"/>
      <c r="J33" s="21"/>
      <c r="K33" s="21"/>
      <c r="L33" s="43"/>
      <c r="M33" s="43"/>
      <c r="O33" s="43"/>
      <c r="P33" s="44"/>
      <c r="Q33" s="45"/>
      <c r="R33" s="35"/>
      <c r="S33" s="35"/>
      <c r="T33" s="35"/>
      <c r="U33" s="43"/>
      <c r="V33" s="43"/>
      <c r="W33" s="45"/>
      <c r="X33" s="50"/>
      <c r="Y33" s="50"/>
      <c r="AA33" s="51"/>
      <c r="AB33" s="51"/>
      <c r="AC33" s="52"/>
      <c r="AD33" s="50"/>
    </row>
    <row r="34" spans="1:30" ht="26" x14ac:dyDescent="0.35">
      <c r="A34" s="144" t="s">
        <v>525</v>
      </c>
      <c r="B34" s="155" t="s">
        <v>525</v>
      </c>
      <c r="C34" s="144" t="s">
        <v>526</v>
      </c>
      <c r="D34" s="145" t="s">
        <v>161</v>
      </c>
      <c r="E34" s="48">
        <v>25</v>
      </c>
      <c r="F34" s="35">
        <v>200</v>
      </c>
      <c r="G34" s="35">
        <v>10</v>
      </c>
      <c r="H34" s="35">
        <v>150</v>
      </c>
      <c r="I34" s="146" t="s">
        <v>527</v>
      </c>
      <c r="J34" s="149" t="s">
        <v>528</v>
      </c>
      <c r="K34" s="147">
        <v>3917.22</v>
      </c>
      <c r="L34" s="43"/>
      <c r="M34" s="43">
        <f t="shared" ref="M34:M51" si="20">$L34/$H34</f>
        <v>0</v>
      </c>
      <c r="O34" s="44">
        <v>0.06</v>
      </c>
      <c r="P34" s="44">
        <f t="shared" ref="P34:P51" si="21">$M34*$O34</f>
        <v>0</v>
      </c>
      <c r="Q34" s="45"/>
      <c r="R34" s="35">
        <v>10</v>
      </c>
      <c r="S34" s="35">
        <f t="shared" ref="S34:S51" si="22">H34</f>
        <v>150</v>
      </c>
      <c r="T34" s="35">
        <f t="shared" ref="T34:T51" si="23">S34+R34</f>
        <v>160</v>
      </c>
      <c r="U34" s="43">
        <f t="shared" ref="U34:U51" si="24">$M34*$T34*1.05</f>
        <v>0</v>
      </c>
      <c r="V34" s="43">
        <f t="shared" ref="V34:V51" si="25">ROUNDUP($U34/125,)</f>
        <v>0</v>
      </c>
      <c r="W34" s="45"/>
      <c r="X34" s="50">
        <v>16.11</v>
      </c>
      <c r="Y34" s="50">
        <f t="shared" ref="Y34:Y51" si="26">X34*$L34</f>
        <v>0</v>
      </c>
      <c r="AA34" s="51">
        <v>0.24</v>
      </c>
      <c r="AB34" s="51">
        <f t="shared" ref="AB34:AB51" si="27">$L34*AA34</f>
        <v>0</v>
      </c>
      <c r="AC34" s="52" t="e">
        <f t="shared" ref="AC34:AC51" si="28">AD34/L34</f>
        <v>#DIV/0!</v>
      </c>
      <c r="AD34" s="50">
        <f t="shared" ref="AD34:AD51" si="29">AB34*$AD$2</f>
        <v>0</v>
      </c>
    </row>
    <row r="35" spans="1:30" ht="26" x14ac:dyDescent="0.35">
      <c r="A35" s="82">
        <v>90448000</v>
      </c>
      <c r="B35" s="82" t="s">
        <v>529</v>
      </c>
      <c r="C35" s="82" t="s">
        <v>530</v>
      </c>
      <c r="D35" s="21" t="s">
        <v>86</v>
      </c>
      <c r="E35" s="48" t="s">
        <v>325</v>
      </c>
      <c r="F35" s="35">
        <v>270</v>
      </c>
      <c r="G35" s="35">
        <v>10</v>
      </c>
      <c r="H35" s="35">
        <v>100</v>
      </c>
      <c r="I35" s="146" t="s">
        <v>531</v>
      </c>
      <c r="J35" s="149" t="s">
        <v>532</v>
      </c>
      <c r="K35" s="147">
        <v>3917.22</v>
      </c>
      <c r="L35" s="43"/>
      <c r="M35" s="43">
        <f t="shared" si="20"/>
        <v>0</v>
      </c>
      <c r="O35" s="44">
        <v>0.06</v>
      </c>
      <c r="P35" s="44">
        <f t="shared" si="21"/>
        <v>0</v>
      </c>
      <c r="Q35" s="45"/>
      <c r="R35" s="35">
        <v>10</v>
      </c>
      <c r="S35" s="35">
        <f t="shared" si="22"/>
        <v>100</v>
      </c>
      <c r="T35" s="35">
        <f t="shared" si="23"/>
        <v>110</v>
      </c>
      <c r="U35" s="43">
        <f t="shared" si="24"/>
        <v>0</v>
      </c>
      <c r="V35" s="43">
        <f t="shared" si="25"/>
        <v>0</v>
      </c>
      <c r="W35" s="45"/>
      <c r="X35" s="50">
        <v>20.61</v>
      </c>
      <c r="Y35" s="50">
        <f t="shared" si="26"/>
        <v>0</v>
      </c>
      <c r="AA35" s="51">
        <v>0.35</v>
      </c>
      <c r="AB35" s="51">
        <f t="shared" si="27"/>
        <v>0</v>
      </c>
      <c r="AC35" s="52" t="e">
        <f t="shared" si="28"/>
        <v>#DIV/0!</v>
      </c>
      <c r="AD35" s="50">
        <f t="shared" si="29"/>
        <v>0</v>
      </c>
    </row>
    <row r="36" spans="1:30" ht="26" x14ac:dyDescent="0.35">
      <c r="A36" s="144" t="s">
        <v>533</v>
      </c>
      <c r="B36" s="144" t="s">
        <v>533</v>
      </c>
      <c r="C36" s="144" t="s">
        <v>534</v>
      </c>
      <c r="D36" s="145" t="s">
        <v>86</v>
      </c>
      <c r="E36" s="48">
        <v>25</v>
      </c>
      <c r="F36" s="35">
        <v>375</v>
      </c>
      <c r="G36" s="35">
        <v>10</v>
      </c>
      <c r="H36" s="35">
        <v>100</v>
      </c>
      <c r="I36" s="146" t="s">
        <v>535</v>
      </c>
      <c r="J36" s="149" t="s">
        <v>536</v>
      </c>
      <c r="K36" s="147">
        <v>3917.22</v>
      </c>
      <c r="L36" s="43"/>
      <c r="M36" s="43">
        <f t="shared" si="20"/>
        <v>0</v>
      </c>
      <c r="O36" s="44">
        <v>0.06</v>
      </c>
      <c r="P36" s="44">
        <f t="shared" si="21"/>
        <v>0</v>
      </c>
      <c r="Q36" s="45"/>
      <c r="R36" s="35">
        <v>10</v>
      </c>
      <c r="S36" s="35">
        <f t="shared" si="22"/>
        <v>100</v>
      </c>
      <c r="T36" s="35">
        <f t="shared" si="23"/>
        <v>110</v>
      </c>
      <c r="U36" s="43">
        <f t="shared" si="24"/>
        <v>0</v>
      </c>
      <c r="V36" s="43">
        <f t="shared" si="25"/>
        <v>0</v>
      </c>
      <c r="W36" s="45"/>
      <c r="X36" s="50">
        <v>26.64</v>
      </c>
      <c r="Y36" s="50">
        <f t="shared" si="26"/>
        <v>0</v>
      </c>
      <c r="AA36" s="51">
        <v>0.39</v>
      </c>
      <c r="AB36" s="51">
        <f t="shared" si="27"/>
        <v>0</v>
      </c>
      <c r="AC36" s="52" t="e">
        <f t="shared" si="28"/>
        <v>#DIV/0!</v>
      </c>
      <c r="AD36" s="50">
        <f t="shared" si="29"/>
        <v>0</v>
      </c>
    </row>
    <row r="37" spans="1:30" ht="26" x14ac:dyDescent="0.35">
      <c r="A37" s="144" t="s">
        <v>537</v>
      </c>
      <c r="B37" s="144" t="s">
        <v>537</v>
      </c>
      <c r="C37" s="144" t="s">
        <v>538</v>
      </c>
      <c r="D37" s="145" t="s">
        <v>86</v>
      </c>
      <c r="E37" s="48">
        <v>25</v>
      </c>
      <c r="F37" s="35">
        <v>457</v>
      </c>
      <c r="G37" s="35">
        <v>10</v>
      </c>
      <c r="H37" s="35">
        <v>100</v>
      </c>
      <c r="I37" s="146" t="s">
        <v>539</v>
      </c>
      <c r="J37" s="149" t="s">
        <v>540</v>
      </c>
      <c r="K37" s="147">
        <v>3917.22</v>
      </c>
      <c r="L37" s="43"/>
      <c r="M37" s="43">
        <f t="shared" si="20"/>
        <v>0</v>
      </c>
      <c r="O37" s="44">
        <v>0.06</v>
      </c>
      <c r="P37" s="44">
        <f t="shared" si="21"/>
        <v>0</v>
      </c>
      <c r="Q37" s="45"/>
      <c r="R37" s="35">
        <v>10</v>
      </c>
      <c r="S37" s="35">
        <f t="shared" si="22"/>
        <v>100</v>
      </c>
      <c r="T37" s="35">
        <f t="shared" si="23"/>
        <v>110</v>
      </c>
      <c r="U37" s="43">
        <f t="shared" si="24"/>
        <v>0</v>
      </c>
      <c r="V37" s="43">
        <f t="shared" si="25"/>
        <v>0</v>
      </c>
      <c r="W37" s="45"/>
      <c r="X37" s="50">
        <v>31.5</v>
      </c>
      <c r="Y37" s="50">
        <f t="shared" si="26"/>
        <v>0</v>
      </c>
      <c r="AA37" s="51">
        <v>0.45</v>
      </c>
      <c r="AB37" s="51">
        <f t="shared" si="27"/>
        <v>0</v>
      </c>
      <c r="AC37" s="52" t="e">
        <f t="shared" si="28"/>
        <v>#DIV/0!</v>
      </c>
      <c r="AD37" s="50">
        <f t="shared" si="29"/>
        <v>0</v>
      </c>
    </row>
    <row r="38" spans="1:30" ht="26" x14ac:dyDescent="0.35">
      <c r="A38" s="82">
        <v>90443400</v>
      </c>
      <c r="B38" s="82" t="s">
        <v>541</v>
      </c>
      <c r="C38" s="82" t="s">
        <v>538</v>
      </c>
      <c r="D38" s="21" t="s">
        <v>86</v>
      </c>
      <c r="E38" s="48" t="s">
        <v>325</v>
      </c>
      <c r="F38" s="35">
        <v>450</v>
      </c>
      <c r="G38" s="35">
        <v>10</v>
      </c>
      <c r="H38" s="35">
        <v>100</v>
      </c>
      <c r="I38" s="146" t="s">
        <v>542</v>
      </c>
      <c r="J38" s="149" t="s">
        <v>543</v>
      </c>
      <c r="K38" s="147">
        <v>3917.22</v>
      </c>
      <c r="L38" s="43"/>
      <c r="M38" s="43">
        <f t="shared" si="20"/>
        <v>0</v>
      </c>
      <c r="O38" s="44">
        <v>0.06</v>
      </c>
      <c r="P38" s="44">
        <f t="shared" si="21"/>
        <v>0</v>
      </c>
      <c r="Q38" s="45"/>
      <c r="R38" s="35">
        <v>10</v>
      </c>
      <c r="S38" s="35">
        <f t="shared" si="22"/>
        <v>100</v>
      </c>
      <c r="T38" s="35">
        <f t="shared" si="23"/>
        <v>110</v>
      </c>
      <c r="U38" s="43">
        <f t="shared" si="24"/>
        <v>0</v>
      </c>
      <c r="V38" s="43">
        <f t="shared" si="25"/>
        <v>0</v>
      </c>
      <c r="W38" s="45"/>
      <c r="X38" s="50">
        <v>31.5</v>
      </c>
      <c r="Y38" s="50">
        <f t="shared" si="26"/>
        <v>0</v>
      </c>
      <c r="AA38" s="51">
        <v>0.46</v>
      </c>
      <c r="AB38" s="51">
        <f t="shared" si="27"/>
        <v>0</v>
      </c>
      <c r="AC38" s="52" t="e">
        <f t="shared" si="28"/>
        <v>#DIV/0!</v>
      </c>
      <c r="AD38" s="50">
        <f t="shared" si="29"/>
        <v>0</v>
      </c>
    </row>
    <row r="39" spans="1:30" ht="26" x14ac:dyDescent="0.35">
      <c r="A39" s="144" t="s">
        <v>544</v>
      </c>
      <c r="B39" s="144" t="s">
        <v>544</v>
      </c>
      <c r="C39" s="144" t="s">
        <v>545</v>
      </c>
      <c r="D39" s="145" t="s">
        <v>86</v>
      </c>
      <c r="E39" s="48">
        <v>25</v>
      </c>
      <c r="F39" s="35">
        <v>610</v>
      </c>
      <c r="G39" s="35">
        <v>10</v>
      </c>
      <c r="H39" s="35">
        <v>50</v>
      </c>
      <c r="I39" s="146" t="s">
        <v>546</v>
      </c>
      <c r="J39" s="149" t="s">
        <v>547</v>
      </c>
      <c r="K39" s="147">
        <v>3917.22</v>
      </c>
      <c r="L39" s="43"/>
      <c r="M39" s="43">
        <f t="shared" si="20"/>
        <v>0</v>
      </c>
      <c r="O39" s="44">
        <v>0.04</v>
      </c>
      <c r="P39" s="44">
        <f t="shared" si="21"/>
        <v>0</v>
      </c>
      <c r="Q39" s="45"/>
      <c r="R39" s="35">
        <v>5</v>
      </c>
      <c r="S39" s="35">
        <f t="shared" si="22"/>
        <v>50</v>
      </c>
      <c r="T39" s="35">
        <f t="shared" si="23"/>
        <v>55</v>
      </c>
      <c r="U39" s="43">
        <f t="shared" si="24"/>
        <v>0</v>
      </c>
      <c r="V39" s="43">
        <f t="shared" si="25"/>
        <v>0</v>
      </c>
      <c r="W39" s="45"/>
      <c r="X39" s="50">
        <v>40.86</v>
      </c>
      <c r="Y39" s="50">
        <f t="shared" si="26"/>
        <v>0</v>
      </c>
      <c r="AA39" s="51">
        <v>0.57999999999999996</v>
      </c>
      <c r="AB39" s="51">
        <f t="shared" si="27"/>
        <v>0</v>
      </c>
      <c r="AC39" s="52" t="e">
        <f t="shared" si="28"/>
        <v>#DIV/0!</v>
      </c>
      <c r="AD39" s="50">
        <f t="shared" si="29"/>
        <v>0</v>
      </c>
    </row>
    <row r="40" spans="1:30" ht="26" x14ac:dyDescent="0.35">
      <c r="A40" s="82">
        <v>90443600</v>
      </c>
      <c r="B40" s="82" t="s">
        <v>548</v>
      </c>
      <c r="C40" s="82" t="s">
        <v>545</v>
      </c>
      <c r="D40" s="21" t="s">
        <v>86</v>
      </c>
      <c r="E40" s="48" t="s">
        <v>325</v>
      </c>
      <c r="F40" s="35">
        <v>600</v>
      </c>
      <c r="G40" s="35">
        <v>10</v>
      </c>
      <c r="H40" s="35">
        <v>50</v>
      </c>
      <c r="I40" s="146" t="s">
        <v>549</v>
      </c>
      <c r="J40" s="149" t="s">
        <v>550</v>
      </c>
      <c r="K40" s="147">
        <v>3917.22</v>
      </c>
      <c r="L40" s="43"/>
      <c r="M40" s="43">
        <f t="shared" si="20"/>
        <v>0</v>
      </c>
      <c r="O40" s="44">
        <v>0.04</v>
      </c>
      <c r="P40" s="44">
        <f t="shared" si="21"/>
        <v>0</v>
      </c>
      <c r="Q40" s="45"/>
      <c r="R40" s="35">
        <v>5</v>
      </c>
      <c r="S40" s="35">
        <f t="shared" si="22"/>
        <v>50</v>
      </c>
      <c r="T40" s="35">
        <f t="shared" si="23"/>
        <v>55</v>
      </c>
      <c r="U40" s="43">
        <f t="shared" si="24"/>
        <v>0</v>
      </c>
      <c r="V40" s="43">
        <f t="shared" si="25"/>
        <v>0</v>
      </c>
      <c r="W40" s="45"/>
      <c r="X40" s="158">
        <v>40.86</v>
      </c>
      <c r="Y40" s="50">
        <f t="shared" si="26"/>
        <v>0</v>
      </c>
      <c r="AA40" s="51">
        <v>0.6</v>
      </c>
      <c r="AB40" s="51">
        <f t="shared" si="27"/>
        <v>0</v>
      </c>
      <c r="AC40" s="52" t="e">
        <f t="shared" si="28"/>
        <v>#DIV/0!</v>
      </c>
      <c r="AD40" s="50">
        <f t="shared" si="29"/>
        <v>0</v>
      </c>
    </row>
    <row r="41" spans="1:30" ht="26" x14ac:dyDescent="0.35">
      <c r="A41" s="144" t="s">
        <v>551</v>
      </c>
      <c r="B41" s="144" t="s">
        <v>551</v>
      </c>
      <c r="C41" s="144" t="s">
        <v>552</v>
      </c>
      <c r="D41" s="145" t="s">
        <v>86</v>
      </c>
      <c r="E41" s="48">
        <v>25</v>
      </c>
      <c r="F41" s="35">
        <v>760</v>
      </c>
      <c r="G41" s="35">
        <v>10</v>
      </c>
      <c r="H41" s="35">
        <v>50</v>
      </c>
      <c r="I41" s="146" t="s">
        <v>553</v>
      </c>
      <c r="J41" s="149" t="s">
        <v>554</v>
      </c>
      <c r="K41" s="147">
        <v>3917.22</v>
      </c>
      <c r="L41" s="43"/>
      <c r="M41" s="43">
        <f t="shared" si="20"/>
        <v>0</v>
      </c>
      <c r="O41" s="44">
        <v>0.05</v>
      </c>
      <c r="P41" s="44">
        <f t="shared" si="21"/>
        <v>0</v>
      </c>
      <c r="Q41" s="45"/>
      <c r="R41" s="35">
        <v>5</v>
      </c>
      <c r="S41" s="35">
        <f t="shared" si="22"/>
        <v>50</v>
      </c>
      <c r="T41" s="35">
        <f t="shared" si="23"/>
        <v>55</v>
      </c>
      <c r="U41" s="43">
        <f t="shared" si="24"/>
        <v>0</v>
      </c>
      <c r="V41" s="43">
        <f t="shared" si="25"/>
        <v>0</v>
      </c>
      <c r="W41" s="45"/>
      <c r="X41" s="50">
        <v>49.95</v>
      </c>
      <c r="Y41" s="50">
        <f t="shared" si="26"/>
        <v>0</v>
      </c>
      <c r="AA41" s="51">
        <v>0.71</v>
      </c>
      <c r="AB41" s="51">
        <f t="shared" si="27"/>
        <v>0</v>
      </c>
      <c r="AC41" s="52" t="e">
        <f t="shared" si="28"/>
        <v>#DIV/0!</v>
      </c>
      <c r="AD41" s="50">
        <f t="shared" si="29"/>
        <v>0</v>
      </c>
    </row>
    <row r="42" spans="1:30" ht="26" x14ac:dyDescent="0.35">
      <c r="A42" s="82">
        <v>90443700</v>
      </c>
      <c r="B42" s="82" t="s">
        <v>555</v>
      </c>
      <c r="C42" s="82" t="s">
        <v>552</v>
      </c>
      <c r="D42" s="21" t="s">
        <v>86</v>
      </c>
      <c r="E42" s="48" t="s">
        <v>325</v>
      </c>
      <c r="F42" s="35">
        <v>750</v>
      </c>
      <c r="G42" s="35">
        <v>10</v>
      </c>
      <c r="H42" s="35">
        <v>50</v>
      </c>
      <c r="I42" s="146" t="s">
        <v>556</v>
      </c>
      <c r="J42" s="149" t="s">
        <v>557</v>
      </c>
      <c r="K42" s="147">
        <v>3917.22</v>
      </c>
      <c r="L42" s="43"/>
      <c r="M42" s="43">
        <f t="shared" si="20"/>
        <v>0</v>
      </c>
      <c r="O42" s="44">
        <v>0.05</v>
      </c>
      <c r="P42" s="44">
        <f t="shared" si="21"/>
        <v>0</v>
      </c>
      <c r="Q42" s="45"/>
      <c r="R42" s="35">
        <v>5</v>
      </c>
      <c r="S42" s="35">
        <f t="shared" si="22"/>
        <v>50</v>
      </c>
      <c r="T42" s="35">
        <f t="shared" si="23"/>
        <v>55</v>
      </c>
      <c r="U42" s="43">
        <f t="shared" si="24"/>
        <v>0</v>
      </c>
      <c r="V42" s="43">
        <f t="shared" si="25"/>
        <v>0</v>
      </c>
      <c r="W42" s="45"/>
      <c r="X42" s="50">
        <v>49.95</v>
      </c>
      <c r="Y42" s="50">
        <f t="shared" si="26"/>
        <v>0</v>
      </c>
      <c r="AA42" s="51">
        <v>0.72</v>
      </c>
      <c r="AB42" s="51">
        <f t="shared" si="27"/>
        <v>0</v>
      </c>
      <c r="AC42" s="52" t="e">
        <f t="shared" si="28"/>
        <v>#DIV/0!</v>
      </c>
      <c r="AD42" s="50">
        <f t="shared" si="29"/>
        <v>0</v>
      </c>
    </row>
    <row r="43" spans="1:30" ht="26" x14ac:dyDescent="0.35">
      <c r="A43" s="144" t="s">
        <v>558</v>
      </c>
      <c r="B43" s="144" t="s">
        <v>558</v>
      </c>
      <c r="C43" s="144" t="s">
        <v>559</v>
      </c>
      <c r="D43" s="145" t="s">
        <v>86</v>
      </c>
      <c r="E43" s="48">
        <v>25</v>
      </c>
      <c r="F43" s="35">
        <v>915</v>
      </c>
      <c r="G43" s="35">
        <v>10</v>
      </c>
      <c r="H43" s="35">
        <v>50</v>
      </c>
      <c r="I43" s="146" t="s">
        <v>560</v>
      </c>
      <c r="J43" s="149" t="s">
        <v>561</v>
      </c>
      <c r="K43" s="147">
        <v>3917.22</v>
      </c>
      <c r="L43" s="43"/>
      <c r="M43" s="43">
        <f t="shared" si="20"/>
        <v>0</v>
      </c>
      <c r="O43" s="44">
        <v>0.06</v>
      </c>
      <c r="P43" s="44">
        <f t="shared" si="21"/>
        <v>0</v>
      </c>
      <c r="Q43" s="45"/>
      <c r="R43" s="35">
        <v>5</v>
      </c>
      <c r="S43" s="35">
        <f t="shared" si="22"/>
        <v>50</v>
      </c>
      <c r="T43" s="35">
        <f t="shared" si="23"/>
        <v>55</v>
      </c>
      <c r="U43" s="43">
        <f t="shared" si="24"/>
        <v>0</v>
      </c>
      <c r="V43" s="43">
        <f t="shared" si="25"/>
        <v>0</v>
      </c>
      <c r="W43" s="45"/>
      <c r="X43" s="50">
        <v>59.4</v>
      </c>
      <c r="Y43" s="50">
        <f t="shared" si="26"/>
        <v>0</v>
      </c>
      <c r="AA43" s="51">
        <v>0.83</v>
      </c>
      <c r="AB43" s="51">
        <f t="shared" si="27"/>
        <v>0</v>
      </c>
      <c r="AC43" s="52" t="e">
        <f t="shared" si="28"/>
        <v>#DIV/0!</v>
      </c>
      <c r="AD43" s="50">
        <f t="shared" si="29"/>
        <v>0</v>
      </c>
    </row>
    <row r="44" spans="1:30" ht="26" x14ac:dyDescent="0.35">
      <c r="A44" s="82">
        <v>90443800</v>
      </c>
      <c r="B44" s="82" t="s">
        <v>562</v>
      </c>
      <c r="C44" s="82" t="s">
        <v>559</v>
      </c>
      <c r="D44" s="21" t="s">
        <v>86</v>
      </c>
      <c r="E44" s="48" t="s">
        <v>325</v>
      </c>
      <c r="F44" s="35">
        <v>900</v>
      </c>
      <c r="G44" s="35">
        <v>10</v>
      </c>
      <c r="H44" s="35">
        <v>50</v>
      </c>
      <c r="I44" s="146" t="s">
        <v>563</v>
      </c>
      <c r="J44" s="149" t="s">
        <v>564</v>
      </c>
      <c r="K44" s="147">
        <v>3917.22</v>
      </c>
      <c r="L44" s="43"/>
      <c r="M44" s="43">
        <f t="shared" si="20"/>
        <v>0</v>
      </c>
      <c r="O44" s="44">
        <v>0.06</v>
      </c>
      <c r="P44" s="44">
        <f t="shared" si="21"/>
        <v>0</v>
      </c>
      <c r="Q44" s="45"/>
      <c r="R44" s="35">
        <v>5</v>
      </c>
      <c r="S44" s="35">
        <f t="shared" si="22"/>
        <v>50</v>
      </c>
      <c r="T44" s="35">
        <f t="shared" si="23"/>
        <v>55</v>
      </c>
      <c r="U44" s="43">
        <f t="shared" si="24"/>
        <v>0</v>
      </c>
      <c r="V44" s="43">
        <f t="shared" si="25"/>
        <v>0</v>
      </c>
      <c r="W44" s="45"/>
      <c r="X44" s="50">
        <v>59.4</v>
      </c>
      <c r="Y44" s="50">
        <f t="shared" si="26"/>
        <v>0</v>
      </c>
      <c r="AA44" s="51">
        <v>0.86</v>
      </c>
      <c r="AB44" s="51">
        <f t="shared" si="27"/>
        <v>0</v>
      </c>
      <c r="AC44" s="52" t="e">
        <f t="shared" si="28"/>
        <v>#DIV/0!</v>
      </c>
      <c r="AD44" s="50">
        <f t="shared" si="29"/>
        <v>0</v>
      </c>
    </row>
    <row r="45" spans="1:30" ht="26" x14ac:dyDescent="0.35">
      <c r="A45" s="144" t="s">
        <v>565</v>
      </c>
      <c r="B45" s="144" t="s">
        <v>565</v>
      </c>
      <c r="C45" s="144" t="s">
        <v>566</v>
      </c>
      <c r="D45" s="145" t="s">
        <v>86</v>
      </c>
      <c r="E45" s="48">
        <v>25</v>
      </c>
      <c r="F45" s="35">
        <v>1220</v>
      </c>
      <c r="G45" s="35">
        <v>10</v>
      </c>
      <c r="H45" s="35">
        <v>50</v>
      </c>
      <c r="I45" s="146" t="s">
        <v>567</v>
      </c>
      <c r="J45" s="149" t="s">
        <v>568</v>
      </c>
      <c r="K45" s="147">
        <v>3917.22</v>
      </c>
      <c r="L45" s="43"/>
      <c r="M45" s="43">
        <f t="shared" si="20"/>
        <v>0</v>
      </c>
      <c r="O45" s="44">
        <v>0.08</v>
      </c>
      <c r="P45" s="44">
        <f t="shared" si="21"/>
        <v>0</v>
      </c>
      <c r="Q45" s="45"/>
      <c r="R45" s="35">
        <v>5</v>
      </c>
      <c r="S45" s="35">
        <f t="shared" si="22"/>
        <v>50</v>
      </c>
      <c r="T45" s="35">
        <f t="shared" si="23"/>
        <v>55</v>
      </c>
      <c r="U45" s="43">
        <f t="shared" si="24"/>
        <v>0</v>
      </c>
      <c r="V45" s="43">
        <f t="shared" si="25"/>
        <v>0</v>
      </c>
      <c r="W45" s="45"/>
      <c r="X45" s="50">
        <v>77.760000000000005</v>
      </c>
      <c r="Y45" s="50">
        <f t="shared" si="26"/>
        <v>0</v>
      </c>
      <c r="AA45" s="51">
        <v>1.1000000000000001</v>
      </c>
      <c r="AB45" s="51">
        <f t="shared" si="27"/>
        <v>0</v>
      </c>
      <c r="AC45" s="52" t="e">
        <f t="shared" si="28"/>
        <v>#DIV/0!</v>
      </c>
      <c r="AD45" s="50">
        <f t="shared" si="29"/>
        <v>0</v>
      </c>
    </row>
    <row r="46" spans="1:30" ht="26" x14ac:dyDescent="0.35">
      <c r="A46" s="159">
        <v>90444000</v>
      </c>
      <c r="B46" s="159" t="s">
        <v>569</v>
      </c>
      <c r="C46" s="159" t="s">
        <v>566</v>
      </c>
      <c r="D46" s="160" t="s">
        <v>86</v>
      </c>
      <c r="E46" s="48" t="s">
        <v>325</v>
      </c>
      <c r="F46" s="35">
        <v>1200</v>
      </c>
      <c r="G46" s="35">
        <v>10</v>
      </c>
      <c r="H46" s="35">
        <v>50</v>
      </c>
      <c r="I46" s="146" t="s">
        <v>570</v>
      </c>
      <c r="J46" s="149" t="s">
        <v>571</v>
      </c>
      <c r="K46" s="147">
        <v>3917.22</v>
      </c>
      <c r="L46" s="43"/>
      <c r="M46" s="43">
        <f t="shared" si="20"/>
        <v>0</v>
      </c>
      <c r="O46" s="44">
        <v>0.08</v>
      </c>
      <c r="P46" s="44">
        <f t="shared" si="21"/>
        <v>0</v>
      </c>
      <c r="Q46" s="45"/>
      <c r="R46" s="35">
        <v>5</v>
      </c>
      <c r="S46" s="35">
        <f t="shared" si="22"/>
        <v>50</v>
      </c>
      <c r="T46" s="35">
        <f t="shared" si="23"/>
        <v>55</v>
      </c>
      <c r="U46" s="43">
        <f t="shared" si="24"/>
        <v>0</v>
      </c>
      <c r="V46" s="43">
        <f t="shared" si="25"/>
        <v>0</v>
      </c>
      <c r="W46" s="45"/>
      <c r="X46" s="50">
        <v>77.760000000000005</v>
      </c>
      <c r="Y46" s="50">
        <f t="shared" si="26"/>
        <v>0</v>
      </c>
      <c r="AA46" s="51">
        <v>1.1299999999999999</v>
      </c>
      <c r="AB46" s="51">
        <f t="shared" si="27"/>
        <v>0</v>
      </c>
      <c r="AC46" s="52" t="e">
        <f t="shared" si="28"/>
        <v>#DIV/0!</v>
      </c>
      <c r="AD46" s="50">
        <f t="shared" si="29"/>
        <v>0</v>
      </c>
    </row>
    <row r="47" spans="1:30" ht="26" x14ac:dyDescent="0.35">
      <c r="A47" s="144" t="s">
        <v>572</v>
      </c>
      <c r="B47" s="144" t="s">
        <v>572</v>
      </c>
      <c r="C47" s="144" t="s">
        <v>573</v>
      </c>
      <c r="D47" s="145" t="s">
        <v>86</v>
      </c>
      <c r="E47" s="48">
        <v>25</v>
      </c>
      <c r="F47" s="48">
        <v>1500</v>
      </c>
      <c r="G47" s="48">
        <v>10</v>
      </c>
      <c r="H47" s="48">
        <v>50</v>
      </c>
      <c r="I47" s="146" t="s">
        <v>574</v>
      </c>
      <c r="J47" s="118" t="s">
        <v>575</v>
      </c>
      <c r="K47" s="147">
        <v>3917.22</v>
      </c>
      <c r="L47" s="43"/>
      <c r="M47" s="43">
        <f t="shared" si="20"/>
        <v>0</v>
      </c>
      <c r="O47" s="44">
        <v>0.11</v>
      </c>
      <c r="P47" s="44">
        <f t="shared" si="21"/>
        <v>0</v>
      </c>
      <c r="Q47" s="45"/>
      <c r="R47" s="35">
        <v>5</v>
      </c>
      <c r="S47" s="35">
        <f t="shared" si="22"/>
        <v>50</v>
      </c>
      <c r="T47" s="35">
        <f t="shared" si="23"/>
        <v>55</v>
      </c>
      <c r="U47" s="43">
        <f t="shared" si="24"/>
        <v>0</v>
      </c>
      <c r="V47" s="43">
        <f t="shared" si="25"/>
        <v>0</v>
      </c>
      <c r="W47" s="45"/>
      <c r="X47" s="50">
        <v>103.5</v>
      </c>
      <c r="Y47" s="50">
        <f t="shared" si="26"/>
        <v>0</v>
      </c>
      <c r="AA47" s="51">
        <v>1.44</v>
      </c>
      <c r="AB47" s="51">
        <f t="shared" si="27"/>
        <v>0</v>
      </c>
      <c r="AC47" s="52" t="e">
        <f t="shared" si="28"/>
        <v>#DIV/0!</v>
      </c>
      <c r="AD47" s="50">
        <f t="shared" si="29"/>
        <v>0</v>
      </c>
    </row>
    <row r="48" spans="1:30" ht="26" x14ac:dyDescent="0.35">
      <c r="A48" s="144" t="s">
        <v>576</v>
      </c>
      <c r="B48" s="144" t="s">
        <v>576</v>
      </c>
      <c r="C48" s="144" t="s">
        <v>577</v>
      </c>
      <c r="D48" s="145" t="s">
        <v>86</v>
      </c>
      <c r="E48" s="48">
        <v>25</v>
      </c>
      <c r="F48" s="48">
        <v>1650</v>
      </c>
      <c r="G48" s="48">
        <v>10</v>
      </c>
      <c r="H48" s="48">
        <v>50</v>
      </c>
      <c r="I48" s="146" t="s">
        <v>578</v>
      </c>
      <c r="J48" s="118" t="s">
        <v>579</v>
      </c>
      <c r="K48" s="147">
        <v>3917.22</v>
      </c>
      <c r="L48" s="43"/>
      <c r="M48" s="43">
        <f t="shared" si="20"/>
        <v>0</v>
      </c>
      <c r="O48" s="44">
        <v>0.11</v>
      </c>
      <c r="P48" s="44">
        <f t="shared" si="21"/>
        <v>0</v>
      </c>
      <c r="Q48" s="45"/>
      <c r="R48" s="35">
        <v>5</v>
      </c>
      <c r="S48" s="35">
        <f t="shared" si="22"/>
        <v>50</v>
      </c>
      <c r="T48" s="35">
        <f t="shared" si="23"/>
        <v>55</v>
      </c>
      <c r="U48" s="43">
        <f t="shared" si="24"/>
        <v>0</v>
      </c>
      <c r="V48" s="43">
        <f t="shared" si="25"/>
        <v>0</v>
      </c>
      <c r="W48" s="45"/>
      <c r="X48" s="50">
        <v>103.5</v>
      </c>
      <c r="Y48" s="50">
        <f t="shared" si="26"/>
        <v>0</v>
      </c>
      <c r="AA48" s="51">
        <v>1.44</v>
      </c>
      <c r="AB48" s="51">
        <f t="shared" si="27"/>
        <v>0</v>
      </c>
      <c r="AC48" s="52" t="e">
        <f t="shared" si="28"/>
        <v>#DIV/0!</v>
      </c>
      <c r="AD48" s="50">
        <f t="shared" si="29"/>
        <v>0</v>
      </c>
    </row>
    <row r="49" spans="1:30" ht="26" x14ac:dyDescent="0.35">
      <c r="A49" s="144" t="s">
        <v>580</v>
      </c>
      <c r="B49" s="144" t="s">
        <v>580</v>
      </c>
      <c r="C49" s="144" t="s">
        <v>581</v>
      </c>
      <c r="D49" s="145" t="s">
        <v>86</v>
      </c>
      <c r="E49" s="48">
        <v>25</v>
      </c>
      <c r="F49" s="48">
        <v>1800</v>
      </c>
      <c r="G49" s="48">
        <v>10</v>
      </c>
      <c r="H49" s="48">
        <v>50</v>
      </c>
      <c r="I49" s="146" t="s">
        <v>582</v>
      </c>
      <c r="J49" s="118" t="s">
        <v>583</v>
      </c>
      <c r="K49" s="147">
        <v>3917.22</v>
      </c>
      <c r="L49" s="43"/>
      <c r="M49" s="43">
        <f t="shared" si="20"/>
        <v>0</v>
      </c>
      <c r="O49" s="44">
        <v>0.12</v>
      </c>
      <c r="P49" s="44">
        <f t="shared" si="21"/>
        <v>0</v>
      </c>
      <c r="Q49" s="45"/>
      <c r="R49" s="35">
        <v>5</v>
      </c>
      <c r="S49" s="35">
        <f t="shared" si="22"/>
        <v>50</v>
      </c>
      <c r="T49" s="35">
        <f t="shared" si="23"/>
        <v>55</v>
      </c>
      <c r="U49" s="43">
        <f t="shared" si="24"/>
        <v>0</v>
      </c>
      <c r="V49" s="43">
        <f t="shared" si="25"/>
        <v>0</v>
      </c>
      <c r="W49" s="45"/>
      <c r="X49" s="50">
        <v>112.5</v>
      </c>
      <c r="Y49" s="50">
        <f t="shared" si="26"/>
        <v>0</v>
      </c>
      <c r="AA49" s="51">
        <v>1.57</v>
      </c>
      <c r="AB49" s="51">
        <f t="shared" si="27"/>
        <v>0</v>
      </c>
      <c r="AC49" s="52" t="e">
        <f t="shared" si="28"/>
        <v>#DIV/0!</v>
      </c>
      <c r="AD49" s="50">
        <f t="shared" si="29"/>
        <v>0</v>
      </c>
    </row>
    <row r="50" spans="1:30" ht="25.5" customHeight="1" x14ac:dyDescent="0.35">
      <c r="A50" s="82">
        <v>90443900</v>
      </c>
      <c r="B50" s="82" t="s">
        <v>584</v>
      </c>
      <c r="C50" s="82" t="s">
        <v>581</v>
      </c>
      <c r="D50" s="21" t="s">
        <v>86</v>
      </c>
      <c r="E50" s="48" t="s">
        <v>325</v>
      </c>
      <c r="F50" s="48">
        <v>1800</v>
      </c>
      <c r="G50" s="48">
        <v>10</v>
      </c>
      <c r="H50" s="48">
        <v>50</v>
      </c>
      <c r="I50" s="146" t="s">
        <v>585</v>
      </c>
      <c r="J50" s="118" t="s">
        <v>586</v>
      </c>
      <c r="K50" s="147">
        <v>3917.22</v>
      </c>
      <c r="L50" s="43"/>
      <c r="M50" s="43">
        <f t="shared" si="20"/>
        <v>0</v>
      </c>
      <c r="O50" s="44">
        <v>0.12</v>
      </c>
      <c r="P50" s="44">
        <f t="shared" si="21"/>
        <v>0</v>
      </c>
      <c r="Q50" s="45"/>
      <c r="R50" s="35">
        <v>5</v>
      </c>
      <c r="S50" s="35">
        <f t="shared" si="22"/>
        <v>50</v>
      </c>
      <c r="T50" s="35">
        <f t="shared" si="23"/>
        <v>55</v>
      </c>
      <c r="U50" s="43">
        <f t="shared" si="24"/>
        <v>0</v>
      </c>
      <c r="V50" s="43">
        <f t="shared" si="25"/>
        <v>0</v>
      </c>
      <c r="W50" s="45"/>
      <c r="X50" s="50">
        <v>112.5</v>
      </c>
      <c r="Y50" s="50">
        <f t="shared" si="26"/>
        <v>0</v>
      </c>
      <c r="AA50" s="51">
        <v>1.66</v>
      </c>
      <c r="AB50" s="51">
        <f t="shared" si="27"/>
        <v>0</v>
      </c>
      <c r="AC50" s="52" t="e">
        <f t="shared" si="28"/>
        <v>#DIV/0!</v>
      </c>
      <c r="AD50" s="50">
        <f t="shared" si="29"/>
        <v>0</v>
      </c>
    </row>
    <row r="51" spans="1:30" ht="25.5" customHeight="1" x14ac:dyDescent="0.35">
      <c r="A51" s="82">
        <v>90443000</v>
      </c>
      <c r="B51" s="82" t="s">
        <v>587</v>
      </c>
      <c r="C51" s="82" t="s">
        <v>588</v>
      </c>
      <c r="D51" s="21" t="s">
        <v>86</v>
      </c>
      <c r="E51" s="48" t="s">
        <v>325</v>
      </c>
      <c r="F51" s="48">
        <v>2100</v>
      </c>
      <c r="G51" s="48">
        <v>10</v>
      </c>
      <c r="H51" s="48">
        <v>50</v>
      </c>
      <c r="I51" s="146" t="s">
        <v>589</v>
      </c>
      <c r="J51" s="118" t="s">
        <v>590</v>
      </c>
      <c r="K51" s="147">
        <v>3917.22</v>
      </c>
      <c r="L51" s="43"/>
      <c r="M51" s="43">
        <f t="shared" si="20"/>
        <v>0</v>
      </c>
      <c r="O51" s="44">
        <v>0.14000000000000001</v>
      </c>
      <c r="P51" s="44">
        <f t="shared" si="21"/>
        <v>0</v>
      </c>
      <c r="Q51" s="45"/>
      <c r="R51" s="35">
        <v>5</v>
      </c>
      <c r="S51" s="35">
        <f t="shared" si="22"/>
        <v>50</v>
      </c>
      <c r="T51" s="35">
        <f t="shared" si="23"/>
        <v>55</v>
      </c>
      <c r="U51" s="43">
        <f t="shared" si="24"/>
        <v>0</v>
      </c>
      <c r="V51" s="43">
        <f t="shared" si="25"/>
        <v>0</v>
      </c>
      <c r="W51" s="45"/>
      <c r="X51" s="50">
        <v>130.94999999999999</v>
      </c>
      <c r="Y51" s="50">
        <f t="shared" si="26"/>
        <v>0</v>
      </c>
      <c r="AA51" s="51">
        <v>1.99</v>
      </c>
      <c r="AB51" s="51">
        <f t="shared" si="27"/>
        <v>0</v>
      </c>
      <c r="AC51" s="52" t="e">
        <f t="shared" si="28"/>
        <v>#DIV/0!</v>
      </c>
      <c r="AD51" s="50">
        <f t="shared" si="29"/>
        <v>0</v>
      </c>
    </row>
    <row r="52" spans="1:30" ht="13" x14ac:dyDescent="0.35">
      <c r="A52" s="161" t="s">
        <v>591</v>
      </c>
      <c r="B52" s="161" t="s">
        <v>591</v>
      </c>
      <c r="C52" s="161" t="s">
        <v>591</v>
      </c>
      <c r="D52" s="162"/>
      <c r="E52" s="30"/>
      <c r="F52" s="21"/>
      <c r="G52" s="35"/>
      <c r="H52" s="35"/>
      <c r="I52" s="43"/>
      <c r="J52" s="35"/>
      <c r="K52" s="35"/>
      <c r="L52" s="43"/>
      <c r="M52" s="43"/>
      <c r="O52" s="43"/>
      <c r="P52" s="44"/>
      <c r="Q52" s="45"/>
      <c r="R52" s="35"/>
      <c r="S52" s="35"/>
      <c r="T52" s="35"/>
      <c r="U52" s="43"/>
      <c r="V52" s="43"/>
      <c r="W52" s="45"/>
      <c r="X52" s="50"/>
      <c r="Y52" s="50"/>
      <c r="AA52" s="51"/>
      <c r="AB52" s="51"/>
      <c r="AC52" s="52"/>
      <c r="AD52" s="50"/>
    </row>
    <row r="53" spans="1:30" ht="26" x14ac:dyDescent="0.35">
      <c r="A53" s="144" t="s">
        <v>592</v>
      </c>
      <c r="B53" s="144" t="s">
        <v>592</v>
      </c>
      <c r="C53" s="144" t="s">
        <v>593</v>
      </c>
      <c r="D53" s="145" t="s">
        <v>86</v>
      </c>
      <c r="E53" s="48">
        <v>32</v>
      </c>
      <c r="F53" s="48">
        <v>100</v>
      </c>
      <c r="G53" s="48">
        <v>10</v>
      </c>
      <c r="H53" s="48">
        <v>300</v>
      </c>
      <c r="I53" s="146" t="s">
        <v>594</v>
      </c>
      <c r="J53" s="118" t="s">
        <v>595</v>
      </c>
      <c r="K53" s="147">
        <v>3917.22</v>
      </c>
      <c r="L53" s="43"/>
      <c r="M53" s="43">
        <f t="shared" ref="M53:M67" si="30">$L53/$H53</f>
        <v>0</v>
      </c>
      <c r="O53" s="44">
        <v>0.09</v>
      </c>
      <c r="P53" s="44">
        <f t="shared" ref="P53:P67" si="31">$M53*$O53</f>
        <v>0</v>
      </c>
      <c r="Q53" s="45"/>
      <c r="R53" s="35">
        <f t="shared" ref="R53:S67" si="32">G53</f>
        <v>10</v>
      </c>
      <c r="S53" s="35">
        <f t="shared" si="32"/>
        <v>300</v>
      </c>
      <c r="T53" s="35">
        <f t="shared" ref="T53:T67" si="33">S53+R53</f>
        <v>310</v>
      </c>
      <c r="U53" s="43">
        <f t="shared" ref="U53:U67" si="34">$M53*$T53*1.05</f>
        <v>0</v>
      </c>
      <c r="V53" s="43">
        <f t="shared" ref="V53:V67" si="35">ROUNDUP($U53/125,)</f>
        <v>0</v>
      </c>
      <c r="W53" s="45"/>
      <c r="X53" s="50">
        <v>14.4</v>
      </c>
      <c r="Y53" s="50">
        <f t="shared" ref="Y53:Y67" si="36">X53*$L53</f>
        <v>0</v>
      </c>
      <c r="AA53" s="51">
        <v>0.24</v>
      </c>
      <c r="AB53" s="51">
        <f t="shared" ref="AB53:AB67" si="37">$L53*AA53</f>
        <v>0</v>
      </c>
      <c r="AC53" s="52" t="e">
        <f t="shared" ref="AC53:AC67" si="38">AD53/L53</f>
        <v>#DIV/0!</v>
      </c>
      <c r="AD53" s="50">
        <f t="shared" ref="AD53:AD67" si="39">AB53*$AD$2</f>
        <v>0</v>
      </c>
    </row>
    <row r="54" spans="1:30" ht="26" x14ac:dyDescent="0.35">
      <c r="A54" s="144" t="s">
        <v>596</v>
      </c>
      <c r="B54" s="144" t="s">
        <v>596</v>
      </c>
      <c r="C54" s="144" t="s">
        <v>597</v>
      </c>
      <c r="D54" s="145" t="s">
        <v>86</v>
      </c>
      <c r="E54" s="48">
        <v>32</v>
      </c>
      <c r="F54" s="48">
        <v>150</v>
      </c>
      <c r="G54" s="48">
        <v>10</v>
      </c>
      <c r="H54" s="48">
        <v>300</v>
      </c>
      <c r="I54" s="146" t="s">
        <v>598</v>
      </c>
      <c r="J54" s="118" t="s">
        <v>599</v>
      </c>
      <c r="K54" s="147">
        <v>3917.22</v>
      </c>
      <c r="L54" s="43"/>
      <c r="M54" s="43">
        <f t="shared" si="30"/>
        <v>0</v>
      </c>
      <c r="O54" s="44">
        <v>0.09</v>
      </c>
      <c r="P54" s="44">
        <f t="shared" si="31"/>
        <v>0</v>
      </c>
      <c r="Q54" s="45"/>
      <c r="R54" s="35">
        <f t="shared" si="32"/>
        <v>10</v>
      </c>
      <c r="S54" s="35">
        <f t="shared" si="32"/>
        <v>300</v>
      </c>
      <c r="T54" s="35">
        <f t="shared" si="33"/>
        <v>310</v>
      </c>
      <c r="U54" s="43">
        <f t="shared" si="34"/>
        <v>0</v>
      </c>
      <c r="V54" s="43">
        <f t="shared" si="35"/>
        <v>0</v>
      </c>
      <c r="W54" s="45"/>
      <c r="X54" s="50">
        <v>18.63</v>
      </c>
      <c r="Y54" s="50">
        <f t="shared" si="36"/>
        <v>0</v>
      </c>
      <c r="AA54" s="51">
        <v>0.28000000000000003</v>
      </c>
      <c r="AB54" s="51">
        <f t="shared" si="37"/>
        <v>0</v>
      </c>
      <c r="AC54" s="52" t="e">
        <f t="shared" si="38"/>
        <v>#DIV/0!</v>
      </c>
      <c r="AD54" s="50">
        <f t="shared" si="39"/>
        <v>0</v>
      </c>
    </row>
    <row r="55" spans="1:30" ht="26" x14ac:dyDescent="0.35">
      <c r="A55" s="82">
        <v>90446200</v>
      </c>
      <c r="B55" s="82" t="s">
        <v>600</v>
      </c>
      <c r="C55" s="82" t="s">
        <v>597</v>
      </c>
      <c r="D55" s="21" t="s">
        <v>86</v>
      </c>
      <c r="E55" s="48" t="s">
        <v>601</v>
      </c>
      <c r="F55" s="48">
        <v>150</v>
      </c>
      <c r="G55" s="48">
        <v>10</v>
      </c>
      <c r="H55" s="48">
        <v>300</v>
      </c>
      <c r="I55" s="146" t="s">
        <v>602</v>
      </c>
      <c r="J55" s="118" t="s">
        <v>603</v>
      </c>
      <c r="K55" s="147">
        <v>3917.22</v>
      </c>
      <c r="L55" s="43"/>
      <c r="M55" s="43">
        <f t="shared" si="30"/>
        <v>0</v>
      </c>
      <c r="O55" s="44">
        <v>0.09</v>
      </c>
      <c r="P55" s="44">
        <f t="shared" si="31"/>
        <v>0</v>
      </c>
      <c r="Q55" s="45"/>
      <c r="R55" s="35">
        <f t="shared" si="32"/>
        <v>10</v>
      </c>
      <c r="S55" s="35">
        <f t="shared" si="32"/>
        <v>300</v>
      </c>
      <c r="T55" s="35">
        <f t="shared" si="33"/>
        <v>310</v>
      </c>
      <c r="U55" s="43">
        <f t="shared" si="34"/>
        <v>0</v>
      </c>
      <c r="V55" s="43">
        <f t="shared" si="35"/>
        <v>0</v>
      </c>
      <c r="W55" s="45"/>
      <c r="X55" s="50">
        <v>18.63</v>
      </c>
      <c r="Y55" s="50">
        <f t="shared" si="36"/>
        <v>0</v>
      </c>
      <c r="AA55" s="51">
        <v>0.28999999999999998</v>
      </c>
      <c r="AB55" s="51">
        <f t="shared" si="37"/>
        <v>0</v>
      </c>
      <c r="AC55" s="52" t="e">
        <f t="shared" si="38"/>
        <v>#DIV/0!</v>
      </c>
      <c r="AD55" s="50">
        <f t="shared" si="39"/>
        <v>0</v>
      </c>
    </row>
    <row r="56" spans="1:30" ht="26" x14ac:dyDescent="0.35">
      <c r="A56" s="144" t="s">
        <v>604</v>
      </c>
      <c r="B56" s="144" t="s">
        <v>604</v>
      </c>
      <c r="C56" s="144" t="s">
        <v>605</v>
      </c>
      <c r="D56" s="145" t="s">
        <v>86</v>
      </c>
      <c r="E56" s="48">
        <v>32</v>
      </c>
      <c r="F56" s="48">
        <v>200</v>
      </c>
      <c r="G56" s="48">
        <v>10</v>
      </c>
      <c r="H56" s="48">
        <v>300</v>
      </c>
      <c r="I56" s="146" t="s">
        <v>606</v>
      </c>
      <c r="J56" s="118" t="s">
        <v>607</v>
      </c>
      <c r="K56" s="147">
        <v>3917.22</v>
      </c>
      <c r="L56" s="43"/>
      <c r="M56" s="43">
        <f t="shared" si="30"/>
        <v>0</v>
      </c>
      <c r="O56" s="44">
        <v>0.09</v>
      </c>
      <c r="P56" s="44">
        <f t="shared" si="31"/>
        <v>0</v>
      </c>
      <c r="Q56" s="45"/>
      <c r="R56" s="35">
        <f t="shared" si="32"/>
        <v>10</v>
      </c>
      <c r="S56" s="35">
        <f t="shared" si="32"/>
        <v>300</v>
      </c>
      <c r="T56" s="35">
        <f t="shared" si="33"/>
        <v>310</v>
      </c>
      <c r="U56" s="43">
        <f t="shared" si="34"/>
        <v>0</v>
      </c>
      <c r="V56" s="43">
        <f t="shared" si="35"/>
        <v>0</v>
      </c>
      <c r="W56" s="45"/>
      <c r="X56" s="50">
        <v>22.5</v>
      </c>
      <c r="Y56" s="50">
        <f t="shared" si="36"/>
        <v>0</v>
      </c>
      <c r="AA56" s="51">
        <v>0.33</v>
      </c>
      <c r="AB56" s="51">
        <f t="shared" si="37"/>
        <v>0</v>
      </c>
      <c r="AC56" s="52" t="e">
        <f t="shared" si="38"/>
        <v>#DIV/0!</v>
      </c>
      <c r="AD56" s="50">
        <f t="shared" si="39"/>
        <v>0</v>
      </c>
    </row>
    <row r="57" spans="1:30" ht="26" x14ac:dyDescent="0.35">
      <c r="A57" s="144" t="s">
        <v>608</v>
      </c>
      <c r="B57" s="144" t="s">
        <v>608</v>
      </c>
      <c r="C57" s="144" t="s">
        <v>609</v>
      </c>
      <c r="D57" s="145" t="s">
        <v>86</v>
      </c>
      <c r="E57" s="48">
        <v>32</v>
      </c>
      <c r="F57" s="48">
        <v>300</v>
      </c>
      <c r="G57" s="48">
        <v>10</v>
      </c>
      <c r="H57" s="48">
        <v>150</v>
      </c>
      <c r="I57" s="146" t="s">
        <v>610</v>
      </c>
      <c r="J57" s="118" t="s">
        <v>611</v>
      </c>
      <c r="K57" s="147">
        <v>3917.22</v>
      </c>
      <c r="L57" s="43"/>
      <c r="M57" s="43">
        <f t="shared" si="30"/>
        <v>0</v>
      </c>
      <c r="O57" s="44">
        <v>0.09</v>
      </c>
      <c r="P57" s="44">
        <f t="shared" si="31"/>
        <v>0</v>
      </c>
      <c r="Q57" s="45"/>
      <c r="R57" s="35">
        <f t="shared" si="32"/>
        <v>10</v>
      </c>
      <c r="S57" s="48">
        <f t="shared" si="32"/>
        <v>150</v>
      </c>
      <c r="T57" s="35">
        <f t="shared" si="33"/>
        <v>160</v>
      </c>
      <c r="U57" s="43">
        <f t="shared" si="34"/>
        <v>0</v>
      </c>
      <c r="V57" s="43">
        <f t="shared" si="35"/>
        <v>0</v>
      </c>
      <c r="W57" s="45"/>
      <c r="X57" s="50">
        <v>30.51</v>
      </c>
      <c r="Y57" s="50">
        <f t="shared" si="36"/>
        <v>0</v>
      </c>
      <c r="AA57" s="51">
        <v>0.44</v>
      </c>
      <c r="AB57" s="51">
        <f t="shared" si="37"/>
        <v>0</v>
      </c>
      <c r="AC57" s="52" t="e">
        <f t="shared" si="38"/>
        <v>#DIV/0!</v>
      </c>
      <c r="AD57" s="50">
        <f t="shared" si="39"/>
        <v>0</v>
      </c>
    </row>
    <row r="58" spans="1:30" s="19" customFormat="1" ht="26" x14ac:dyDescent="0.35">
      <c r="A58" s="82">
        <v>90446300</v>
      </c>
      <c r="B58" s="82" t="s">
        <v>612</v>
      </c>
      <c r="C58" s="82" t="s">
        <v>609</v>
      </c>
      <c r="D58" s="21" t="s">
        <v>86</v>
      </c>
      <c r="E58" s="48" t="s">
        <v>601</v>
      </c>
      <c r="F58" s="48">
        <v>300</v>
      </c>
      <c r="G58" s="48">
        <v>10</v>
      </c>
      <c r="H58" s="48">
        <v>150</v>
      </c>
      <c r="I58" s="146" t="s">
        <v>613</v>
      </c>
      <c r="J58" s="118" t="s">
        <v>614</v>
      </c>
      <c r="K58" s="147">
        <v>3917.22</v>
      </c>
      <c r="L58" s="57"/>
      <c r="M58" s="57">
        <f t="shared" si="30"/>
        <v>0</v>
      </c>
      <c r="O58" s="163">
        <v>0.09</v>
      </c>
      <c r="P58" s="163">
        <f t="shared" si="31"/>
        <v>0</v>
      </c>
      <c r="Q58" s="164"/>
      <c r="R58" s="48">
        <f t="shared" si="32"/>
        <v>10</v>
      </c>
      <c r="S58" s="48">
        <f t="shared" si="32"/>
        <v>150</v>
      </c>
      <c r="T58" s="48">
        <f t="shared" si="33"/>
        <v>160</v>
      </c>
      <c r="U58" s="57">
        <f t="shared" si="34"/>
        <v>0</v>
      </c>
      <c r="V58" s="57">
        <f t="shared" si="35"/>
        <v>0</v>
      </c>
      <c r="W58" s="164"/>
      <c r="X58" s="50">
        <v>30.51</v>
      </c>
      <c r="Y58" s="49">
        <f t="shared" si="36"/>
        <v>0</v>
      </c>
      <c r="AA58" s="165">
        <v>0.45</v>
      </c>
      <c r="AB58" s="165">
        <f t="shared" si="37"/>
        <v>0</v>
      </c>
      <c r="AC58" s="52" t="e">
        <f t="shared" si="38"/>
        <v>#DIV/0!</v>
      </c>
      <c r="AD58" s="50">
        <f t="shared" si="39"/>
        <v>0</v>
      </c>
    </row>
    <row r="59" spans="1:30" ht="26" x14ac:dyDescent="0.35">
      <c r="A59" s="144" t="s">
        <v>615</v>
      </c>
      <c r="B59" s="144" t="s">
        <v>615</v>
      </c>
      <c r="C59" s="144" t="s">
        <v>616</v>
      </c>
      <c r="D59" s="145" t="s">
        <v>86</v>
      </c>
      <c r="E59" s="48">
        <v>32</v>
      </c>
      <c r="F59" s="48">
        <v>450</v>
      </c>
      <c r="G59" s="48">
        <v>10</v>
      </c>
      <c r="H59" s="48">
        <v>100</v>
      </c>
      <c r="I59" s="146" t="s">
        <v>617</v>
      </c>
      <c r="J59" s="118" t="s">
        <v>618</v>
      </c>
      <c r="K59" s="147">
        <v>3917.22</v>
      </c>
      <c r="L59" s="43"/>
      <c r="M59" s="43">
        <f t="shared" si="30"/>
        <v>0</v>
      </c>
      <c r="O59" s="44">
        <v>0.09</v>
      </c>
      <c r="P59" s="44">
        <f t="shared" si="31"/>
        <v>0</v>
      </c>
      <c r="Q59" s="45"/>
      <c r="R59" s="35">
        <f t="shared" si="32"/>
        <v>10</v>
      </c>
      <c r="S59" s="48">
        <f t="shared" si="32"/>
        <v>100</v>
      </c>
      <c r="T59" s="35">
        <f t="shared" si="33"/>
        <v>110</v>
      </c>
      <c r="U59" s="43">
        <f t="shared" si="34"/>
        <v>0</v>
      </c>
      <c r="V59" s="43">
        <f t="shared" si="35"/>
        <v>0</v>
      </c>
      <c r="W59" s="45"/>
      <c r="X59" s="50">
        <v>42.48</v>
      </c>
      <c r="Y59" s="50">
        <f t="shared" si="36"/>
        <v>0</v>
      </c>
      <c r="AA59" s="51">
        <v>0.6</v>
      </c>
      <c r="AB59" s="51">
        <f t="shared" si="37"/>
        <v>0</v>
      </c>
      <c r="AC59" s="52" t="e">
        <f t="shared" si="38"/>
        <v>#DIV/0!</v>
      </c>
      <c r="AD59" s="50">
        <f t="shared" si="39"/>
        <v>0</v>
      </c>
    </row>
    <row r="60" spans="1:30" s="19" customFormat="1" ht="26" x14ac:dyDescent="0.35">
      <c r="A60" s="82">
        <v>90446400</v>
      </c>
      <c r="B60" s="82" t="s">
        <v>619</v>
      </c>
      <c r="C60" s="82" t="s">
        <v>616</v>
      </c>
      <c r="D60" s="21" t="s">
        <v>86</v>
      </c>
      <c r="E60" s="48" t="s">
        <v>601</v>
      </c>
      <c r="F60" s="48">
        <v>450</v>
      </c>
      <c r="G60" s="48">
        <v>10</v>
      </c>
      <c r="H60" s="48">
        <v>100</v>
      </c>
      <c r="I60" s="146" t="s">
        <v>620</v>
      </c>
      <c r="J60" s="118" t="s">
        <v>621</v>
      </c>
      <c r="K60" s="147">
        <v>3917.22</v>
      </c>
      <c r="L60" s="57"/>
      <c r="M60" s="57">
        <f t="shared" si="30"/>
        <v>0</v>
      </c>
      <c r="O60" s="163">
        <v>0.09</v>
      </c>
      <c r="P60" s="163">
        <f t="shared" si="31"/>
        <v>0</v>
      </c>
      <c r="Q60" s="164"/>
      <c r="R60" s="48">
        <f t="shared" si="32"/>
        <v>10</v>
      </c>
      <c r="S60" s="48">
        <f t="shared" si="32"/>
        <v>100</v>
      </c>
      <c r="T60" s="48">
        <f t="shared" si="33"/>
        <v>110</v>
      </c>
      <c r="U60" s="57">
        <f t="shared" si="34"/>
        <v>0</v>
      </c>
      <c r="V60" s="57">
        <f t="shared" si="35"/>
        <v>0</v>
      </c>
      <c r="W60" s="164"/>
      <c r="X60" s="50">
        <v>42.48</v>
      </c>
      <c r="Y60" s="49">
        <f t="shared" si="36"/>
        <v>0</v>
      </c>
      <c r="AA60" s="165">
        <v>0.63</v>
      </c>
      <c r="AB60" s="165">
        <f t="shared" si="37"/>
        <v>0</v>
      </c>
      <c r="AC60" s="52" t="e">
        <f t="shared" si="38"/>
        <v>#DIV/0!</v>
      </c>
      <c r="AD60" s="50">
        <f t="shared" si="39"/>
        <v>0</v>
      </c>
    </row>
    <row r="61" spans="1:30" ht="26" x14ac:dyDescent="0.35">
      <c r="A61" s="144" t="s">
        <v>622</v>
      </c>
      <c r="B61" s="144" t="s">
        <v>622</v>
      </c>
      <c r="C61" s="144" t="s">
        <v>623</v>
      </c>
      <c r="D61" s="145" t="s">
        <v>86</v>
      </c>
      <c r="E61" s="48">
        <v>32</v>
      </c>
      <c r="F61" s="48">
        <v>600</v>
      </c>
      <c r="G61" s="48">
        <v>10</v>
      </c>
      <c r="H61" s="48">
        <v>100</v>
      </c>
      <c r="I61" s="146" t="s">
        <v>624</v>
      </c>
      <c r="J61" s="118" t="s">
        <v>625</v>
      </c>
      <c r="K61" s="147">
        <v>3917.22</v>
      </c>
      <c r="L61" s="43"/>
      <c r="M61" s="43">
        <f t="shared" si="30"/>
        <v>0</v>
      </c>
      <c r="O61" s="44">
        <v>0.12</v>
      </c>
      <c r="P61" s="44">
        <f t="shared" si="31"/>
        <v>0</v>
      </c>
      <c r="Q61" s="45"/>
      <c r="R61" s="35">
        <f t="shared" si="32"/>
        <v>10</v>
      </c>
      <c r="S61" s="48">
        <f t="shared" si="32"/>
        <v>100</v>
      </c>
      <c r="T61" s="35">
        <f t="shared" si="33"/>
        <v>110</v>
      </c>
      <c r="U61" s="43">
        <f t="shared" si="34"/>
        <v>0</v>
      </c>
      <c r="V61" s="43">
        <f t="shared" si="35"/>
        <v>0</v>
      </c>
      <c r="W61" s="45"/>
      <c r="X61" s="50">
        <v>54.45</v>
      </c>
      <c r="Y61" s="50">
        <f t="shared" si="36"/>
        <v>0</v>
      </c>
      <c r="AA61" s="51">
        <v>0.76</v>
      </c>
      <c r="AB61" s="51">
        <f t="shared" si="37"/>
        <v>0</v>
      </c>
      <c r="AC61" s="52" t="e">
        <f t="shared" si="38"/>
        <v>#DIV/0!</v>
      </c>
      <c r="AD61" s="50">
        <f t="shared" si="39"/>
        <v>0</v>
      </c>
    </row>
    <row r="62" spans="1:30" s="19" customFormat="1" ht="26" x14ac:dyDescent="0.35">
      <c r="A62" s="82">
        <v>90446600</v>
      </c>
      <c r="B62" s="82" t="s">
        <v>626</v>
      </c>
      <c r="C62" s="82" t="s">
        <v>623</v>
      </c>
      <c r="D62" s="21" t="s">
        <v>86</v>
      </c>
      <c r="E62" s="48" t="s">
        <v>601</v>
      </c>
      <c r="F62" s="48">
        <v>600</v>
      </c>
      <c r="G62" s="48">
        <v>10</v>
      </c>
      <c r="H62" s="48">
        <v>100</v>
      </c>
      <c r="I62" s="146" t="s">
        <v>627</v>
      </c>
      <c r="J62" s="118" t="s">
        <v>628</v>
      </c>
      <c r="K62" s="147">
        <v>3917.22</v>
      </c>
      <c r="L62" s="57"/>
      <c r="M62" s="57">
        <f t="shared" si="30"/>
        <v>0</v>
      </c>
      <c r="O62" s="163">
        <v>0.12</v>
      </c>
      <c r="P62" s="163">
        <f t="shared" si="31"/>
        <v>0</v>
      </c>
      <c r="Q62" s="164"/>
      <c r="R62" s="48">
        <f t="shared" si="32"/>
        <v>10</v>
      </c>
      <c r="S62" s="48">
        <f t="shared" si="32"/>
        <v>100</v>
      </c>
      <c r="T62" s="48">
        <f t="shared" si="33"/>
        <v>110</v>
      </c>
      <c r="U62" s="57">
        <f t="shared" si="34"/>
        <v>0</v>
      </c>
      <c r="V62" s="57">
        <f t="shared" si="35"/>
        <v>0</v>
      </c>
      <c r="W62" s="164"/>
      <c r="X62" s="50">
        <v>54.45</v>
      </c>
      <c r="Y62" s="49">
        <f t="shared" si="36"/>
        <v>0</v>
      </c>
      <c r="AA62" s="165">
        <v>0.8</v>
      </c>
      <c r="AB62" s="165">
        <f t="shared" si="37"/>
        <v>0</v>
      </c>
      <c r="AC62" s="52" t="e">
        <f t="shared" si="38"/>
        <v>#DIV/0!</v>
      </c>
      <c r="AD62" s="50">
        <f t="shared" si="39"/>
        <v>0</v>
      </c>
    </row>
    <row r="63" spans="1:30" ht="26" x14ac:dyDescent="0.35">
      <c r="A63" s="144" t="s">
        <v>629</v>
      </c>
      <c r="B63" s="144" t="s">
        <v>629</v>
      </c>
      <c r="C63" s="144" t="s">
        <v>630</v>
      </c>
      <c r="D63" s="145" t="s">
        <v>86</v>
      </c>
      <c r="E63" s="48">
        <v>32</v>
      </c>
      <c r="F63" s="48">
        <v>750</v>
      </c>
      <c r="G63" s="48">
        <v>10</v>
      </c>
      <c r="H63" s="48">
        <v>60</v>
      </c>
      <c r="I63" s="146" t="s">
        <v>631</v>
      </c>
      <c r="J63" s="118" t="s">
        <v>632</v>
      </c>
      <c r="K63" s="147">
        <v>3917.22</v>
      </c>
      <c r="L63" s="43"/>
      <c r="M63" s="43">
        <f t="shared" si="30"/>
        <v>0</v>
      </c>
      <c r="O63" s="44">
        <v>0.09</v>
      </c>
      <c r="P63" s="44">
        <f t="shared" si="31"/>
        <v>0</v>
      </c>
      <c r="Q63" s="45"/>
      <c r="R63" s="35">
        <f t="shared" si="32"/>
        <v>10</v>
      </c>
      <c r="S63" s="48">
        <f t="shared" si="32"/>
        <v>60</v>
      </c>
      <c r="T63" s="35">
        <f t="shared" si="33"/>
        <v>70</v>
      </c>
      <c r="U63" s="43">
        <f t="shared" si="34"/>
        <v>0</v>
      </c>
      <c r="V63" s="43">
        <f t="shared" si="35"/>
        <v>0</v>
      </c>
      <c r="W63" s="45"/>
      <c r="X63" s="50">
        <v>66.33</v>
      </c>
      <c r="Y63" s="50">
        <f t="shared" si="36"/>
        <v>0</v>
      </c>
      <c r="AA63" s="51">
        <v>0.93</v>
      </c>
      <c r="AB63" s="51">
        <f t="shared" si="37"/>
        <v>0</v>
      </c>
      <c r="AC63" s="52" t="e">
        <f t="shared" si="38"/>
        <v>#DIV/0!</v>
      </c>
      <c r="AD63" s="50">
        <f t="shared" si="39"/>
        <v>0</v>
      </c>
    </row>
    <row r="64" spans="1:30" ht="26" x14ac:dyDescent="0.35">
      <c r="A64" s="144" t="s">
        <v>633</v>
      </c>
      <c r="B64" s="144" t="s">
        <v>633</v>
      </c>
      <c r="C64" s="144" t="s">
        <v>634</v>
      </c>
      <c r="D64" s="145" t="s">
        <v>86</v>
      </c>
      <c r="E64" s="48">
        <v>32</v>
      </c>
      <c r="F64" s="48">
        <v>900</v>
      </c>
      <c r="G64" s="48">
        <v>10</v>
      </c>
      <c r="H64" s="48">
        <v>50</v>
      </c>
      <c r="I64" s="146" t="s">
        <v>635</v>
      </c>
      <c r="J64" s="118" t="s">
        <v>636</v>
      </c>
      <c r="K64" s="147">
        <v>3917.22</v>
      </c>
      <c r="L64" s="43"/>
      <c r="M64" s="43">
        <f t="shared" si="30"/>
        <v>0</v>
      </c>
      <c r="O64" s="44">
        <v>0.09</v>
      </c>
      <c r="P64" s="44">
        <f t="shared" si="31"/>
        <v>0</v>
      </c>
      <c r="Q64" s="45"/>
      <c r="R64" s="35">
        <f t="shared" si="32"/>
        <v>10</v>
      </c>
      <c r="S64" s="48">
        <f t="shared" si="32"/>
        <v>50</v>
      </c>
      <c r="T64" s="35">
        <f t="shared" si="33"/>
        <v>60</v>
      </c>
      <c r="U64" s="43">
        <f t="shared" si="34"/>
        <v>0</v>
      </c>
      <c r="V64" s="43">
        <f t="shared" si="35"/>
        <v>0</v>
      </c>
      <c r="W64" s="45"/>
      <c r="X64" s="50">
        <v>78.209999999999994</v>
      </c>
      <c r="Y64" s="50">
        <f t="shared" si="36"/>
        <v>0</v>
      </c>
      <c r="AA64" s="51">
        <v>1.08</v>
      </c>
      <c r="AB64" s="51">
        <f t="shared" si="37"/>
        <v>0</v>
      </c>
      <c r="AC64" s="52" t="e">
        <f t="shared" si="38"/>
        <v>#DIV/0!</v>
      </c>
      <c r="AD64" s="50">
        <f t="shared" si="39"/>
        <v>0</v>
      </c>
    </row>
    <row r="65" spans="1:30" ht="26" x14ac:dyDescent="0.35">
      <c r="A65" s="82">
        <v>90446700</v>
      </c>
      <c r="B65" s="82" t="s">
        <v>637</v>
      </c>
      <c r="C65" s="82" t="s">
        <v>634</v>
      </c>
      <c r="D65" s="21" t="s">
        <v>86</v>
      </c>
      <c r="E65" s="48" t="s">
        <v>601</v>
      </c>
      <c r="F65" s="48">
        <v>900</v>
      </c>
      <c r="G65" s="48">
        <v>10</v>
      </c>
      <c r="H65" s="48">
        <v>50</v>
      </c>
      <c r="I65" s="146" t="s">
        <v>638</v>
      </c>
      <c r="J65" s="118" t="s">
        <v>639</v>
      </c>
      <c r="K65" s="147">
        <v>3917.22</v>
      </c>
      <c r="L65" s="43"/>
      <c r="M65" s="43">
        <f t="shared" si="30"/>
        <v>0</v>
      </c>
      <c r="O65" s="44">
        <v>0.09</v>
      </c>
      <c r="P65" s="44">
        <f t="shared" si="31"/>
        <v>0</v>
      </c>
      <c r="Q65" s="45"/>
      <c r="R65" s="35">
        <f t="shared" si="32"/>
        <v>10</v>
      </c>
      <c r="S65" s="48">
        <f t="shared" si="32"/>
        <v>50</v>
      </c>
      <c r="T65" s="35">
        <f t="shared" si="33"/>
        <v>60</v>
      </c>
      <c r="U65" s="43">
        <f t="shared" si="34"/>
        <v>0</v>
      </c>
      <c r="V65" s="43">
        <f t="shared" si="35"/>
        <v>0</v>
      </c>
      <c r="W65" s="45"/>
      <c r="X65" s="50">
        <v>78.209999999999994</v>
      </c>
      <c r="Y65" s="50">
        <f t="shared" si="36"/>
        <v>0</v>
      </c>
      <c r="AA65" s="51">
        <v>1.1499999999999999</v>
      </c>
      <c r="AB65" s="51">
        <f t="shared" si="37"/>
        <v>0</v>
      </c>
      <c r="AC65" s="52" t="e">
        <f t="shared" si="38"/>
        <v>#DIV/0!</v>
      </c>
      <c r="AD65" s="50">
        <f t="shared" si="39"/>
        <v>0</v>
      </c>
    </row>
    <row r="66" spans="1:30" ht="26" x14ac:dyDescent="0.35">
      <c r="A66" s="144" t="s">
        <v>640</v>
      </c>
      <c r="B66" s="144" t="s">
        <v>640</v>
      </c>
      <c r="C66" s="144" t="s">
        <v>641</v>
      </c>
      <c r="D66" s="145" t="s">
        <v>86</v>
      </c>
      <c r="E66" s="48">
        <v>32</v>
      </c>
      <c r="F66" s="48">
        <v>1200</v>
      </c>
      <c r="G66" s="48">
        <v>10</v>
      </c>
      <c r="H66" s="48">
        <v>50</v>
      </c>
      <c r="I66" s="146" t="s">
        <v>642</v>
      </c>
      <c r="J66" s="118" t="s">
        <v>643</v>
      </c>
      <c r="K66" s="147">
        <v>3917.22</v>
      </c>
      <c r="L66" s="43"/>
      <c r="M66" s="43">
        <f t="shared" si="30"/>
        <v>0</v>
      </c>
      <c r="O66" s="44">
        <v>0.12</v>
      </c>
      <c r="P66" s="44">
        <f t="shared" si="31"/>
        <v>0</v>
      </c>
      <c r="Q66" s="45"/>
      <c r="R66" s="35">
        <f t="shared" si="32"/>
        <v>10</v>
      </c>
      <c r="S66" s="48">
        <f t="shared" si="32"/>
        <v>50</v>
      </c>
      <c r="T66" s="48">
        <f t="shared" si="33"/>
        <v>60</v>
      </c>
      <c r="U66" s="43">
        <f t="shared" si="34"/>
        <v>0</v>
      </c>
      <c r="V66" s="43">
        <f t="shared" si="35"/>
        <v>0</v>
      </c>
      <c r="W66" s="45"/>
      <c r="X66" s="50">
        <v>102.05</v>
      </c>
      <c r="Y66" s="50">
        <f t="shared" si="36"/>
        <v>0</v>
      </c>
      <c r="AA66" s="51">
        <v>1.45</v>
      </c>
      <c r="AB66" s="51">
        <f t="shared" si="37"/>
        <v>0</v>
      </c>
      <c r="AC66" s="52" t="e">
        <f t="shared" si="38"/>
        <v>#DIV/0!</v>
      </c>
      <c r="AD66" s="50">
        <f t="shared" si="39"/>
        <v>0</v>
      </c>
    </row>
    <row r="67" spans="1:30" ht="26" x14ac:dyDescent="0.35">
      <c r="A67" s="82">
        <v>90446800</v>
      </c>
      <c r="B67" s="82" t="s">
        <v>644</v>
      </c>
      <c r="C67" s="82" t="s">
        <v>645</v>
      </c>
      <c r="D67" s="21" t="s">
        <v>86</v>
      </c>
      <c r="E67" s="48" t="s">
        <v>601</v>
      </c>
      <c r="F67" s="48">
        <v>1800</v>
      </c>
      <c r="G67" s="48">
        <v>5</v>
      </c>
      <c r="H67" s="48">
        <v>25</v>
      </c>
      <c r="I67" s="146" t="s">
        <v>646</v>
      </c>
      <c r="J67" s="118" t="s">
        <v>647</v>
      </c>
      <c r="K67" s="147">
        <v>3917.22</v>
      </c>
      <c r="L67" s="43"/>
      <c r="M67" s="43">
        <f t="shared" si="30"/>
        <v>0</v>
      </c>
      <c r="O67" s="44">
        <v>0.18</v>
      </c>
      <c r="P67" s="44">
        <f t="shared" si="31"/>
        <v>0</v>
      </c>
      <c r="Q67" s="45"/>
      <c r="R67" s="35">
        <f t="shared" si="32"/>
        <v>5</v>
      </c>
      <c r="S67" s="48">
        <f t="shared" si="32"/>
        <v>25</v>
      </c>
      <c r="T67" s="35">
        <f t="shared" si="33"/>
        <v>30</v>
      </c>
      <c r="U67" s="43">
        <f t="shared" si="34"/>
        <v>0</v>
      </c>
      <c r="V67" s="43">
        <f t="shared" si="35"/>
        <v>0</v>
      </c>
      <c r="W67" s="45"/>
      <c r="X67" s="50">
        <v>127.01</v>
      </c>
      <c r="Y67" s="50">
        <f t="shared" si="36"/>
        <v>0</v>
      </c>
      <c r="AA67" s="51">
        <v>2.2000000000000002</v>
      </c>
      <c r="AB67" s="51">
        <f t="shared" si="37"/>
        <v>0</v>
      </c>
      <c r="AC67" s="52" t="e">
        <f t="shared" si="38"/>
        <v>#DIV/0!</v>
      </c>
      <c r="AD67" s="50">
        <f t="shared" si="39"/>
        <v>0</v>
      </c>
    </row>
    <row r="68" spans="1:30" ht="13" x14ac:dyDescent="0.35">
      <c r="A68" s="161" t="s">
        <v>648</v>
      </c>
      <c r="B68" s="161" t="s">
        <v>648</v>
      </c>
      <c r="C68" s="161" t="s">
        <v>648</v>
      </c>
      <c r="D68" s="162"/>
      <c r="E68" s="30"/>
      <c r="F68" s="21"/>
      <c r="G68" s="48"/>
      <c r="H68" s="48"/>
      <c r="I68" s="20"/>
      <c r="J68" s="21"/>
      <c r="K68" s="21"/>
      <c r="L68" s="43"/>
      <c r="M68" s="43"/>
      <c r="O68" s="43"/>
      <c r="P68" s="44"/>
      <c r="Q68" s="45"/>
      <c r="R68" s="35"/>
      <c r="S68" s="35"/>
      <c r="T68" s="35"/>
      <c r="U68" s="43"/>
      <c r="V68" s="43"/>
      <c r="W68" s="45"/>
      <c r="X68" s="50"/>
      <c r="Y68" s="50"/>
      <c r="AA68" s="51"/>
      <c r="AB68" s="51"/>
      <c r="AC68" s="52"/>
      <c r="AD68" s="50"/>
    </row>
    <row r="69" spans="1:30" ht="26" x14ac:dyDescent="0.35">
      <c r="A69" s="144" t="s">
        <v>649</v>
      </c>
      <c r="B69" s="144" t="s">
        <v>649</v>
      </c>
      <c r="C69" s="144" t="s">
        <v>650</v>
      </c>
      <c r="D69" s="145" t="s">
        <v>86</v>
      </c>
      <c r="E69" s="48">
        <v>40</v>
      </c>
      <c r="F69" s="48">
        <v>100</v>
      </c>
      <c r="G69" s="48">
        <v>10</v>
      </c>
      <c r="H69" s="48">
        <v>300</v>
      </c>
      <c r="I69" s="146" t="s">
        <v>651</v>
      </c>
      <c r="J69" s="118" t="s">
        <v>652</v>
      </c>
      <c r="K69" s="147">
        <v>3917.22</v>
      </c>
      <c r="L69" s="43"/>
      <c r="M69" s="43">
        <f t="shared" ref="M69:M84" si="40">$L69/$H69</f>
        <v>0</v>
      </c>
      <c r="O69" s="44">
        <v>0.13</v>
      </c>
      <c r="P69" s="44">
        <f t="shared" ref="P69:P84" si="41">$M69*$O69</f>
        <v>0</v>
      </c>
      <c r="Q69" s="45"/>
      <c r="R69" s="35">
        <f t="shared" ref="R69:S84" si="42">G69</f>
        <v>10</v>
      </c>
      <c r="S69" s="48">
        <f t="shared" si="42"/>
        <v>300</v>
      </c>
      <c r="T69" s="35">
        <f t="shared" ref="T69:T84" si="43">S69+R69</f>
        <v>310</v>
      </c>
      <c r="U69" s="43">
        <f t="shared" ref="U69:U84" si="44">$M69*$T69*1.05</f>
        <v>0</v>
      </c>
      <c r="V69" s="43">
        <f t="shared" ref="V69:V84" si="45">ROUNDUP($U69/125,)</f>
        <v>0</v>
      </c>
      <c r="W69" s="45"/>
      <c r="X69" s="50">
        <v>15.6</v>
      </c>
      <c r="Y69" s="50">
        <f t="shared" ref="Y69:Y84" si="46">X69*$L69</f>
        <v>0</v>
      </c>
      <c r="AA69" s="51">
        <v>0.31</v>
      </c>
      <c r="AB69" s="51">
        <f t="shared" ref="AB69:AB84" si="47">$L69*AA69</f>
        <v>0</v>
      </c>
      <c r="AC69" s="52" t="e">
        <f t="shared" ref="AC69:AC84" si="48">AD69/L69</f>
        <v>#DIV/0!</v>
      </c>
      <c r="AD69" s="50">
        <f t="shared" ref="AD69:AD84" si="49">AB69*$AD$2</f>
        <v>0</v>
      </c>
    </row>
    <row r="70" spans="1:30" ht="26" x14ac:dyDescent="0.35">
      <c r="A70" s="144" t="s">
        <v>653</v>
      </c>
      <c r="B70" s="144" t="s">
        <v>653</v>
      </c>
      <c r="C70" s="144" t="s">
        <v>654</v>
      </c>
      <c r="D70" s="145" t="s">
        <v>86</v>
      </c>
      <c r="E70" s="48">
        <v>40</v>
      </c>
      <c r="F70" s="48">
        <v>150</v>
      </c>
      <c r="G70" s="48">
        <v>10</v>
      </c>
      <c r="H70" s="48">
        <v>300</v>
      </c>
      <c r="I70" s="146" t="s">
        <v>655</v>
      </c>
      <c r="J70" s="118" t="s">
        <v>656</v>
      </c>
      <c r="K70" s="147">
        <v>3917.22</v>
      </c>
      <c r="L70" s="43"/>
      <c r="M70" s="43">
        <f t="shared" si="40"/>
        <v>0</v>
      </c>
      <c r="O70" s="44">
        <v>0.13</v>
      </c>
      <c r="P70" s="44">
        <f t="shared" si="41"/>
        <v>0</v>
      </c>
      <c r="Q70" s="45"/>
      <c r="R70" s="35">
        <f t="shared" si="42"/>
        <v>10</v>
      </c>
      <c r="S70" s="48">
        <f t="shared" si="42"/>
        <v>300</v>
      </c>
      <c r="T70" s="35">
        <f t="shared" si="43"/>
        <v>310</v>
      </c>
      <c r="U70" s="43">
        <f t="shared" si="44"/>
        <v>0</v>
      </c>
      <c r="V70" s="43">
        <f t="shared" si="45"/>
        <v>0</v>
      </c>
      <c r="W70" s="45"/>
      <c r="X70" s="50">
        <v>23.4</v>
      </c>
      <c r="Y70" s="50">
        <f t="shared" si="46"/>
        <v>0</v>
      </c>
      <c r="AA70" s="51">
        <v>0.34</v>
      </c>
      <c r="AB70" s="51">
        <f t="shared" si="47"/>
        <v>0</v>
      </c>
      <c r="AC70" s="52" t="e">
        <f t="shared" si="48"/>
        <v>#DIV/0!</v>
      </c>
      <c r="AD70" s="50">
        <f t="shared" si="49"/>
        <v>0</v>
      </c>
    </row>
    <row r="71" spans="1:30" ht="26" x14ac:dyDescent="0.35">
      <c r="A71" s="82">
        <v>90447200</v>
      </c>
      <c r="B71" s="82" t="s">
        <v>657</v>
      </c>
      <c r="C71" s="82" t="s">
        <v>654</v>
      </c>
      <c r="D71" s="21" t="s">
        <v>86</v>
      </c>
      <c r="E71" s="48" t="s">
        <v>658</v>
      </c>
      <c r="F71" s="48">
        <v>150</v>
      </c>
      <c r="G71" s="48">
        <v>10</v>
      </c>
      <c r="H71" s="48">
        <v>300</v>
      </c>
      <c r="I71" s="146" t="s">
        <v>659</v>
      </c>
      <c r="J71" s="118" t="s">
        <v>660</v>
      </c>
      <c r="K71" s="147">
        <v>3917.22</v>
      </c>
      <c r="L71" s="43"/>
      <c r="M71" s="43">
        <f t="shared" si="40"/>
        <v>0</v>
      </c>
      <c r="O71" s="44">
        <v>0.13</v>
      </c>
      <c r="P71" s="44">
        <f t="shared" si="41"/>
        <v>0</v>
      </c>
      <c r="Q71" s="45"/>
      <c r="R71" s="35">
        <f t="shared" si="42"/>
        <v>10</v>
      </c>
      <c r="S71" s="48">
        <f t="shared" si="42"/>
        <v>300</v>
      </c>
      <c r="T71" s="35">
        <f t="shared" si="43"/>
        <v>310</v>
      </c>
      <c r="U71" s="43">
        <f t="shared" si="44"/>
        <v>0</v>
      </c>
      <c r="V71" s="43">
        <f t="shared" si="45"/>
        <v>0</v>
      </c>
      <c r="W71" s="45"/>
      <c r="X71" s="158">
        <v>23.4</v>
      </c>
      <c r="Y71" s="50">
        <f t="shared" si="46"/>
        <v>0</v>
      </c>
      <c r="AA71" s="51">
        <v>0.34</v>
      </c>
      <c r="AB71" s="51">
        <f t="shared" si="47"/>
        <v>0</v>
      </c>
      <c r="AC71" s="52" t="e">
        <f t="shared" si="48"/>
        <v>#DIV/0!</v>
      </c>
      <c r="AD71" s="50">
        <f t="shared" si="49"/>
        <v>0</v>
      </c>
    </row>
    <row r="72" spans="1:30" ht="26" x14ac:dyDescent="0.35">
      <c r="A72" s="144" t="s">
        <v>661</v>
      </c>
      <c r="B72" s="144" t="s">
        <v>661</v>
      </c>
      <c r="C72" s="144" t="s">
        <v>662</v>
      </c>
      <c r="D72" s="145" t="s">
        <v>86</v>
      </c>
      <c r="E72" s="48">
        <v>40</v>
      </c>
      <c r="F72" s="48">
        <v>200</v>
      </c>
      <c r="G72" s="48">
        <v>10</v>
      </c>
      <c r="H72" s="48">
        <v>150</v>
      </c>
      <c r="I72" s="146" t="s">
        <v>663</v>
      </c>
      <c r="J72" s="118" t="s">
        <v>664</v>
      </c>
      <c r="K72" s="147">
        <v>3917.22</v>
      </c>
      <c r="L72" s="43"/>
      <c r="M72" s="43">
        <f t="shared" si="40"/>
        <v>0</v>
      </c>
      <c r="O72" s="44">
        <v>0.13</v>
      </c>
      <c r="P72" s="44">
        <f t="shared" si="41"/>
        <v>0</v>
      </c>
      <c r="Q72" s="45"/>
      <c r="R72" s="35">
        <f t="shared" si="42"/>
        <v>10</v>
      </c>
      <c r="S72" s="48">
        <f t="shared" si="42"/>
        <v>150</v>
      </c>
      <c r="T72" s="35">
        <f t="shared" si="43"/>
        <v>160</v>
      </c>
      <c r="U72" s="43">
        <f t="shared" si="44"/>
        <v>0</v>
      </c>
      <c r="V72" s="43">
        <f t="shared" si="45"/>
        <v>0</v>
      </c>
      <c r="W72" s="45"/>
      <c r="X72" s="50">
        <v>29.34</v>
      </c>
      <c r="Y72" s="50">
        <f t="shared" si="46"/>
        <v>0</v>
      </c>
      <c r="AA72" s="51">
        <v>0.44</v>
      </c>
      <c r="AB72" s="51">
        <f t="shared" si="47"/>
        <v>0</v>
      </c>
      <c r="AC72" s="52" t="e">
        <f t="shared" si="48"/>
        <v>#DIV/0!</v>
      </c>
      <c r="AD72" s="50">
        <f t="shared" si="49"/>
        <v>0</v>
      </c>
    </row>
    <row r="73" spans="1:30" ht="26" x14ac:dyDescent="0.35">
      <c r="A73" s="144" t="s">
        <v>665</v>
      </c>
      <c r="B73" s="144" t="s">
        <v>665</v>
      </c>
      <c r="C73" s="144" t="s">
        <v>666</v>
      </c>
      <c r="D73" s="145" t="s">
        <v>86</v>
      </c>
      <c r="E73" s="48">
        <v>40</v>
      </c>
      <c r="F73" s="48">
        <v>300</v>
      </c>
      <c r="G73" s="48">
        <v>10</v>
      </c>
      <c r="H73" s="48">
        <v>150</v>
      </c>
      <c r="I73" s="146" t="s">
        <v>667</v>
      </c>
      <c r="J73" s="118" t="s">
        <v>668</v>
      </c>
      <c r="K73" s="147">
        <v>3917.22</v>
      </c>
      <c r="L73" s="43"/>
      <c r="M73" s="43">
        <f t="shared" si="40"/>
        <v>0</v>
      </c>
      <c r="O73" s="44">
        <v>0.13</v>
      </c>
      <c r="P73" s="44">
        <f t="shared" si="41"/>
        <v>0</v>
      </c>
      <c r="Q73" s="45"/>
      <c r="R73" s="35">
        <f t="shared" si="42"/>
        <v>10</v>
      </c>
      <c r="S73" s="48">
        <f t="shared" si="42"/>
        <v>150</v>
      </c>
      <c r="T73" s="35">
        <f t="shared" si="43"/>
        <v>160</v>
      </c>
      <c r="U73" s="43">
        <f t="shared" si="44"/>
        <v>0</v>
      </c>
      <c r="V73" s="43">
        <f t="shared" si="45"/>
        <v>0</v>
      </c>
      <c r="W73" s="45"/>
      <c r="X73" s="50">
        <v>40.68</v>
      </c>
      <c r="Y73" s="50">
        <f t="shared" si="46"/>
        <v>0</v>
      </c>
      <c r="AA73" s="51">
        <v>0.57999999999999996</v>
      </c>
      <c r="AB73" s="51">
        <f t="shared" si="47"/>
        <v>0</v>
      </c>
      <c r="AC73" s="52" t="e">
        <f t="shared" si="48"/>
        <v>#DIV/0!</v>
      </c>
      <c r="AD73" s="50">
        <f t="shared" si="49"/>
        <v>0</v>
      </c>
    </row>
    <row r="74" spans="1:30" ht="26" x14ac:dyDescent="0.35">
      <c r="A74" s="82">
        <v>90447300</v>
      </c>
      <c r="B74" s="82" t="s">
        <v>669</v>
      </c>
      <c r="C74" s="82" t="s">
        <v>666</v>
      </c>
      <c r="D74" s="21" t="s">
        <v>86</v>
      </c>
      <c r="E74" s="48" t="s">
        <v>658</v>
      </c>
      <c r="F74" s="48">
        <v>300</v>
      </c>
      <c r="G74" s="48">
        <v>10</v>
      </c>
      <c r="H74" s="48">
        <v>150</v>
      </c>
      <c r="I74" s="146" t="s">
        <v>670</v>
      </c>
      <c r="J74" s="118" t="s">
        <v>671</v>
      </c>
      <c r="K74" s="147">
        <v>3917.22</v>
      </c>
      <c r="L74" s="43"/>
      <c r="M74" s="43">
        <f t="shared" si="40"/>
        <v>0</v>
      </c>
      <c r="O74" s="44">
        <v>0.13</v>
      </c>
      <c r="P74" s="44">
        <f t="shared" si="41"/>
        <v>0</v>
      </c>
      <c r="Q74" s="45"/>
      <c r="R74" s="35">
        <f t="shared" si="42"/>
        <v>10</v>
      </c>
      <c r="S74" s="48">
        <f t="shared" si="42"/>
        <v>150</v>
      </c>
      <c r="T74" s="35">
        <f t="shared" si="43"/>
        <v>160</v>
      </c>
      <c r="U74" s="43">
        <f t="shared" si="44"/>
        <v>0</v>
      </c>
      <c r="V74" s="43">
        <f t="shared" si="45"/>
        <v>0</v>
      </c>
      <c r="W74" s="45"/>
      <c r="X74" s="50">
        <v>40.68</v>
      </c>
      <c r="Y74" s="50">
        <f t="shared" si="46"/>
        <v>0</v>
      </c>
      <c r="AA74" s="51">
        <v>0.59</v>
      </c>
      <c r="AB74" s="51">
        <f t="shared" si="47"/>
        <v>0</v>
      </c>
      <c r="AC74" s="52" t="e">
        <f t="shared" si="48"/>
        <v>#DIV/0!</v>
      </c>
      <c r="AD74" s="50">
        <f t="shared" si="49"/>
        <v>0</v>
      </c>
    </row>
    <row r="75" spans="1:30" ht="26" x14ac:dyDescent="0.35">
      <c r="A75" s="144" t="s">
        <v>672</v>
      </c>
      <c r="B75" s="144" t="s">
        <v>672</v>
      </c>
      <c r="C75" s="144" t="s">
        <v>673</v>
      </c>
      <c r="D75" s="145" t="s">
        <v>86</v>
      </c>
      <c r="E75" s="48">
        <v>40</v>
      </c>
      <c r="F75" s="48">
        <v>450</v>
      </c>
      <c r="G75" s="48">
        <v>10</v>
      </c>
      <c r="H75" s="48">
        <v>100</v>
      </c>
      <c r="I75" s="146" t="s">
        <v>674</v>
      </c>
      <c r="J75" s="118" t="s">
        <v>675</v>
      </c>
      <c r="K75" s="147">
        <v>3917.22</v>
      </c>
      <c r="L75" s="43"/>
      <c r="M75" s="43">
        <f t="shared" si="40"/>
        <v>0</v>
      </c>
      <c r="O75" s="44">
        <v>0.13</v>
      </c>
      <c r="P75" s="44">
        <f t="shared" si="41"/>
        <v>0</v>
      </c>
      <c r="Q75" s="45"/>
      <c r="R75" s="35">
        <f t="shared" si="42"/>
        <v>10</v>
      </c>
      <c r="S75" s="48">
        <f t="shared" si="42"/>
        <v>100</v>
      </c>
      <c r="T75" s="35">
        <f t="shared" si="43"/>
        <v>110</v>
      </c>
      <c r="U75" s="43">
        <f t="shared" si="44"/>
        <v>0</v>
      </c>
      <c r="V75" s="43">
        <f t="shared" si="45"/>
        <v>0</v>
      </c>
      <c r="W75" s="45"/>
      <c r="X75" s="50">
        <v>57.6</v>
      </c>
      <c r="Y75" s="50">
        <f t="shared" si="46"/>
        <v>0</v>
      </c>
      <c r="AA75" s="51">
        <v>0.81</v>
      </c>
      <c r="AB75" s="51">
        <f t="shared" si="47"/>
        <v>0</v>
      </c>
      <c r="AC75" s="52" t="e">
        <f t="shared" si="48"/>
        <v>#DIV/0!</v>
      </c>
      <c r="AD75" s="50">
        <f t="shared" si="49"/>
        <v>0</v>
      </c>
    </row>
    <row r="76" spans="1:30" s="19" customFormat="1" ht="26" x14ac:dyDescent="0.35">
      <c r="A76" s="82">
        <v>90447400</v>
      </c>
      <c r="B76" s="82" t="s">
        <v>676</v>
      </c>
      <c r="C76" s="82" t="s">
        <v>673</v>
      </c>
      <c r="D76" s="21" t="s">
        <v>86</v>
      </c>
      <c r="E76" s="48" t="s">
        <v>658</v>
      </c>
      <c r="F76" s="48">
        <v>450</v>
      </c>
      <c r="G76" s="48">
        <v>10</v>
      </c>
      <c r="H76" s="48">
        <v>100</v>
      </c>
      <c r="I76" s="146" t="s">
        <v>677</v>
      </c>
      <c r="J76" s="118" t="s">
        <v>678</v>
      </c>
      <c r="K76" s="147">
        <v>3917.22</v>
      </c>
      <c r="L76" s="57"/>
      <c r="M76" s="57">
        <f t="shared" si="40"/>
        <v>0</v>
      </c>
      <c r="O76" s="163">
        <v>0.13</v>
      </c>
      <c r="P76" s="163">
        <f t="shared" si="41"/>
        <v>0</v>
      </c>
      <c r="Q76" s="164"/>
      <c r="R76" s="48">
        <f t="shared" si="42"/>
        <v>10</v>
      </c>
      <c r="S76" s="48">
        <f t="shared" si="42"/>
        <v>100</v>
      </c>
      <c r="T76" s="48">
        <f t="shared" si="43"/>
        <v>110</v>
      </c>
      <c r="U76" s="57">
        <f t="shared" si="44"/>
        <v>0</v>
      </c>
      <c r="V76" s="57">
        <f t="shared" si="45"/>
        <v>0</v>
      </c>
      <c r="W76" s="164"/>
      <c r="X76" s="50">
        <v>57.6</v>
      </c>
      <c r="Y76" s="49">
        <f t="shared" si="46"/>
        <v>0</v>
      </c>
      <c r="AA76" s="165">
        <v>0.86</v>
      </c>
      <c r="AB76" s="165">
        <f t="shared" si="47"/>
        <v>0</v>
      </c>
      <c r="AC76" s="52" t="e">
        <f t="shared" si="48"/>
        <v>#DIV/0!</v>
      </c>
      <c r="AD76" s="50">
        <f t="shared" si="49"/>
        <v>0</v>
      </c>
    </row>
    <row r="77" spans="1:30" ht="26" x14ac:dyDescent="0.35">
      <c r="A77" s="144" t="s">
        <v>679</v>
      </c>
      <c r="B77" s="144" t="s">
        <v>679</v>
      </c>
      <c r="C77" s="144" t="s">
        <v>680</v>
      </c>
      <c r="D77" s="145" t="s">
        <v>86</v>
      </c>
      <c r="E77" s="48">
        <v>40</v>
      </c>
      <c r="F77" s="48">
        <v>600</v>
      </c>
      <c r="G77" s="48">
        <v>10</v>
      </c>
      <c r="H77" s="48">
        <v>50</v>
      </c>
      <c r="I77" s="146" t="s">
        <v>681</v>
      </c>
      <c r="J77" s="118" t="s">
        <v>682</v>
      </c>
      <c r="K77" s="147">
        <v>3917.22</v>
      </c>
      <c r="L77" s="43"/>
      <c r="M77" s="43">
        <f t="shared" si="40"/>
        <v>0</v>
      </c>
      <c r="O77" s="44">
        <v>0.09</v>
      </c>
      <c r="P77" s="44">
        <f t="shared" si="41"/>
        <v>0</v>
      </c>
      <c r="Q77" s="45"/>
      <c r="R77" s="35">
        <f t="shared" si="42"/>
        <v>10</v>
      </c>
      <c r="S77" s="48">
        <f t="shared" si="42"/>
        <v>50</v>
      </c>
      <c r="T77" s="35">
        <f t="shared" si="43"/>
        <v>60</v>
      </c>
      <c r="U77" s="43">
        <f t="shared" si="44"/>
        <v>0</v>
      </c>
      <c r="V77" s="43">
        <f t="shared" si="45"/>
        <v>0</v>
      </c>
      <c r="W77" s="45"/>
      <c r="X77" s="50">
        <v>74.61</v>
      </c>
      <c r="Y77" s="50">
        <f t="shared" si="46"/>
        <v>0</v>
      </c>
      <c r="AA77" s="51">
        <v>1.04</v>
      </c>
      <c r="AB77" s="51">
        <f t="shared" si="47"/>
        <v>0</v>
      </c>
      <c r="AC77" s="52" t="e">
        <f t="shared" si="48"/>
        <v>#DIV/0!</v>
      </c>
      <c r="AD77" s="50">
        <f t="shared" si="49"/>
        <v>0</v>
      </c>
    </row>
    <row r="78" spans="1:30" s="19" customFormat="1" ht="26" x14ac:dyDescent="0.35">
      <c r="A78" s="82">
        <v>90447600</v>
      </c>
      <c r="B78" s="82" t="s">
        <v>683</v>
      </c>
      <c r="C78" s="82" t="s">
        <v>680</v>
      </c>
      <c r="D78" s="21" t="s">
        <v>86</v>
      </c>
      <c r="E78" s="48" t="s">
        <v>658</v>
      </c>
      <c r="F78" s="48">
        <v>600</v>
      </c>
      <c r="G78" s="48">
        <v>10</v>
      </c>
      <c r="H78" s="48">
        <v>50</v>
      </c>
      <c r="I78" s="146" t="s">
        <v>684</v>
      </c>
      <c r="J78" s="118" t="s">
        <v>685</v>
      </c>
      <c r="K78" s="147">
        <v>3917.22</v>
      </c>
      <c r="L78" s="57"/>
      <c r="M78" s="57">
        <f t="shared" si="40"/>
        <v>0</v>
      </c>
      <c r="O78" s="163">
        <v>0.09</v>
      </c>
      <c r="P78" s="163">
        <f t="shared" si="41"/>
        <v>0</v>
      </c>
      <c r="Q78" s="164"/>
      <c r="R78" s="48">
        <f t="shared" si="42"/>
        <v>10</v>
      </c>
      <c r="S78" s="48">
        <f t="shared" si="42"/>
        <v>50</v>
      </c>
      <c r="T78" s="48">
        <f t="shared" si="43"/>
        <v>60</v>
      </c>
      <c r="U78" s="57">
        <f t="shared" si="44"/>
        <v>0</v>
      </c>
      <c r="V78" s="57">
        <f t="shared" si="45"/>
        <v>0</v>
      </c>
      <c r="W78" s="164"/>
      <c r="X78" s="50">
        <v>74.61</v>
      </c>
      <c r="Y78" s="49">
        <f t="shared" si="46"/>
        <v>0</v>
      </c>
      <c r="AA78" s="165">
        <v>1.1000000000000001</v>
      </c>
      <c r="AB78" s="165">
        <f t="shared" si="47"/>
        <v>0</v>
      </c>
      <c r="AC78" s="52" t="e">
        <f t="shared" si="48"/>
        <v>#DIV/0!</v>
      </c>
      <c r="AD78" s="50">
        <f t="shared" si="49"/>
        <v>0</v>
      </c>
    </row>
    <row r="79" spans="1:30" ht="26" x14ac:dyDescent="0.35">
      <c r="A79" s="144" t="s">
        <v>686</v>
      </c>
      <c r="B79" s="144" t="s">
        <v>686</v>
      </c>
      <c r="C79" s="144" t="s">
        <v>687</v>
      </c>
      <c r="D79" s="145" t="s">
        <v>86</v>
      </c>
      <c r="E79" s="48">
        <v>40</v>
      </c>
      <c r="F79" s="48">
        <v>750</v>
      </c>
      <c r="G79" s="48">
        <v>10</v>
      </c>
      <c r="H79" s="48">
        <v>50</v>
      </c>
      <c r="I79" s="146" t="s">
        <v>688</v>
      </c>
      <c r="J79" s="118" t="s">
        <v>689</v>
      </c>
      <c r="K79" s="147">
        <v>3917.22</v>
      </c>
      <c r="L79" s="43"/>
      <c r="M79" s="43">
        <f t="shared" si="40"/>
        <v>0</v>
      </c>
      <c r="O79" s="44">
        <v>0.13</v>
      </c>
      <c r="P79" s="44">
        <f t="shared" si="41"/>
        <v>0</v>
      </c>
      <c r="Q79" s="45"/>
      <c r="R79" s="35">
        <f t="shared" si="42"/>
        <v>10</v>
      </c>
      <c r="S79" s="48">
        <f t="shared" si="42"/>
        <v>50</v>
      </c>
      <c r="T79" s="35">
        <f t="shared" si="43"/>
        <v>60</v>
      </c>
      <c r="U79" s="43">
        <f t="shared" si="44"/>
        <v>0</v>
      </c>
      <c r="V79" s="43">
        <f t="shared" si="45"/>
        <v>0</v>
      </c>
      <c r="W79" s="45"/>
      <c r="X79" s="50">
        <v>91.62</v>
      </c>
      <c r="Y79" s="50">
        <f t="shared" si="46"/>
        <v>0</v>
      </c>
      <c r="AA79" s="51">
        <v>1.28</v>
      </c>
      <c r="AB79" s="51">
        <f t="shared" si="47"/>
        <v>0</v>
      </c>
      <c r="AC79" s="52" t="e">
        <f t="shared" si="48"/>
        <v>#DIV/0!</v>
      </c>
      <c r="AD79" s="50">
        <f t="shared" si="49"/>
        <v>0</v>
      </c>
    </row>
    <row r="80" spans="1:30" ht="26" x14ac:dyDescent="0.35">
      <c r="A80" s="144" t="s">
        <v>690</v>
      </c>
      <c r="B80" s="144" t="s">
        <v>690</v>
      </c>
      <c r="C80" s="144" t="s">
        <v>691</v>
      </c>
      <c r="D80" s="145" t="s">
        <v>86</v>
      </c>
      <c r="E80" s="48">
        <v>40</v>
      </c>
      <c r="F80" s="48">
        <v>900</v>
      </c>
      <c r="G80" s="48">
        <v>10</v>
      </c>
      <c r="H80" s="48">
        <v>50</v>
      </c>
      <c r="I80" s="146" t="s">
        <v>692</v>
      </c>
      <c r="J80" s="118" t="s">
        <v>693</v>
      </c>
      <c r="K80" s="147">
        <v>3917.22</v>
      </c>
      <c r="L80" s="43"/>
      <c r="M80" s="43">
        <f t="shared" si="40"/>
        <v>0</v>
      </c>
      <c r="O80" s="44">
        <v>0.13</v>
      </c>
      <c r="P80" s="44">
        <f t="shared" si="41"/>
        <v>0</v>
      </c>
      <c r="Q80" s="45"/>
      <c r="R80" s="35">
        <f t="shared" si="42"/>
        <v>10</v>
      </c>
      <c r="S80" s="48">
        <f t="shared" si="42"/>
        <v>50</v>
      </c>
      <c r="T80" s="35">
        <f t="shared" si="43"/>
        <v>60</v>
      </c>
      <c r="U80" s="43">
        <f t="shared" si="44"/>
        <v>0</v>
      </c>
      <c r="V80" s="43">
        <f t="shared" si="45"/>
        <v>0</v>
      </c>
      <c r="W80" s="45"/>
      <c r="X80" s="50">
        <v>108.9</v>
      </c>
      <c r="Y80" s="50">
        <f t="shared" si="46"/>
        <v>0</v>
      </c>
      <c r="AA80" s="51">
        <v>1.51</v>
      </c>
      <c r="AB80" s="51">
        <f t="shared" si="47"/>
        <v>0</v>
      </c>
      <c r="AC80" s="52" t="e">
        <f t="shared" si="48"/>
        <v>#DIV/0!</v>
      </c>
      <c r="AD80" s="50">
        <f t="shared" si="49"/>
        <v>0</v>
      </c>
    </row>
    <row r="81" spans="1:30" ht="26" x14ac:dyDescent="0.35">
      <c r="A81" s="82">
        <v>90447700</v>
      </c>
      <c r="B81" s="82" t="s">
        <v>694</v>
      </c>
      <c r="C81" s="82" t="s">
        <v>691</v>
      </c>
      <c r="D81" s="21" t="s">
        <v>86</v>
      </c>
      <c r="E81" s="48" t="s">
        <v>658</v>
      </c>
      <c r="F81" s="48">
        <v>900</v>
      </c>
      <c r="G81" s="48">
        <v>10</v>
      </c>
      <c r="H81" s="48">
        <v>50</v>
      </c>
      <c r="I81" s="146" t="s">
        <v>695</v>
      </c>
      <c r="J81" s="118" t="s">
        <v>696</v>
      </c>
      <c r="K81" s="147">
        <v>3917.22</v>
      </c>
      <c r="L81" s="43"/>
      <c r="M81" s="43">
        <f t="shared" si="40"/>
        <v>0</v>
      </c>
      <c r="O81" s="44">
        <v>0.13</v>
      </c>
      <c r="P81" s="44">
        <f t="shared" si="41"/>
        <v>0</v>
      </c>
      <c r="Q81" s="45"/>
      <c r="R81" s="35">
        <f t="shared" si="42"/>
        <v>10</v>
      </c>
      <c r="S81" s="48">
        <f t="shared" si="42"/>
        <v>50</v>
      </c>
      <c r="T81" s="35">
        <f t="shared" si="43"/>
        <v>60</v>
      </c>
      <c r="U81" s="43">
        <f t="shared" si="44"/>
        <v>0</v>
      </c>
      <c r="V81" s="43">
        <f t="shared" si="45"/>
        <v>0</v>
      </c>
      <c r="W81" s="45"/>
      <c r="X81" s="50">
        <v>108.9</v>
      </c>
      <c r="Y81" s="50">
        <f t="shared" si="46"/>
        <v>0</v>
      </c>
      <c r="AA81" s="51">
        <v>1.6</v>
      </c>
      <c r="AB81" s="51">
        <f t="shared" si="47"/>
        <v>0</v>
      </c>
      <c r="AC81" s="52" t="e">
        <f t="shared" si="48"/>
        <v>#DIV/0!</v>
      </c>
      <c r="AD81" s="50">
        <f t="shared" si="49"/>
        <v>0</v>
      </c>
    </row>
    <row r="82" spans="1:30" ht="26" x14ac:dyDescent="0.35">
      <c r="A82" s="144" t="s">
        <v>697</v>
      </c>
      <c r="B82" s="144" t="s">
        <v>697</v>
      </c>
      <c r="C82" s="144" t="s">
        <v>698</v>
      </c>
      <c r="D82" s="145" t="s">
        <v>86</v>
      </c>
      <c r="E82" s="48">
        <v>40</v>
      </c>
      <c r="F82" s="48">
        <v>1200</v>
      </c>
      <c r="G82" s="48">
        <v>5</v>
      </c>
      <c r="H82" s="48">
        <v>25</v>
      </c>
      <c r="I82" s="146" t="s">
        <v>699</v>
      </c>
      <c r="J82" s="118" t="s">
        <v>700</v>
      </c>
      <c r="K82" s="147">
        <v>3917.22</v>
      </c>
      <c r="L82" s="43"/>
      <c r="M82" s="43">
        <f t="shared" si="40"/>
        <v>0</v>
      </c>
      <c r="O82" s="44">
        <v>0.08</v>
      </c>
      <c r="P82" s="44">
        <f t="shared" si="41"/>
        <v>0</v>
      </c>
      <c r="Q82" s="45"/>
      <c r="R82" s="35">
        <f t="shared" si="42"/>
        <v>5</v>
      </c>
      <c r="S82" s="48">
        <f t="shared" si="42"/>
        <v>25</v>
      </c>
      <c r="T82" s="48">
        <f t="shared" si="43"/>
        <v>30</v>
      </c>
      <c r="U82" s="43">
        <f t="shared" si="44"/>
        <v>0</v>
      </c>
      <c r="V82" s="43">
        <f t="shared" si="45"/>
        <v>0</v>
      </c>
      <c r="W82" s="45"/>
      <c r="X82" s="50">
        <v>142.19999999999999</v>
      </c>
      <c r="Y82" s="50">
        <f t="shared" si="46"/>
        <v>0</v>
      </c>
      <c r="AA82" s="51">
        <v>1.96</v>
      </c>
      <c r="AB82" s="51">
        <f t="shared" si="47"/>
        <v>0</v>
      </c>
      <c r="AC82" s="52" t="e">
        <f t="shared" si="48"/>
        <v>#DIV/0!</v>
      </c>
      <c r="AD82" s="50">
        <f t="shared" si="49"/>
        <v>0</v>
      </c>
    </row>
    <row r="83" spans="1:30" ht="26" x14ac:dyDescent="0.35">
      <c r="A83" s="82">
        <v>90447800</v>
      </c>
      <c r="B83" s="82" t="s">
        <v>701</v>
      </c>
      <c r="C83" s="82" t="s">
        <v>702</v>
      </c>
      <c r="D83" s="21" t="s">
        <v>86</v>
      </c>
      <c r="E83" s="48" t="s">
        <v>658</v>
      </c>
      <c r="F83" s="48">
        <v>1800</v>
      </c>
      <c r="G83" s="48">
        <v>5</v>
      </c>
      <c r="H83" s="48">
        <v>20</v>
      </c>
      <c r="I83" s="146" t="s">
        <v>703</v>
      </c>
      <c r="J83" s="118" t="s">
        <v>704</v>
      </c>
      <c r="K83" s="147">
        <v>3917.22</v>
      </c>
      <c r="L83" s="43"/>
      <c r="M83" s="43">
        <f t="shared" si="40"/>
        <v>0</v>
      </c>
      <c r="O83" s="44">
        <v>0.14000000000000001</v>
      </c>
      <c r="P83" s="44">
        <f t="shared" si="41"/>
        <v>0</v>
      </c>
      <c r="Q83" s="45"/>
      <c r="R83" s="35">
        <f t="shared" si="42"/>
        <v>5</v>
      </c>
      <c r="S83" s="48">
        <f t="shared" si="42"/>
        <v>20</v>
      </c>
      <c r="T83" s="35">
        <f t="shared" si="43"/>
        <v>25</v>
      </c>
      <c r="U83" s="43">
        <f t="shared" si="44"/>
        <v>0</v>
      </c>
      <c r="V83" s="43">
        <f t="shared" si="45"/>
        <v>0</v>
      </c>
      <c r="W83" s="45"/>
      <c r="X83" s="50">
        <v>209.79</v>
      </c>
      <c r="Y83" s="50">
        <f t="shared" si="46"/>
        <v>0</v>
      </c>
      <c r="AA83" s="51">
        <v>2.93</v>
      </c>
      <c r="AB83" s="51">
        <f t="shared" si="47"/>
        <v>0</v>
      </c>
      <c r="AC83" s="52" t="e">
        <f t="shared" si="48"/>
        <v>#DIV/0!</v>
      </c>
      <c r="AD83" s="50">
        <f t="shared" si="49"/>
        <v>0</v>
      </c>
    </row>
    <row r="84" spans="1:30" ht="26" x14ac:dyDescent="0.35">
      <c r="A84" s="144" t="s">
        <v>705</v>
      </c>
      <c r="B84" s="144" t="s">
        <v>705</v>
      </c>
      <c r="C84" s="144" t="s">
        <v>706</v>
      </c>
      <c r="D84" s="145" t="s">
        <v>86</v>
      </c>
      <c r="E84" s="48">
        <v>40</v>
      </c>
      <c r="F84" s="48">
        <v>2000</v>
      </c>
      <c r="G84" s="48">
        <v>5</v>
      </c>
      <c r="H84" s="48">
        <v>25</v>
      </c>
      <c r="I84" s="146" t="s">
        <v>707</v>
      </c>
      <c r="J84" s="118" t="s">
        <v>708</v>
      </c>
      <c r="K84" s="147">
        <v>3917.22</v>
      </c>
      <c r="L84" s="43"/>
      <c r="M84" s="43">
        <f t="shared" si="40"/>
        <v>0</v>
      </c>
      <c r="O84" s="44">
        <v>0.14000000000000001</v>
      </c>
      <c r="P84" s="44">
        <f t="shared" si="41"/>
        <v>0</v>
      </c>
      <c r="Q84" s="45"/>
      <c r="R84" s="35">
        <f t="shared" si="42"/>
        <v>5</v>
      </c>
      <c r="S84" s="48">
        <f t="shared" si="42"/>
        <v>25</v>
      </c>
      <c r="T84" s="35">
        <f t="shared" si="43"/>
        <v>30</v>
      </c>
      <c r="U84" s="43">
        <f t="shared" si="44"/>
        <v>0</v>
      </c>
      <c r="V84" s="43">
        <f t="shared" si="45"/>
        <v>0</v>
      </c>
      <c r="W84" s="45"/>
      <c r="X84" s="50">
        <v>233.1</v>
      </c>
      <c r="Y84" s="50">
        <f t="shared" si="46"/>
        <v>0</v>
      </c>
      <c r="AA84" s="51">
        <v>3.25</v>
      </c>
      <c r="AB84" s="51">
        <f t="shared" si="47"/>
        <v>0</v>
      </c>
      <c r="AC84" s="52" t="e">
        <f t="shared" si="48"/>
        <v>#DIV/0!</v>
      </c>
      <c r="AD84" s="50">
        <f t="shared" si="49"/>
        <v>0</v>
      </c>
    </row>
    <row r="85" spans="1:30" ht="13" x14ac:dyDescent="0.35">
      <c r="A85" s="166" t="s">
        <v>709</v>
      </c>
      <c r="B85" s="166" t="s">
        <v>709</v>
      </c>
      <c r="C85" s="166" t="s">
        <v>709</v>
      </c>
      <c r="D85" s="30"/>
      <c r="E85" s="35"/>
      <c r="F85" s="48"/>
      <c r="G85" s="48"/>
      <c r="H85" s="48"/>
      <c r="I85" s="20"/>
      <c r="J85" s="21"/>
      <c r="K85" s="21"/>
      <c r="L85" s="43"/>
      <c r="M85" s="43"/>
      <c r="O85" s="43"/>
      <c r="P85" s="44"/>
      <c r="Q85" s="45"/>
      <c r="R85" s="35"/>
      <c r="S85" s="35"/>
      <c r="T85" s="35"/>
      <c r="U85" s="43"/>
      <c r="V85" s="43"/>
      <c r="W85" s="45"/>
      <c r="X85" s="50"/>
      <c r="Y85" s="50"/>
      <c r="AA85" s="51"/>
      <c r="AB85" s="51"/>
      <c r="AC85" s="52"/>
      <c r="AD85" s="50"/>
    </row>
    <row r="86" spans="1:30" ht="26" x14ac:dyDescent="0.35">
      <c r="A86" s="144" t="s">
        <v>710</v>
      </c>
      <c r="B86" s="144" t="s">
        <v>710</v>
      </c>
      <c r="C86" s="144" t="s">
        <v>711</v>
      </c>
      <c r="D86" s="145" t="s">
        <v>86</v>
      </c>
      <c r="E86" s="48">
        <v>50</v>
      </c>
      <c r="F86" s="48">
        <v>100</v>
      </c>
      <c r="G86" s="48">
        <v>10</v>
      </c>
      <c r="H86" s="48">
        <v>150</v>
      </c>
      <c r="I86" s="146" t="s">
        <v>712</v>
      </c>
      <c r="J86" s="118" t="s">
        <v>203</v>
      </c>
      <c r="K86" s="147">
        <v>3917.22</v>
      </c>
      <c r="L86" s="43"/>
      <c r="M86" s="43">
        <f t="shared" ref="M86:M104" si="50">$L86/$H86</f>
        <v>0</v>
      </c>
      <c r="O86" s="44">
        <v>0.1</v>
      </c>
      <c r="P86" s="44">
        <f t="shared" ref="P86:P104" si="51">$M86*$O86</f>
        <v>0</v>
      </c>
      <c r="Q86" s="45"/>
      <c r="R86" s="35">
        <f t="shared" ref="R86:S104" si="52">G86</f>
        <v>10</v>
      </c>
      <c r="S86" s="35">
        <f t="shared" si="52"/>
        <v>150</v>
      </c>
      <c r="T86" s="35">
        <f t="shared" ref="T86:T104" si="53">S86+R86</f>
        <v>160</v>
      </c>
      <c r="U86" s="43">
        <f t="shared" ref="U86:U104" si="54">$M86*$T86*1.05</f>
        <v>0</v>
      </c>
      <c r="V86" s="43">
        <f t="shared" ref="V86:V104" si="55">ROUNDUP($U86/125,)</f>
        <v>0</v>
      </c>
      <c r="W86" s="45"/>
      <c r="X86" s="50">
        <v>19.079999999999998</v>
      </c>
      <c r="Y86" s="50">
        <f t="shared" ref="Y86:Y104" si="56">X86*$L86</f>
        <v>0</v>
      </c>
      <c r="AA86" s="51">
        <v>0.34</v>
      </c>
      <c r="AB86" s="51">
        <f t="shared" ref="AB86:AB104" si="57">$L86*AA86</f>
        <v>0</v>
      </c>
      <c r="AC86" s="52" t="e">
        <f t="shared" ref="AC86:AC104" si="58">AD86/L86</f>
        <v>#DIV/0!</v>
      </c>
      <c r="AD86" s="50">
        <f t="shared" ref="AD86:AD104" si="59">AB86*$AD$2</f>
        <v>0</v>
      </c>
    </row>
    <row r="87" spans="1:30" ht="26" x14ac:dyDescent="0.35">
      <c r="A87" s="144" t="s">
        <v>713</v>
      </c>
      <c r="B87" s="144" t="s">
        <v>713</v>
      </c>
      <c r="C87" s="144" t="s">
        <v>714</v>
      </c>
      <c r="D87" s="145" t="s">
        <v>86</v>
      </c>
      <c r="E87" s="48">
        <v>50</v>
      </c>
      <c r="F87" s="48">
        <v>150</v>
      </c>
      <c r="G87" s="48">
        <v>10</v>
      </c>
      <c r="H87" s="48">
        <v>150</v>
      </c>
      <c r="I87" s="146" t="s">
        <v>715</v>
      </c>
      <c r="J87" s="118" t="s">
        <v>716</v>
      </c>
      <c r="K87" s="147">
        <v>3917.22</v>
      </c>
      <c r="L87" s="43"/>
      <c r="M87" s="43">
        <f t="shared" si="50"/>
        <v>0</v>
      </c>
      <c r="O87" s="44">
        <v>0.1</v>
      </c>
      <c r="P87" s="44">
        <f t="shared" si="51"/>
        <v>0</v>
      </c>
      <c r="Q87" s="45"/>
      <c r="R87" s="35">
        <f t="shared" si="52"/>
        <v>10</v>
      </c>
      <c r="S87" s="35">
        <f t="shared" si="52"/>
        <v>150</v>
      </c>
      <c r="T87" s="35">
        <f t="shared" si="53"/>
        <v>160</v>
      </c>
      <c r="U87" s="43">
        <f t="shared" si="54"/>
        <v>0</v>
      </c>
      <c r="V87" s="43">
        <f t="shared" si="55"/>
        <v>0</v>
      </c>
      <c r="W87" s="45"/>
      <c r="X87" s="50">
        <v>28.62</v>
      </c>
      <c r="Y87" s="50">
        <f t="shared" si="56"/>
        <v>0</v>
      </c>
      <c r="AA87" s="51">
        <v>0.41</v>
      </c>
      <c r="AB87" s="51">
        <f t="shared" si="57"/>
        <v>0</v>
      </c>
      <c r="AC87" s="52" t="e">
        <f t="shared" si="58"/>
        <v>#DIV/0!</v>
      </c>
      <c r="AD87" s="50">
        <f t="shared" si="59"/>
        <v>0</v>
      </c>
    </row>
    <row r="88" spans="1:30" ht="26" x14ac:dyDescent="0.35">
      <c r="A88" s="82">
        <v>90448200</v>
      </c>
      <c r="B88" s="82" t="s">
        <v>717</v>
      </c>
      <c r="C88" s="82" t="s">
        <v>714</v>
      </c>
      <c r="D88" s="21" t="s">
        <v>86</v>
      </c>
      <c r="E88" s="48" t="s">
        <v>718</v>
      </c>
      <c r="F88" s="48">
        <v>150</v>
      </c>
      <c r="G88" s="48">
        <v>10</v>
      </c>
      <c r="H88" s="48">
        <v>150</v>
      </c>
      <c r="I88" s="146" t="s">
        <v>719</v>
      </c>
      <c r="J88" s="118" t="s">
        <v>720</v>
      </c>
      <c r="K88" s="147">
        <v>3917.22</v>
      </c>
      <c r="L88" s="43"/>
      <c r="M88" s="43">
        <f t="shared" si="50"/>
        <v>0</v>
      </c>
      <c r="O88" s="44">
        <v>0.1</v>
      </c>
      <c r="P88" s="44">
        <f t="shared" si="51"/>
        <v>0</v>
      </c>
      <c r="Q88" s="45"/>
      <c r="R88" s="35">
        <f t="shared" si="52"/>
        <v>10</v>
      </c>
      <c r="S88" s="48">
        <f t="shared" si="52"/>
        <v>150</v>
      </c>
      <c r="T88" s="35">
        <f t="shared" si="53"/>
        <v>160</v>
      </c>
      <c r="U88" s="43">
        <f t="shared" si="54"/>
        <v>0</v>
      </c>
      <c r="V88" s="43">
        <f t="shared" si="55"/>
        <v>0</v>
      </c>
      <c r="W88" s="45"/>
      <c r="X88" s="50">
        <v>28.62</v>
      </c>
      <c r="Y88" s="50">
        <f t="shared" si="56"/>
        <v>0</v>
      </c>
      <c r="AA88" s="51">
        <v>0.42</v>
      </c>
      <c r="AB88" s="51">
        <f t="shared" si="57"/>
        <v>0</v>
      </c>
      <c r="AC88" s="52" t="e">
        <f t="shared" si="58"/>
        <v>#DIV/0!</v>
      </c>
      <c r="AD88" s="50">
        <f t="shared" si="59"/>
        <v>0</v>
      </c>
    </row>
    <row r="89" spans="1:30" ht="26" x14ac:dyDescent="0.35">
      <c r="A89" s="144" t="s">
        <v>721</v>
      </c>
      <c r="B89" s="144" t="s">
        <v>721</v>
      </c>
      <c r="C89" s="144" t="s">
        <v>722</v>
      </c>
      <c r="D89" s="145" t="s">
        <v>86</v>
      </c>
      <c r="E89" s="48">
        <v>50</v>
      </c>
      <c r="F89" s="48">
        <v>200</v>
      </c>
      <c r="G89" s="48">
        <v>10</v>
      </c>
      <c r="H89" s="48">
        <v>150</v>
      </c>
      <c r="I89" s="146" t="s">
        <v>723</v>
      </c>
      <c r="J89" s="118" t="s">
        <v>724</v>
      </c>
      <c r="K89" s="147">
        <v>3917.22</v>
      </c>
      <c r="L89" s="43"/>
      <c r="M89" s="43">
        <f t="shared" si="50"/>
        <v>0</v>
      </c>
      <c r="O89" s="44">
        <v>0.1</v>
      </c>
      <c r="P89" s="44">
        <f t="shared" si="51"/>
        <v>0</v>
      </c>
      <c r="Q89" s="45"/>
      <c r="R89" s="35">
        <f t="shared" si="52"/>
        <v>10</v>
      </c>
      <c r="S89" s="35">
        <f t="shared" si="52"/>
        <v>150</v>
      </c>
      <c r="T89" s="35">
        <f t="shared" si="53"/>
        <v>160</v>
      </c>
      <c r="U89" s="43">
        <f t="shared" si="54"/>
        <v>0</v>
      </c>
      <c r="V89" s="43">
        <f t="shared" si="55"/>
        <v>0</v>
      </c>
      <c r="W89" s="45"/>
      <c r="X89" s="50">
        <v>33.6</v>
      </c>
      <c r="Y89" s="50">
        <f t="shared" si="56"/>
        <v>0</v>
      </c>
      <c r="AA89" s="51">
        <v>0.53</v>
      </c>
      <c r="AB89" s="51">
        <f t="shared" si="57"/>
        <v>0</v>
      </c>
      <c r="AC89" s="52" t="e">
        <f t="shared" si="58"/>
        <v>#DIV/0!</v>
      </c>
      <c r="AD89" s="50">
        <f t="shared" si="59"/>
        <v>0</v>
      </c>
    </row>
    <row r="90" spans="1:30" ht="26" x14ac:dyDescent="0.35">
      <c r="A90" s="144" t="s">
        <v>725</v>
      </c>
      <c r="B90" s="144" t="s">
        <v>725</v>
      </c>
      <c r="C90" s="144" t="s">
        <v>726</v>
      </c>
      <c r="D90" s="145" t="s">
        <v>86</v>
      </c>
      <c r="E90" s="48">
        <v>50</v>
      </c>
      <c r="F90" s="48">
        <v>300</v>
      </c>
      <c r="G90" s="48">
        <v>10</v>
      </c>
      <c r="H90" s="48">
        <v>75</v>
      </c>
      <c r="I90" s="146" t="s">
        <v>727</v>
      </c>
      <c r="J90" s="118" t="s">
        <v>728</v>
      </c>
      <c r="K90" s="147">
        <v>3917.22</v>
      </c>
      <c r="L90" s="43"/>
      <c r="M90" s="43">
        <f t="shared" si="50"/>
        <v>0</v>
      </c>
      <c r="O90" s="44">
        <v>0.1</v>
      </c>
      <c r="P90" s="44">
        <f t="shared" si="51"/>
        <v>0</v>
      </c>
      <c r="Q90" s="45"/>
      <c r="R90" s="35">
        <f t="shared" si="52"/>
        <v>10</v>
      </c>
      <c r="S90" s="48">
        <f t="shared" si="52"/>
        <v>75</v>
      </c>
      <c r="T90" s="35">
        <f t="shared" si="53"/>
        <v>85</v>
      </c>
      <c r="U90" s="43">
        <f t="shared" si="54"/>
        <v>0</v>
      </c>
      <c r="V90" s="43">
        <f t="shared" si="55"/>
        <v>0</v>
      </c>
      <c r="W90" s="45"/>
      <c r="X90" s="50">
        <v>50.4</v>
      </c>
      <c r="Y90" s="50">
        <f t="shared" si="56"/>
        <v>0</v>
      </c>
      <c r="AA90" s="51">
        <v>0.71</v>
      </c>
      <c r="AB90" s="51">
        <f t="shared" si="57"/>
        <v>0</v>
      </c>
      <c r="AC90" s="52" t="e">
        <f t="shared" si="58"/>
        <v>#DIV/0!</v>
      </c>
      <c r="AD90" s="50">
        <f t="shared" si="59"/>
        <v>0</v>
      </c>
    </row>
    <row r="91" spans="1:30" ht="26" x14ac:dyDescent="0.35">
      <c r="A91" s="82">
        <v>90448300</v>
      </c>
      <c r="B91" s="82" t="s">
        <v>729</v>
      </c>
      <c r="C91" s="82" t="s">
        <v>726</v>
      </c>
      <c r="D91" s="21" t="s">
        <v>86</v>
      </c>
      <c r="E91" s="48" t="s">
        <v>718</v>
      </c>
      <c r="F91" s="48">
        <v>300</v>
      </c>
      <c r="G91" s="48">
        <v>10</v>
      </c>
      <c r="H91" s="48">
        <v>75</v>
      </c>
      <c r="I91" s="146" t="s">
        <v>730</v>
      </c>
      <c r="J91" s="118" t="s">
        <v>731</v>
      </c>
      <c r="K91" s="147">
        <v>3917.22</v>
      </c>
      <c r="L91" s="43"/>
      <c r="M91" s="43">
        <f t="shared" si="50"/>
        <v>0</v>
      </c>
      <c r="O91" s="44">
        <v>0.1</v>
      </c>
      <c r="P91" s="44">
        <f t="shared" si="51"/>
        <v>0</v>
      </c>
      <c r="Q91" s="45"/>
      <c r="R91" s="35">
        <f t="shared" si="52"/>
        <v>10</v>
      </c>
      <c r="S91" s="48">
        <f t="shared" si="52"/>
        <v>75</v>
      </c>
      <c r="T91" s="35">
        <f t="shared" si="53"/>
        <v>85</v>
      </c>
      <c r="U91" s="43">
        <f t="shared" si="54"/>
        <v>0</v>
      </c>
      <c r="V91" s="43">
        <f t="shared" si="55"/>
        <v>0</v>
      </c>
      <c r="W91" s="45"/>
      <c r="X91" s="50">
        <v>50.4</v>
      </c>
      <c r="Y91" s="50">
        <f t="shared" si="56"/>
        <v>0</v>
      </c>
      <c r="AA91" s="51">
        <v>0.75</v>
      </c>
      <c r="AB91" s="51">
        <f t="shared" si="57"/>
        <v>0</v>
      </c>
      <c r="AC91" s="52" t="e">
        <f t="shared" si="58"/>
        <v>#DIV/0!</v>
      </c>
      <c r="AD91" s="50">
        <f t="shared" si="59"/>
        <v>0</v>
      </c>
    </row>
    <row r="92" spans="1:30" ht="26" x14ac:dyDescent="0.35">
      <c r="A92" s="144" t="s">
        <v>732</v>
      </c>
      <c r="B92" s="144" t="s">
        <v>732</v>
      </c>
      <c r="C92" s="144" t="s">
        <v>733</v>
      </c>
      <c r="D92" s="145" t="s">
        <v>86</v>
      </c>
      <c r="E92" s="48">
        <v>50</v>
      </c>
      <c r="F92" s="48">
        <v>450</v>
      </c>
      <c r="G92" s="48">
        <v>10</v>
      </c>
      <c r="H92" s="48">
        <v>50</v>
      </c>
      <c r="I92" s="146" t="s">
        <v>734</v>
      </c>
      <c r="J92" s="118" t="s">
        <v>735</v>
      </c>
      <c r="K92" s="147">
        <v>3917.22</v>
      </c>
      <c r="L92" s="43"/>
      <c r="M92" s="43">
        <f t="shared" si="50"/>
        <v>0</v>
      </c>
      <c r="O92" s="44">
        <v>0.1</v>
      </c>
      <c r="P92" s="44">
        <f t="shared" si="51"/>
        <v>0</v>
      </c>
      <c r="Q92" s="45"/>
      <c r="R92" s="35">
        <f t="shared" si="52"/>
        <v>10</v>
      </c>
      <c r="S92" s="48">
        <f t="shared" si="52"/>
        <v>50</v>
      </c>
      <c r="T92" s="35">
        <f t="shared" si="53"/>
        <v>60</v>
      </c>
      <c r="U92" s="43">
        <f t="shared" si="54"/>
        <v>0</v>
      </c>
      <c r="V92" s="43">
        <f t="shared" si="55"/>
        <v>0</v>
      </c>
      <c r="W92" s="45"/>
      <c r="X92" s="50">
        <v>72.45</v>
      </c>
      <c r="Y92" s="50">
        <f t="shared" si="56"/>
        <v>0</v>
      </c>
      <c r="AA92" s="51">
        <v>1.02</v>
      </c>
      <c r="AB92" s="51">
        <f t="shared" si="57"/>
        <v>0</v>
      </c>
      <c r="AC92" s="52" t="e">
        <f t="shared" si="58"/>
        <v>#DIV/0!</v>
      </c>
      <c r="AD92" s="50">
        <f t="shared" si="59"/>
        <v>0</v>
      </c>
    </row>
    <row r="93" spans="1:30" ht="26" x14ac:dyDescent="0.35">
      <c r="A93" s="82">
        <v>90448400</v>
      </c>
      <c r="B93" s="82" t="s">
        <v>736</v>
      </c>
      <c r="C93" s="82" t="s">
        <v>733</v>
      </c>
      <c r="D93" s="21" t="s">
        <v>86</v>
      </c>
      <c r="E93" s="48" t="s">
        <v>718</v>
      </c>
      <c r="F93" s="48">
        <v>450</v>
      </c>
      <c r="G93" s="48">
        <v>10</v>
      </c>
      <c r="H93" s="48">
        <v>50</v>
      </c>
      <c r="I93" s="146" t="s">
        <v>737</v>
      </c>
      <c r="J93" s="118" t="s">
        <v>738</v>
      </c>
      <c r="K93" s="147">
        <v>3917.22</v>
      </c>
      <c r="L93" s="43"/>
      <c r="M93" s="43">
        <f t="shared" si="50"/>
        <v>0</v>
      </c>
      <c r="O93" s="44">
        <v>0.1</v>
      </c>
      <c r="P93" s="44">
        <f t="shared" si="51"/>
        <v>0</v>
      </c>
      <c r="Q93" s="45"/>
      <c r="R93" s="35">
        <f t="shared" si="52"/>
        <v>10</v>
      </c>
      <c r="S93" s="48">
        <f t="shared" si="52"/>
        <v>50</v>
      </c>
      <c r="T93" s="35">
        <f t="shared" si="53"/>
        <v>60</v>
      </c>
      <c r="U93" s="43">
        <f t="shared" si="54"/>
        <v>0</v>
      </c>
      <c r="V93" s="43">
        <f t="shared" si="55"/>
        <v>0</v>
      </c>
      <c r="W93" s="45"/>
      <c r="X93" s="50">
        <v>72.45</v>
      </c>
      <c r="Y93" s="50">
        <f t="shared" si="56"/>
        <v>0</v>
      </c>
      <c r="AA93" s="51">
        <v>1.07</v>
      </c>
      <c r="AB93" s="51">
        <f t="shared" si="57"/>
        <v>0</v>
      </c>
      <c r="AC93" s="52" t="e">
        <f t="shared" si="58"/>
        <v>#DIV/0!</v>
      </c>
      <c r="AD93" s="50">
        <f t="shared" si="59"/>
        <v>0</v>
      </c>
    </row>
    <row r="94" spans="1:30" ht="26" x14ac:dyDescent="0.35">
      <c r="A94" s="144" t="s">
        <v>739</v>
      </c>
      <c r="B94" s="144" t="s">
        <v>739</v>
      </c>
      <c r="C94" s="144" t="s">
        <v>740</v>
      </c>
      <c r="D94" s="145" t="s">
        <v>86</v>
      </c>
      <c r="E94" s="48">
        <v>50</v>
      </c>
      <c r="F94" s="48">
        <v>600</v>
      </c>
      <c r="G94" s="48">
        <v>10</v>
      </c>
      <c r="H94" s="48">
        <v>50</v>
      </c>
      <c r="I94" s="146" t="s">
        <v>741</v>
      </c>
      <c r="J94" s="118" t="s">
        <v>742</v>
      </c>
      <c r="K94" s="147">
        <v>3917.22</v>
      </c>
      <c r="L94" s="43"/>
      <c r="M94" s="43">
        <f t="shared" si="50"/>
        <v>0</v>
      </c>
      <c r="O94" s="44">
        <v>0.13</v>
      </c>
      <c r="P94" s="44">
        <f t="shared" si="51"/>
        <v>0</v>
      </c>
      <c r="Q94" s="45"/>
      <c r="R94" s="35">
        <f t="shared" si="52"/>
        <v>10</v>
      </c>
      <c r="S94" s="48">
        <f t="shared" si="52"/>
        <v>50</v>
      </c>
      <c r="T94" s="35">
        <f t="shared" si="53"/>
        <v>60</v>
      </c>
      <c r="U94" s="43">
        <f t="shared" si="54"/>
        <v>0</v>
      </c>
      <c r="V94" s="43">
        <f t="shared" si="55"/>
        <v>0</v>
      </c>
      <c r="W94" s="45"/>
      <c r="X94" s="50">
        <v>94.32</v>
      </c>
      <c r="Y94" s="50">
        <f t="shared" si="56"/>
        <v>0</v>
      </c>
      <c r="AA94" s="51">
        <v>1.32</v>
      </c>
      <c r="AB94" s="51">
        <f t="shared" si="57"/>
        <v>0</v>
      </c>
      <c r="AC94" s="52" t="e">
        <f t="shared" si="58"/>
        <v>#DIV/0!</v>
      </c>
      <c r="AD94" s="50">
        <f t="shared" si="59"/>
        <v>0</v>
      </c>
    </row>
    <row r="95" spans="1:30" ht="26" x14ac:dyDescent="0.35">
      <c r="A95" s="82">
        <v>90448600</v>
      </c>
      <c r="B95" s="82" t="s">
        <v>743</v>
      </c>
      <c r="C95" s="82" t="s">
        <v>740</v>
      </c>
      <c r="D95" s="21" t="s">
        <v>86</v>
      </c>
      <c r="E95" s="48" t="s">
        <v>718</v>
      </c>
      <c r="F95" s="48">
        <v>600</v>
      </c>
      <c r="G95" s="48">
        <v>10</v>
      </c>
      <c r="H95" s="48">
        <v>50</v>
      </c>
      <c r="I95" s="146" t="s">
        <v>744</v>
      </c>
      <c r="J95" s="118" t="s">
        <v>745</v>
      </c>
      <c r="K95" s="147">
        <v>3917.22</v>
      </c>
      <c r="L95" s="43"/>
      <c r="M95" s="43">
        <f t="shared" si="50"/>
        <v>0</v>
      </c>
      <c r="O95" s="44">
        <v>0.13</v>
      </c>
      <c r="P95" s="44">
        <f t="shared" si="51"/>
        <v>0</v>
      </c>
      <c r="Q95" s="45"/>
      <c r="R95" s="35">
        <f t="shared" si="52"/>
        <v>10</v>
      </c>
      <c r="S95" s="48">
        <f t="shared" si="52"/>
        <v>50</v>
      </c>
      <c r="T95" s="35">
        <f t="shared" si="53"/>
        <v>60</v>
      </c>
      <c r="U95" s="43">
        <f t="shared" si="54"/>
        <v>0</v>
      </c>
      <c r="V95" s="43">
        <f t="shared" si="55"/>
        <v>0</v>
      </c>
      <c r="W95" s="45"/>
      <c r="X95" s="50">
        <v>94.32</v>
      </c>
      <c r="Y95" s="50">
        <f t="shared" si="56"/>
        <v>0</v>
      </c>
      <c r="AA95" s="51">
        <v>1.4</v>
      </c>
      <c r="AB95" s="51">
        <f t="shared" si="57"/>
        <v>0</v>
      </c>
      <c r="AC95" s="52" t="e">
        <f t="shared" si="58"/>
        <v>#DIV/0!</v>
      </c>
      <c r="AD95" s="50">
        <f t="shared" si="59"/>
        <v>0</v>
      </c>
    </row>
    <row r="96" spans="1:30" ht="26" x14ac:dyDescent="0.35">
      <c r="A96" s="82">
        <v>90448605</v>
      </c>
      <c r="B96" s="82" t="s">
        <v>746</v>
      </c>
      <c r="C96" s="82" t="s">
        <v>747</v>
      </c>
      <c r="D96" s="21" t="s">
        <v>86</v>
      </c>
      <c r="E96" s="48" t="s">
        <v>718</v>
      </c>
      <c r="F96" s="48">
        <v>700</v>
      </c>
      <c r="G96" s="48">
        <v>5</v>
      </c>
      <c r="H96" s="48">
        <v>25</v>
      </c>
      <c r="I96" s="146" t="s">
        <v>748</v>
      </c>
      <c r="J96" s="118" t="s">
        <v>749</v>
      </c>
      <c r="K96" s="147">
        <v>3917.22</v>
      </c>
      <c r="L96" s="43"/>
      <c r="M96" s="43">
        <f t="shared" si="50"/>
        <v>0</v>
      </c>
      <c r="O96" s="44">
        <v>0.1</v>
      </c>
      <c r="P96" s="44">
        <f t="shared" si="51"/>
        <v>0</v>
      </c>
      <c r="Q96" s="45"/>
      <c r="R96" s="35">
        <f t="shared" si="52"/>
        <v>5</v>
      </c>
      <c r="S96" s="48">
        <f t="shared" si="52"/>
        <v>25</v>
      </c>
      <c r="T96" s="35">
        <f t="shared" si="53"/>
        <v>30</v>
      </c>
      <c r="U96" s="43">
        <f t="shared" si="54"/>
        <v>0</v>
      </c>
      <c r="V96" s="43">
        <f t="shared" si="55"/>
        <v>0</v>
      </c>
      <c r="W96" s="45"/>
      <c r="X96" s="49">
        <v>108.36</v>
      </c>
      <c r="Y96" s="50">
        <f t="shared" si="56"/>
        <v>0</v>
      </c>
      <c r="AA96" s="51">
        <v>1.73</v>
      </c>
      <c r="AB96" s="51">
        <f t="shared" si="57"/>
        <v>0</v>
      </c>
      <c r="AC96" s="52" t="e">
        <f t="shared" si="58"/>
        <v>#DIV/0!</v>
      </c>
      <c r="AD96" s="50">
        <f t="shared" si="59"/>
        <v>0</v>
      </c>
    </row>
    <row r="97" spans="1:30" ht="26" x14ac:dyDescent="0.35">
      <c r="A97" s="144" t="s">
        <v>750</v>
      </c>
      <c r="B97" s="144" t="s">
        <v>750</v>
      </c>
      <c r="C97" s="144" t="s">
        <v>751</v>
      </c>
      <c r="D97" s="145" t="s">
        <v>86</v>
      </c>
      <c r="E97" s="48">
        <v>50</v>
      </c>
      <c r="F97" s="48">
        <v>750</v>
      </c>
      <c r="G97" s="48">
        <v>5</v>
      </c>
      <c r="H97" s="48">
        <v>25</v>
      </c>
      <c r="I97" s="146" t="s">
        <v>752</v>
      </c>
      <c r="J97" s="118" t="s">
        <v>753</v>
      </c>
      <c r="K97" s="147">
        <v>3917.22</v>
      </c>
      <c r="L97" s="43"/>
      <c r="M97" s="43">
        <f t="shared" si="50"/>
        <v>0</v>
      </c>
      <c r="O97" s="44">
        <v>0.1</v>
      </c>
      <c r="P97" s="44">
        <f t="shared" si="51"/>
        <v>0</v>
      </c>
      <c r="Q97" s="45"/>
      <c r="R97" s="35">
        <f t="shared" si="52"/>
        <v>5</v>
      </c>
      <c r="S97" s="48">
        <f t="shared" si="52"/>
        <v>25</v>
      </c>
      <c r="T97" s="35">
        <f t="shared" si="53"/>
        <v>30</v>
      </c>
      <c r="U97" s="43">
        <f t="shared" si="54"/>
        <v>0</v>
      </c>
      <c r="V97" s="43">
        <f t="shared" si="55"/>
        <v>0</v>
      </c>
      <c r="W97" s="45"/>
      <c r="X97" s="50">
        <v>116.1</v>
      </c>
      <c r="Y97" s="50">
        <f t="shared" si="56"/>
        <v>0</v>
      </c>
      <c r="AA97" s="51">
        <v>1.6</v>
      </c>
      <c r="AB97" s="51">
        <f t="shared" si="57"/>
        <v>0</v>
      </c>
      <c r="AC97" s="52" t="e">
        <f t="shared" si="58"/>
        <v>#DIV/0!</v>
      </c>
      <c r="AD97" s="50">
        <f t="shared" si="59"/>
        <v>0</v>
      </c>
    </row>
    <row r="98" spans="1:30" ht="26" x14ac:dyDescent="0.35">
      <c r="A98" s="144" t="s">
        <v>754</v>
      </c>
      <c r="B98" s="144" t="s">
        <v>754</v>
      </c>
      <c r="C98" s="144" t="s">
        <v>755</v>
      </c>
      <c r="D98" s="145" t="s">
        <v>86</v>
      </c>
      <c r="E98" s="48">
        <v>50</v>
      </c>
      <c r="F98" s="48">
        <v>900</v>
      </c>
      <c r="G98" s="48">
        <v>5</v>
      </c>
      <c r="H98" s="48">
        <v>25</v>
      </c>
      <c r="I98" s="146" t="s">
        <v>756</v>
      </c>
      <c r="J98" s="118" t="s">
        <v>757</v>
      </c>
      <c r="K98" s="147">
        <v>3917.22</v>
      </c>
      <c r="L98" s="43"/>
      <c r="M98" s="43">
        <f t="shared" si="50"/>
        <v>0</v>
      </c>
      <c r="O98" s="44">
        <v>0.1</v>
      </c>
      <c r="P98" s="44">
        <f t="shared" si="51"/>
        <v>0</v>
      </c>
      <c r="Q98" s="45"/>
      <c r="R98" s="35">
        <f t="shared" si="52"/>
        <v>5</v>
      </c>
      <c r="S98" s="48">
        <f t="shared" si="52"/>
        <v>25</v>
      </c>
      <c r="T98" s="35">
        <f t="shared" si="53"/>
        <v>30</v>
      </c>
      <c r="U98" s="43">
        <f t="shared" si="54"/>
        <v>0</v>
      </c>
      <c r="V98" s="43">
        <f t="shared" si="55"/>
        <v>0</v>
      </c>
      <c r="W98" s="45"/>
      <c r="X98" s="50">
        <v>138.15</v>
      </c>
      <c r="Y98" s="50">
        <f t="shared" si="56"/>
        <v>0</v>
      </c>
      <c r="AA98" s="51">
        <v>1.94</v>
      </c>
      <c r="AB98" s="51">
        <f t="shared" si="57"/>
        <v>0</v>
      </c>
      <c r="AC98" s="52" t="e">
        <f t="shared" si="58"/>
        <v>#DIV/0!</v>
      </c>
      <c r="AD98" s="50">
        <f t="shared" si="59"/>
        <v>0</v>
      </c>
    </row>
    <row r="99" spans="1:30" ht="26" x14ac:dyDescent="0.35">
      <c r="A99" s="82">
        <v>90448700</v>
      </c>
      <c r="B99" s="82" t="s">
        <v>758</v>
      </c>
      <c r="C99" s="82" t="s">
        <v>755</v>
      </c>
      <c r="D99" s="21" t="s">
        <v>86</v>
      </c>
      <c r="E99" s="48" t="s">
        <v>718</v>
      </c>
      <c r="F99" s="48">
        <v>900</v>
      </c>
      <c r="G99" s="48">
        <v>5</v>
      </c>
      <c r="H99" s="48">
        <v>25</v>
      </c>
      <c r="I99" s="146" t="s">
        <v>759</v>
      </c>
      <c r="J99" s="118" t="s">
        <v>760</v>
      </c>
      <c r="K99" s="147">
        <v>3917.22</v>
      </c>
      <c r="L99" s="43"/>
      <c r="M99" s="43">
        <f t="shared" si="50"/>
        <v>0</v>
      </c>
      <c r="O99" s="44">
        <v>0.1</v>
      </c>
      <c r="P99" s="44">
        <f t="shared" si="51"/>
        <v>0</v>
      </c>
      <c r="Q99" s="45"/>
      <c r="R99" s="35">
        <f t="shared" si="52"/>
        <v>5</v>
      </c>
      <c r="S99" s="48">
        <f t="shared" si="52"/>
        <v>25</v>
      </c>
      <c r="T99" s="35">
        <f t="shared" si="53"/>
        <v>30</v>
      </c>
      <c r="U99" s="43">
        <f t="shared" si="54"/>
        <v>0</v>
      </c>
      <c r="V99" s="43">
        <f t="shared" si="55"/>
        <v>0</v>
      </c>
      <c r="W99" s="45"/>
      <c r="X99" s="50">
        <v>138.15</v>
      </c>
      <c r="Y99" s="50">
        <f t="shared" si="56"/>
        <v>0</v>
      </c>
      <c r="AA99" s="51">
        <v>2.0499999999999998</v>
      </c>
      <c r="AB99" s="51">
        <f t="shared" si="57"/>
        <v>0</v>
      </c>
      <c r="AC99" s="52" t="e">
        <f t="shared" si="58"/>
        <v>#DIV/0!</v>
      </c>
      <c r="AD99" s="50">
        <f t="shared" si="59"/>
        <v>0</v>
      </c>
    </row>
    <row r="100" spans="1:30" ht="26" x14ac:dyDescent="0.35">
      <c r="A100" s="144" t="s">
        <v>761</v>
      </c>
      <c r="B100" s="144" t="s">
        <v>761</v>
      </c>
      <c r="C100" s="144" t="s">
        <v>762</v>
      </c>
      <c r="D100" s="145" t="s">
        <v>86</v>
      </c>
      <c r="E100" s="48">
        <v>50</v>
      </c>
      <c r="F100" s="48">
        <v>1200</v>
      </c>
      <c r="G100" s="48">
        <v>5</v>
      </c>
      <c r="H100" s="48">
        <v>25</v>
      </c>
      <c r="I100" s="146" t="s">
        <v>763</v>
      </c>
      <c r="J100" s="118" t="s">
        <v>764</v>
      </c>
      <c r="K100" s="147">
        <v>3917.22</v>
      </c>
      <c r="L100" s="43"/>
      <c r="M100" s="43">
        <f t="shared" si="50"/>
        <v>0</v>
      </c>
      <c r="O100" s="44">
        <v>0.13</v>
      </c>
      <c r="P100" s="44">
        <f t="shared" si="51"/>
        <v>0</v>
      </c>
      <c r="Q100" s="45"/>
      <c r="R100" s="35">
        <f t="shared" si="52"/>
        <v>5</v>
      </c>
      <c r="S100" s="48">
        <f t="shared" si="52"/>
        <v>25</v>
      </c>
      <c r="T100" s="35">
        <f t="shared" si="53"/>
        <v>30</v>
      </c>
      <c r="U100" s="43">
        <f t="shared" si="54"/>
        <v>0</v>
      </c>
      <c r="V100" s="43">
        <f t="shared" si="55"/>
        <v>0</v>
      </c>
      <c r="W100" s="45"/>
      <c r="X100" s="50">
        <v>181.8</v>
      </c>
      <c r="Y100" s="50">
        <f t="shared" si="56"/>
        <v>0</v>
      </c>
      <c r="AA100" s="51">
        <v>2.56</v>
      </c>
      <c r="AB100" s="51">
        <f t="shared" si="57"/>
        <v>0</v>
      </c>
      <c r="AC100" s="52" t="e">
        <f t="shared" si="58"/>
        <v>#DIV/0!</v>
      </c>
      <c r="AD100" s="50">
        <f t="shared" si="59"/>
        <v>0</v>
      </c>
    </row>
    <row r="101" spans="1:30" ht="26" x14ac:dyDescent="0.35">
      <c r="A101" s="82">
        <v>90448800</v>
      </c>
      <c r="B101" s="82" t="s">
        <v>765</v>
      </c>
      <c r="C101" s="82" t="s">
        <v>762</v>
      </c>
      <c r="D101" s="21" t="s">
        <v>86</v>
      </c>
      <c r="E101" s="48" t="s">
        <v>718</v>
      </c>
      <c r="F101" s="48">
        <v>1200</v>
      </c>
      <c r="G101" s="48">
        <v>5</v>
      </c>
      <c r="H101" s="48">
        <v>25</v>
      </c>
      <c r="I101" s="146" t="s">
        <v>766</v>
      </c>
      <c r="J101" s="118" t="s">
        <v>767</v>
      </c>
      <c r="K101" s="147">
        <v>3917.22</v>
      </c>
      <c r="L101" s="43"/>
      <c r="M101" s="43">
        <f t="shared" si="50"/>
        <v>0</v>
      </c>
      <c r="O101" s="44">
        <v>0.13</v>
      </c>
      <c r="P101" s="44">
        <f t="shared" si="51"/>
        <v>0</v>
      </c>
      <c r="Q101" s="45"/>
      <c r="R101" s="35">
        <f t="shared" si="52"/>
        <v>5</v>
      </c>
      <c r="S101" s="48">
        <f t="shared" si="52"/>
        <v>25</v>
      </c>
      <c r="T101" s="35">
        <f t="shared" si="53"/>
        <v>30</v>
      </c>
      <c r="U101" s="43">
        <f t="shared" si="54"/>
        <v>0</v>
      </c>
      <c r="V101" s="43">
        <f t="shared" si="55"/>
        <v>0</v>
      </c>
      <c r="W101" s="45"/>
      <c r="X101" s="50">
        <v>181.8</v>
      </c>
      <c r="Y101" s="50">
        <f t="shared" si="56"/>
        <v>0</v>
      </c>
      <c r="AA101" s="51">
        <v>2.69</v>
      </c>
      <c r="AB101" s="51">
        <f t="shared" si="57"/>
        <v>0</v>
      </c>
      <c r="AC101" s="52" t="e">
        <f t="shared" si="58"/>
        <v>#DIV/0!</v>
      </c>
      <c r="AD101" s="50">
        <f t="shared" si="59"/>
        <v>0</v>
      </c>
    </row>
    <row r="102" spans="1:30" ht="26" x14ac:dyDescent="0.35">
      <c r="A102" s="82">
        <v>90448820</v>
      </c>
      <c r="B102" s="82" t="s">
        <v>768</v>
      </c>
      <c r="C102" s="82" t="s">
        <v>769</v>
      </c>
      <c r="D102" s="21" t="s">
        <v>86</v>
      </c>
      <c r="E102" s="48" t="s">
        <v>718</v>
      </c>
      <c r="F102" s="48">
        <v>1800</v>
      </c>
      <c r="G102" s="48">
        <v>5</v>
      </c>
      <c r="H102" s="48">
        <v>20</v>
      </c>
      <c r="I102" s="146" t="s">
        <v>770</v>
      </c>
      <c r="J102" s="118" t="s">
        <v>771</v>
      </c>
      <c r="K102" s="147">
        <v>3917.22</v>
      </c>
      <c r="L102" s="43"/>
      <c r="M102" s="43">
        <f t="shared" si="50"/>
        <v>0</v>
      </c>
      <c r="O102" s="44">
        <v>0.13</v>
      </c>
      <c r="P102" s="44">
        <f t="shared" si="51"/>
        <v>0</v>
      </c>
      <c r="Q102" s="45"/>
      <c r="R102" s="35">
        <f t="shared" si="52"/>
        <v>5</v>
      </c>
      <c r="S102" s="48">
        <f t="shared" si="52"/>
        <v>20</v>
      </c>
      <c r="T102" s="35">
        <f t="shared" si="53"/>
        <v>25</v>
      </c>
      <c r="U102" s="43">
        <f t="shared" si="54"/>
        <v>0</v>
      </c>
      <c r="V102" s="43">
        <f t="shared" si="55"/>
        <v>0</v>
      </c>
      <c r="W102" s="45"/>
      <c r="X102" s="50">
        <v>272.7</v>
      </c>
      <c r="Y102" s="50">
        <f t="shared" si="56"/>
        <v>0</v>
      </c>
      <c r="AA102" s="51">
        <v>4.0199999999999996</v>
      </c>
      <c r="AB102" s="51">
        <f t="shared" si="57"/>
        <v>0</v>
      </c>
      <c r="AC102" s="52" t="e">
        <f t="shared" si="58"/>
        <v>#DIV/0!</v>
      </c>
      <c r="AD102" s="50">
        <f t="shared" si="59"/>
        <v>0</v>
      </c>
    </row>
    <row r="103" spans="1:30" ht="26" x14ac:dyDescent="0.35">
      <c r="A103" s="82">
        <v>90448840</v>
      </c>
      <c r="B103" s="82" t="s">
        <v>772</v>
      </c>
      <c r="C103" s="82" t="s">
        <v>773</v>
      </c>
      <c r="D103" s="21" t="s">
        <v>86</v>
      </c>
      <c r="E103" s="48" t="s">
        <v>718</v>
      </c>
      <c r="F103" s="48">
        <v>1900</v>
      </c>
      <c r="G103" s="48">
        <v>5</v>
      </c>
      <c r="H103" s="48">
        <v>20</v>
      </c>
      <c r="I103" s="146" t="s">
        <v>774</v>
      </c>
      <c r="J103" s="118" t="s">
        <v>775</v>
      </c>
      <c r="K103" s="147">
        <v>3917.22</v>
      </c>
      <c r="L103" s="43"/>
      <c r="M103" s="43">
        <f t="shared" si="50"/>
        <v>0</v>
      </c>
      <c r="O103" s="44">
        <v>0.13</v>
      </c>
      <c r="P103" s="44">
        <f t="shared" si="51"/>
        <v>0</v>
      </c>
      <c r="Q103" s="45"/>
      <c r="R103" s="35">
        <f t="shared" si="52"/>
        <v>5</v>
      </c>
      <c r="S103" s="48">
        <f t="shared" si="52"/>
        <v>20</v>
      </c>
      <c r="T103" s="35">
        <f t="shared" si="53"/>
        <v>25</v>
      </c>
      <c r="U103" s="43">
        <f t="shared" si="54"/>
        <v>0</v>
      </c>
      <c r="V103" s="43">
        <f t="shared" si="55"/>
        <v>0</v>
      </c>
      <c r="W103" s="45"/>
      <c r="X103" s="49">
        <v>298.8</v>
      </c>
      <c r="Y103" s="50">
        <f t="shared" si="56"/>
        <v>0</v>
      </c>
      <c r="AA103" s="51">
        <v>4.17</v>
      </c>
      <c r="AB103" s="51">
        <f t="shared" si="57"/>
        <v>0</v>
      </c>
      <c r="AC103" s="52" t="e">
        <f t="shared" si="58"/>
        <v>#DIV/0!</v>
      </c>
      <c r="AD103" s="50">
        <f t="shared" si="59"/>
        <v>0</v>
      </c>
    </row>
    <row r="104" spans="1:30" ht="26" x14ac:dyDescent="0.35">
      <c r="A104" s="82">
        <v>90448900</v>
      </c>
      <c r="B104" s="82" t="s">
        <v>776</v>
      </c>
      <c r="C104" s="82" t="s">
        <v>777</v>
      </c>
      <c r="D104" s="21" t="s">
        <v>86</v>
      </c>
      <c r="E104" s="48" t="s">
        <v>718</v>
      </c>
      <c r="F104" s="48">
        <v>2400</v>
      </c>
      <c r="G104" s="48">
        <v>5</v>
      </c>
      <c r="H104" s="48">
        <v>25</v>
      </c>
      <c r="I104" s="146" t="s">
        <v>778</v>
      </c>
      <c r="J104" s="118" t="s">
        <v>779</v>
      </c>
      <c r="K104" s="147">
        <v>3917.22</v>
      </c>
      <c r="L104" s="43"/>
      <c r="M104" s="43">
        <f t="shared" si="50"/>
        <v>0</v>
      </c>
      <c r="O104" s="44">
        <v>0.26</v>
      </c>
      <c r="P104" s="44">
        <f t="shared" si="51"/>
        <v>0</v>
      </c>
      <c r="Q104" s="45"/>
      <c r="R104" s="35">
        <f t="shared" si="52"/>
        <v>5</v>
      </c>
      <c r="S104" s="48">
        <f t="shared" si="52"/>
        <v>25</v>
      </c>
      <c r="T104" s="35">
        <f t="shared" si="53"/>
        <v>30</v>
      </c>
      <c r="U104" s="43">
        <f t="shared" si="54"/>
        <v>0</v>
      </c>
      <c r="V104" s="43">
        <f t="shared" si="55"/>
        <v>0</v>
      </c>
      <c r="W104" s="45"/>
      <c r="X104" s="50">
        <v>363.6</v>
      </c>
      <c r="Y104" s="50">
        <f t="shared" si="56"/>
        <v>0</v>
      </c>
      <c r="AA104" s="51">
        <v>5.5</v>
      </c>
      <c r="AB104" s="51">
        <f t="shared" si="57"/>
        <v>0</v>
      </c>
      <c r="AC104" s="52" t="e">
        <f t="shared" si="58"/>
        <v>#DIV/0!</v>
      </c>
      <c r="AD104" s="50">
        <f t="shared" si="59"/>
        <v>0</v>
      </c>
    </row>
    <row r="105" spans="1:30" ht="13" x14ac:dyDescent="0.35">
      <c r="A105" s="20" t="s">
        <v>780</v>
      </c>
      <c r="B105" s="20"/>
      <c r="C105" s="20"/>
      <c r="D105" s="162"/>
      <c r="E105" s="30"/>
      <c r="F105" s="35"/>
      <c r="G105" s="35"/>
      <c r="H105" s="35"/>
      <c r="I105" s="82"/>
      <c r="J105" s="118"/>
      <c r="K105" s="118"/>
      <c r="L105" s="43"/>
      <c r="M105" s="43"/>
      <c r="O105" s="43"/>
      <c r="P105" s="44"/>
      <c r="Q105" s="45"/>
      <c r="R105" s="35"/>
      <c r="S105" s="35"/>
      <c r="T105" s="48"/>
      <c r="U105" s="43"/>
      <c r="V105" s="43"/>
      <c r="W105" s="45"/>
      <c r="X105" s="50"/>
      <c r="Y105" s="50"/>
      <c r="AA105" s="51"/>
      <c r="AB105" s="51"/>
      <c r="AC105" s="52"/>
      <c r="AD105" s="50"/>
    </row>
    <row r="106" spans="1:30" ht="26" x14ac:dyDescent="0.35">
      <c r="A106" s="144" t="s">
        <v>781</v>
      </c>
      <c r="B106" s="144" t="s">
        <v>781</v>
      </c>
      <c r="C106" s="144" t="s">
        <v>782</v>
      </c>
      <c r="D106" s="145" t="s">
        <v>86</v>
      </c>
      <c r="E106" s="48">
        <v>20</v>
      </c>
      <c r="F106" s="35">
        <v>150</v>
      </c>
      <c r="G106" s="35">
        <v>10</v>
      </c>
      <c r="H106" s="35">
        <v>400</v>
      </c>
      <c r="I106" s="157" t="s">
        <v>783</v>
      </c>
      <c r="J106" s="118" t="s">
        <v>784</v>
      </c>
      <c r="K106" s="147">
        <v>3917.22</v>
      </c>
      <c r="L106" s="43"/>
      <c r="M106" s="43">
        <f t="shared" ref="M106:M139" si="60">$L106/$H106</f>
        <v>0</v>
      </c>
      <c r="O106" s="44">
        <v>0.06</v>
      </c>
      <c r="P106" s="44">
        <f t="shared" ref="P106:P139" si="61">$M106*$O106</f>
        <v>0</v>
      </c>
      <c r="Q106" s="45"/>
      <c r="R106" s="35">
        <f t="shared" ref="R106:S139" si="62">G106</f>
        <v>10</v>
      </c>
      <c r="S106" s="35">
        <f t="shared" si="62"/>
        <v>400</v>
      </c>
      <c r="T106" s="35">
        <f t="shared" ref="T106:T120" si="63">S106+R106</f>
        <v>410</v>
      </c>
      <c r="U106" s="43">
        <f t="shared" ref="U106:U139" si="64">$M106*$T106*1.05</f>
        <v>0</v>
      </c>
      <c r="V106" s="43">
        <f t="shared" ref="V106:V139" si="65">ROUNDUP($U106/125,)</f>
        <v>0</v>
      </c>
      <c r="W106" s="45"/>
      <c r="X106" s="50">
        <v>13.5</v>
      </c>
      <c r="Y106" s="50">
        <f t="shared" ref="Y106:Y139" si="66">X106*$L106</f>
        <v>0</v>
      </c>
      <c r="AA106" s="51">
        <v>0.21</v>
      </c>
      <c r="AB106" s="51">
        <f t="shared" ref="AB106:AB139" si="67">$L106*AA106</f>
        <v>0</v>
      </c>
      <c r="AC106" s="52" t="e">
        <f t="shared" ref="AC106:AC139" si="68">AD106/L106</f>
        <v>#DIV/0!</v>
      </c>
      <c r="AD106" s="50">
        <f t="shared" ref="AD106:AD139" si="69">AB106*$AD$2</f>
        <v>0</v>
      </c>
    </row>
    <row r="107" spans="1:30" ht="26" x14ac:dyDescent="0.35">
      <c r="A107" s="82">
        <v>90444200</v>
      </c>
      <c r="B107" s="82" t="s">
        <v>785</v>
      </c>
      <c r="C107" s="82" t="s">
        <v>782</v>
      </c>
      <c r="D107" s="21" t="s">
        <v>86</v>
      </c>
      <c r="E107" s="48" t="s">
        <v>318</v>
      </c>
      <c r="F107" s="35">
        <v>150</v>
      </c>
      <c r="G107" s="35">
        <v>10</v>
      </c>
      <c r="H107" s="35">
        <v>400</v>
      </c>
      <c r="I107" s="157" t="s">
        <v>786</v>
      </c>
      <c r="J107" s="118" t="s">
        <v>787</v>
      </c>
      <c r="K107" s="147">
        <v>3917.22</v>
      </c>
      <c r="L107" s="43"/>
      <c r="M107" s="43">
        <f t="shared" si="60"/>
        <v>0</v>
      </c>
      <c r="O107" s="44">
        <v>0.06</v>
      </c>
      <c r="P107" s="44">
        <f t="shared" si="61"/>
        <v>0</v>
      </c>
      <c r="Q107" s="45"/>
      <c r="R107" s="35">
        <f t="shared" si="62"/>
        <v>10</v>
      </c>
      <c r="S107" s="35">
        <f t="shared" si="62"/>
        <v>400</v>
      </c>
      <c r="T107" s="35">
        <f t="shared" si="63"/>
        <v>410</v>
      </c>
      <c r="U107" s="43">
        <f t="shared" si="64"/>
        <v>0</v>
      </c>
      <c r="V107" s="43">
        <f t="shared" si="65"/>
        <v>0</v>
      </c>
      <c r="W107" s="45"/>
      <c r="X107" s="50">
        <v>13.5</v>
      </c>
      <c r="Y107" s="50">
        <f t="shared" si="66"/>
        <v>0</v>
      </c>
      <c r="AA107" s="51">
        <v>0.21</v>
      </c>
      <c r="AB107" s="51">
        <f t="shared" si="67"/>
        <v>0</v>
      </c>
      <c r="AC107" s="52" t="e">
        <f t="shared" si="68"/>
        <v>#DIV/0!</v>
      </c>
      <c r="AD107" s="50">
        <f t="shared" si="69"/>
        <v>0</v>
      </c>
    </row>
    <row r="108" spans="1:30" ht="26" x14ac:dyDescent="0.35">
      <c r="A108" s="144" t="s">
        <v>788</v>
      </c>
      <c r="B108" s="144" t="s">
        <v>788</v>
      </c>
      <c r="C108" s="144" t="s">
        <v>789</v>
      </c>
      <c r="D108" s="145" t="s">
        <v>86</v>
      </c>
      <c r="E108" s="48">
        <v>20</v>
      </c>
      <c r="F108" s="48">
        <v>200</v>
      </c>
      <c r="G108" s="35">
        <v>10</v>
      </c>
      <c r="H108" s="35">
        <v>300</v>
      </c>
      <c r="I108" s="157" t="s">
        <v>790</v>
      </c>
      <c r="J108" s="118" t="s">
        <v>791</v>
      </c>
      <c r="K108" s="147">
        <v>3917.22</v>
      </c>
      <c r="L108" s="43"/>
      <c r="M108" s="43">
        <f t="shared" si="60"/>
        <v>0</v>
      </c>
      <c r="O108" s="44">
        <v>0.06</v>
      </c>
      <c r="P108" s="44">
        <f t="shared" si="61"/>
        <v>0</v>
      </c>
      <c r="Q108" s="45"/>
      <c r="R108" s="35">
        <f t="shared" si="62"/>
        <v>10</v>
      </c>
      <c r="S108" s="35">
        <f t="shared" si="62"/>
        <v>300</v>
      </c>
      <c r="T108" s="35">
        <f t="shared" si="63"/>
        <v>310</v>
      </c>
      <c r="U108" s="43">
        <f t="shared" si="64"/>
        <v>0</v>
      </c>
      <c r="V108" s="43">
        <f t="shared" si="65"/>
        <v>0</v>
      </c>
      <c r="W108" s="45"/>
      <c r="X108" s="50">
        <v>15.3</v>
      </c>
      <c r="Y108" s="50">
        <f t="shared" si="66"/>
        <v>0</v>
      </c>
      <c r="AA108" s="51">
        <v>0.23</v>
      </c>
      <c r="AB108" s="51">
        <f t="shared" si="67"/>
        <v>0</v>
      </c>
      <c r="AC108" s="52" t="e">
        <f t="shared" si="68"/>
        <v>#DIV/0!</v>
      </c>
      <c r="AD108" s="50">
        <f t="shared" si="69"/>
        <v>0</v>
      </c>
    </row>
    <row r="109" spans="1:30" ht="26" x14ac:dyDescent="0.35">
      <c r="A109" s="144" t="s">
        <v>792</v>
      </c>
      <c r="B109" s="144" t="s">
        <v>792</v>
      </c>
      <c r="C109" s="144" t="s">
        <v>793</v>
      </c>
      <c r="D109" s="145" t="s">
        <v>86</v>
      </c>
      <c r="E109" s="48">
        <v>20</v>
      </c>
      <c r="F109" s="48">
        <v>300</v>
      </c>
      <c r="G109" s="35">
        <v>10</v>
      </c>
      <c r="H109" s="35">
        <v>200</v>
      </c>
      <c r="I109" s="157" t="s">
        <v>794</v>
      </c>
      <c r="J109" s="118" t="s">
        <v>795</v>
      </c>
      <c r="K109" s="147">
        <v>3917.22</v>
      </c>
      <c r="L109" s="43"/>
      <c r="M109" s="43">
        <f t="shared" si="60"/>
        <v>0</v>
      </c>
      <c r="O109" s="44">
        <v>0.06</v>
      </c>
      <c r="P109" s="44">
        <f t="shared" si="61"/>
        <v>0</v>
      </c>
      <c r="Q109" s="45"/>
      <c r="R109" s="35">
        <f t="shared" si="62"/>
        <v>10</v>
      </c>
      <c r="S109" s="35">
        <f t="shared" si="62"/>
        <v>200</v>
      </c>
      <c r="T109" s="35">
        <f t="shared" si="63"/>
        <v>210</v>
      </c>
      <c r="U109" s="43">
        <f t="shared" si="64"/>
        <v>0</v>
      </c>
      <c r="V109" s="43">
        <f t="shared" si="65"/>
        <v>0</v>
      </c>
      <c r="W109" s="45"/>
      <c r="X109" s="50">
        <v>20.34</v>
      </c>
      <c r="Y109" s="50">
        <f t="shared" si="66"/>
        <v>0</v>
      </c>
      <c r="AA109" s="51">
        <v>0.3</v>
      </c>
      <c r="AB109" s="51">
        <f t="shared" si="67"/>
        <v>0</v>
      </c>
      <c r="AC109" s="52" t="e">
        <f t="shared" si="68"/>
        <v>#DIV/0!</v>
      </c>
      <c r="AD109" s="50">
        <f t="shared" si="69"/>
        <v>0</v>
      </c>
    </row>
    <row r="110" spans="1:30" ht="26" x14ac:dyDescent="0.35">
      <c r="A110" s="82">
        <v>90444300</v>
      </c>
      <c r="B110" s="82" t="s">
        <v>796</v>
      </c>
      <c r="C110" s="82" t="s">
        <v>793</v>
      </c>
      <c r="D110" s="21" t="s">
        <v>86</v>
      </c>
      <c r="E110" s="48" t="s">
        <v>318</v>
      </c>
      <c r="F110" s="48">
        <v>300</v>
      </c>
      <c r="G110" s="35">
        <v>10</v>
      </c>
      <c r="H110" s="35">
        <v>200</v>
      </c>
      <c r="I110" s="157" t="s">
        <v>797</v>
      </c>
      <c r="J110" s="118" t="s">
        <v>798</v>
      </c>
      <c r="K110" s="147">
        <v>3917.22</v>
      </c>
      <c r="L110" s="43"/>
      <c r="M110" s="43">
        <f t="shared" si="60"/>
        <v>0</v>
      </c>
      <c r="O110" s="44">
        <v>0.06</v>
      </c>
      <c r="P110" s="44">
        <f t="shared" si="61"/>
        <v>0</v>
      </c>
      <c r="Q110" s="45"/>
      <c r="R110" s="35">
        <f t="shared" si="62"/>
        <v>10</v>
      </c>
      <c r="S110" s="35">
        <f t="shared" si="62"/>
        <v>200</v>
      </c>
      <c r="T110" s="35">
        <f t="shared" si="63"/>
        <v>210</v>
      </c>
      <c r="U110" s="43">
        <f t="shared" si="64"/>
        <v>0</v>
      </c>
      <c r="V110" s="43">
        <f t="shared" si="65"/>
        <v>0</v>
      </c>
      <c r="W110" s="45"/>
      <c r="X110" s="50">
        <v>20.34</v>
      </c>
      <c r="Y110" s="50">
        <f t="shared" si="66"/>
        <v>0</v>
      </c>
      <c r="AA110" s="51">
        <v>0.3</v>
      </c>
      <c r="AB110" s="51">
        <f t="shared" si="67"/>
        <v>0</v>
      </c>
      <c r="AC110" s="52" t="e">
        <f t="shared" si="68"/>
        <v>#DIV/0!</v>
      </c>
      <c r="AD110" s="50">
        <f t="shared" si="69"/>
        <v>0</v>
      </c>
    </row>
    <row r="111" spans="1:30" ht="26" x14ac:dyDescent="0.35">
      <c r="A111" s="144" t="s">
        <v>799</v>
      </c>
      <c r="B111" s="144" t="s">
        <v>799</v>
      </c>
      <c r="C111" s="144" t="s">
        <v>800</v>
      </c>
      <c r="D111" s="145" t="s">
        <v>86</v>
      </c>
      <c r="E111" s="48">
        <v>20</v>
      </c>
      <c r="F111" s="48">
        <v>450</v>
      </c>
      <c r="G111" s="35">
        <v>10</v>
      </c>
      <c r="H111" s="35">
        <v>100</v>
      </c>
      <c r="I111" s="157" t="s">
        <v>801</v>
      </c>
      <c r="J111" s="118" t="s">
        <v>802</v>
      </c>
      <c r="K111" s="147">
        <v>3917.22</v>
      </c>
      <c r="L111" s="43"/>
      <c r="M111" s="43">
        <f t="shared" si="60"/>
        <v>0</v>
      </c>
      <c r="O111" s="44">
        <v>0.08</v>
      </c>
      <c r="P111" s="44">
        <f t="shared" si="61"/>
        <v>0</v>
      </c>
      <c r="Q111" s="45"/>
      <c r="R111" s="35">
        <f t="shared" si="62"/>
        <v>10</v>
      </c>
      <c r="S111" s="35">
        <f t="shared" si="62"/>
        <v>100</v>
      </c>
      <c r="T111" s="35">
        <f t="shared" si="63"/>
        <v>110</v>
      </c>
      <c r="U111" s="43">
        <f t="shared" si="64"/>
        <v>0</v>
      </c>
      <c r="V111" s="43">
        <f t="shared" si="65"/>
        <v>0</v>
      </c>
      <c r="W111" s="45"/>
      <c r="X111" s="50">
        <v>27.18</v>
      </c>
      <c r="Y111" s="50">
        <f t="shared" si="66"/>
        <v>0</v>
      </c>
      <c r="AA111" s="51">
        <v>0.4</v>
      </c>
      <c r="AB111" s="51">
        <f t="shared" si="67"/>
        <v>0</v>
      </c>
      <c r="AC111" s="52" t="e">
        <f t="shared" si="68"/>
        <v>#DIV/0!</v>
      </c>
      <c r="AD111" s="50">
        <f t="shared" si="69"/>
        <v>0</v>
      </c>
    </row>
    <row r="112" spans="1:30" ht="26" x14ac:dyDescent="0.35">
      <c r="A112" s="82">
        <v>90444400</v>
      </c>
      <c r="B112" s="82" t="s">
        <v>803</v>
      </c>
      <c r="C112" s="82" t="s">
        <v>800</v>
      </c>
      <c r="D112" s="21" t="s">
        <v>86</v>
      </c>
      <c r="E112" s="48" t="s">
        <v>318</v>
      </c>
      <c r="F112" s="48">
        <v>450</v>
      </c>
      <c r="G112" s="35">
        <v>10</v>
      </c>
      <c r="H112" s="35">
        <v>100</v>
      </c>
      <c r="I112" s="157" t="s">
        <v>804</v>
      </c>
      <c r="J112" s="118" t="s">
        <v>805</v>
      </c>
      <c r="K112" s="147">
        <v>3917.22</v>
      </c>
      <c r="L112" s="43"/>
      <c r="M112" s="43">
        <f t="shared" si="60"/>
        <v>0</v>
      </c>
      <c r="O112" s="44">
        <v>0.08</v>
      </c>
      <c r="P112" s="44">
        <f t="shared" si="61"/>
        <v>0</v>
      </c>
      <c r="Q112" s="45"/>
      <c r="R112" s="35">
        <f t="shared" si="62"/>
        <v>10</v>
      </c>
      <c r="S112" s="35">
        <f t="shared" si="62"/>
        <v>100</v>
      </c>
      <c r="T112" s="35">
        <f t="shared" si="63"/>
        <v>110</v>
      </c>
      <c r="U112" s="43">
        <f t="shared" si="64"/>
        <v>0</v>
      </c>
      <c r="V112" s="43">
        <f t="shared" si="65"/>
        <v>0</v>
      </c>
      <c r="W112" s="45"/>
      <c r="X112" s="50">
        <v>27.18</v>
      </c>
      <c r="Y112" s="50">
        <f t="shared" si="66"/>
        <v>0</v>
      </c>
      <c r="AA112" s="51">
        <v>0.41</v>
      </c>
      <c r="AB112" s="51">
        <f t="shared" si="67"/>
        <v>0</v>
      </c>
      <c r="AC112" s="52" t="e">
        <f t="shared" si="68"/>
        <v>#DIV/0!</v>
      </c>
      <c r="AD112" s="50">
        <f t="shared" si="69"/>
        <v>0</v>
      </c>
    </row>
    <row r="113" spans="1:30" ht="26" x14ac:dyDescent="0.35">
      <c r="A113" s="144" t="s">
        <v>806</v>
      </c>
      <c r="B113" s="144" t="s">
        <v>806</v>
      </c>
      <c r="C113" s="144" t="s">
        <v>807</v>
      </c>
      <c r="D113" s="145" t="s">
        <v>86</v>
      </c>
      <c r="E113" s="48">
        <v>20</v>
      </c>
      <c r="F113" s="35">
        <v>600</v>
      </c>
      <c r="G113" s="35">
        <v>10</v>
      </c>
      <c r="H113" s="35">
        <v>100</v>
      </c>
      <c r="I113" s="146" t="s">
        <v>808</v>
      </c>
      <c r="J113" s="118" t="s">
        <v>809</v>
      </c>
      <c r="K113" s="147">
        <v>3917.22</v>
      </c>
      <c r="L113" s="43"/>
      <c r="M113" s="43">
        <f t="shared" si="60"/>
        <v>0</v>
      </c>
      <c r="O113" s="44">
        <v>0.06</v>
      </c>
      <c r="P113" s="44">
        <f t="shared" si="61"/>
        <v>0</v>
      </c>
      <c r="Q113" s="45"/>
      <c r="R113" s="35">
        <f t="shared" si="62"/>
        <v>10</v>
      </c>
      <c r="S113" s="35">
        <f t="shared" si="62"/>
        <v>100</v>
      </c>
      <c r="T113" s="35">
        <f t="shared" si="63"/>
        <v>110</v>
      </c>
      <c r="U113" s="43">
        <f t="shared" si="64"/>
        <v>0</v>
      </c>
      <c r="V113" s="43">
        <f t="shared" si="65"/>
        <v>0</v>
      </c>
      <c r="W113" s="45"/>
      <c r="X113" s="50">
        <v>34.020000000000003</v>
      </c>
      <c r="Y113" s="50">
        <f t="shared" si="66"/>
        <v>0</v>
      </c>
      <c r="AA113" s="51">
        <v>0.48</v>
      </c>
      <c r="AB113" s="51">
        <f t="shared" si="67"/>
        <v>0</v>
      </c>
      <c r="AC113" s="52" t="e">
        <f t="shared" si="68"/>
        <v>#DIV/0!</v>
      </c>
      <c r="AD113" s="50">
        <f t="shared" si="69"/>
        <v>0</v>
      </c>
    </row>
    <row r="114" spans="1:30" ht="26" x14ac:dyDescent="0.35">
      <c r="A114" s="82">
        <v>90444600</v>
      </c>
      <c r="B114" s="82" t="s">
        <v>810</v>
      </c>
      <c r="C114" s="82" t="s">
        <v>807</v>
      </c>
      <c r="D114" s="21" t="s">
        <v>86</v>
      </c>
      <c r="E114" s="48" t="s">
        <v>318</v>
      </c>
      <c r="F114" s="48">
        <v>600</v>
      </c>
      <c r="G114" s="35">
        <v>10</v>
      </c>
      <c r="H114" s="35">
        <v>100</v>
      </c>
      <c r="I114" s="157" t="s">
        <v>811</v>
      </c>
      <c r="J114" s="118" t="s">
        <v>812</v>
      </c>
      <c r="K114" s="147">
        <v>3917.22</v>
      </c>
      <c r="L114" s="43"/>
      <c r="M114" s="43">
        <f t="shared" si="60"/>
        <v>0</v>
      </c>
      <c r="O114" s="44">
        <v>0.06</v>
      </c>
      <c r="P114" s="44">
        <f t="shared" si="61"/>
        <v>0</v>
      </c>
      <c r="Q114" s="45"/>
      <c r="R114" s="35">
        <f t="shared" si="62"/>
        <v>10</v>
      </c>
      <c r="S114" s="35">
        <f t="shared" si="62"/>
        <v>100</v>
      </c>
      <c r="T114" s="35">
        <f t="shared" si="63"/>
        <v>110</v>
      </c>
      <c r="U114" s="43">
        <f t="shared" si="64"/>
        <v>0</v>
      </c>
      <c r="V114" s="43">
        <f t="shared" si="65"/>
        <v>0</v>
      </c>
      <c r="W114" s="45"/>
      <c r="X114" s="50">
        <v>34.020000000000003</v>
      </c>
      <c r="Y114" s="50">
        <f t="shared" si="66"/>
        <v>0</v>
      </c>
      <c r="AA114" s="51">
        <v>0.49</v>
      </c>
      <c r="AB114" s="51">
        <f t="shared" si="67"/>
        <v>0</v>
      </c>
      <c r="AC114" s="52" t="e">
        <f t="shared" si="68"/>
        <v>#DIV/0!</v>
      </c>
      <c r="AD114" s="50">
        <f t="shared" si="69"/>
        <v>0</v>
      </c>
    </row>
    <row r="115" spans="1:30" ht="26" x14ac:dyDescent="0.35">
      <c r="A115" s="144" t="s">
        <v>813</v>
      </c>
      <c r="B115" s="144" t="s">
        <v>813</v>
      </c>
      <c r="C115" s="144" t="s">
        <v>814</v>
      </c>
      <c r="D115" s="145" t="s">
        <v>86</v>
      </c>
      <c r="E115" s="48">
        <v>20</v>
      </c>
      <c r="F115" s="35">
        <v>750</v>
      </c>
      <c r="G115" s="35">
        <v>10</v>
      </c>
      <c r="H115" s="35">
        <v>100</v>
      </c>
      <c r="I115" s="146" t="s">
        <v>815</v>
      </c>
      <c r="J115" s="118" t="s">
        <v>816</v>
      </c>
      <c r="K115" s="147">
        <v>3917.22</v>
      </c>
      <c r="L115" s="43"/>
      <c r="M115" s="43">
        <f t="shared" si="60"/>
        <v>0</v>
      </c>
      <c r="O115" s="44">
        <v>7.0000000000000007E-2</v>
      </c>
      <c r="P115" s="44">
        <f t="shared" si="61"/>
        <v>0</v>
      </c>
      <c r="Q115" s="45"/>
      <c r="R115" s="35">
        <f t="shared" si="62"/>
        <v>10</v>
      </c>
      <c r="S115" s="35">
        <f t="shared" si="62"/>
        <v>100</v>
      </c>
      <c r="T115" s="35">
        <f t="shared" si="63"/>
        <v>110</v>
      </c>
      <c r="U115" s="43">
        <f t="shared" si="64"/>
        <v>0</v>
      </c>
      <c r="V115" s="43">
        <f t="shared" si="65"/>
        <v>0</v>
      </c>
      <c r="W115" s="45"/>
      <c r="X115" s="50">
        <v>40.86</v>
      </c>
      <c r="Y115" s="50">
        <f t="shared" si="66"/>
        <v>0</v>
      </c>
      <c r="AA115" s="51">
        <v>0.56000000000000005</v>
      </c>
      <c r="AB115" s="51">
        <f t="shared" si="67"/>
        <v>0</v>
      </c>
      <c r="AC115" s="52" t="e">
        <f t="shared" si="68"/>
        <v>#DIV/0!</v>
      </c>
      <c r="AD115" s="50">
        <f t="shared" si="69"/>
        <v>0</v>
      </c>
    </row>
    <row r="116" spans="1:30" ht="26" x14ac:dyDescent="0.35">
      <c r="A116" s="82">
        <v>90444700</v>
      </c>
      <c r="B116" s="82" t="s">
        <v>817</v>
      </c>
      <c r="C116" s="82" t="s">
        <v>814</v>
      </c>
      <c r="D116" s="21" t="s">
        <v>86</v>
      </c>
      <c r="E116" s="48" t="s">
        <v>318</v>
      </c>
      <c r="F116" s="48">
        <v>750</v>
      </c>
      <c r="G116" s="35">
        <v>10</v>
      </c>
      <c r="H116" s="35">
        <v>100</v>
      </c>
      <c r="I116" s="157" t="s">
        <v>818</v>
      </c>
      <c r="J116" s="118" t="s">
        <v>819</v>
      </c>
      <c r="K116" s="147">
        <v>3917.22</v>
      </c>
      <c r="L116" s="43"/>
      <c r="M116" s="43">
        <f t="shared" si="60"/>
        <v>0</v>
      </c>
      <c r="O116" s="44">
        <v>7.0000000000000007E-2</v>
      </c>
      <c r="P116" s="44">
        <f t="shared" si="61"/>
        <v>0</v>
      </c>
      <c r="Q116" s="45"/>
      <c r="R116" s="35">
        <f t="shared" si="62"/>
        <v>10</v>
      </c>
      <c r="S116" s="35">
        <f t="shared" si="62"/>
        <v>100</v>
      </c>
      <c r="T116" s="35">
        <f t="shared" si="63"/>
        <v>110</v>
      </c>
      <c r="U116" s="43">
        <f t="shared" si="64"/>
        <v>0</v>
      </c>
      <c r="V116" s="43">
        <f t="shared" si="65"/>
        <v>0</v>
      </c>
      <c r="W116" s="45"/>
      <c r="X116" s="50">
        <v>40.86</v>
      </c>
      <c r="Y116" s="50">
        <f t="shared" si="66"/>
        <v>0</v>
      </c>
      <c r="AA116" s="51">
        <v>0.6</v>
      </c>
      <c r="AB116" s="51">
        <f t="shared" si="67"/>
        <v>0</v>
      </c>
      <c r="AC116" s="52" t="e">
        <f t="shared" si="68"/>
        <v>#DIV/0!</v>
      </c>
      <c r="AD116" s="50">
        <f t="shared" si="69"/>
        <v>0</v>
      </c>
    </row>
    <row r="117" spans="1:30" ht="26" x14ac:dyDescent="0.35">
      <c r="A117" s="144" t="s">
        <v>820</v>
      </c>
      <c r="B117" s="144" t="s">
        <v>820</v>
      </c>
      <c r="C117" s="144" t="s">
        <v>821</v>
      </c>
      <c r="D117" s="145" t="s">
        <v>86</v>
      </c>
      <c r="E117" s="48">
        <v>20</v>
      </c>
      <c r="F117" s="35">
        <v>900</v>
      </c>
      <c r="G117" s="35">
        <v>10</v>
      </c>
      <c r="H117" s="35">
        <v>50</v>
      </c>
      <c r="I117" s="146" t="s">
        <v>822</v>
      </c>
      <c r="J117" s="118" t="s">
        <v>823</v>
      </c>
      <c r="K117" s="147">
        <v>3917.22</v>
      </c>
      <c r="L117" s="43"/>
      <c r="M117" s="43">
        <f t="shared" si="60"/>
        <v>0</v>
      </c>
      <c r="O117" s="44">
        <v>0.08</v>
      </c>
      <c r="P117" s="44">
        <f t="shared" si="61"/>
        <v>0</v>
      </c>
      <c r="Q117" s="45"/>
      <c r="R117" s="35">
        <f t="shared" si="62"/>
        <v>10</v>
      </c>
      <c r="S117" s="35">
        <f t="shared" si="62"/>
        <v>50</v>
      </c>
      <c r="T117" s="35">
        <f t="shared" si="63"/>
        <v>60</v>
      </c>
      <c r="U117" s="43">
        <f t="shared" si="64"/>
        <v>0</v>
      </c>
      <c r="V117" s="43">
        <f t="shared" si="65"/>
        <v>0</v>
      </c>
      <c r="W117" s="45"/>
      <c r="X117" s="50">
        <v>47.61</v>
      </c>
      <c r="Y117" s="50">
        <f t="shared" si="66"/>
        <v>0</v>
      </c>
      <c r="AA117" s="51">
        <v>0.6</v>
      </c>
      <c r="AB117" s="51">
        <f t="shared" si="67"/>
        <v>0</v>
      </c>
      <c r="AC117" s="52" t="e">
        <f t="shared" si="68"/>
        <v>#DIV/0!</v>
      </c>
      <c r="AD117" s="50">
        <f t="shared" si="69"/>
        <v>0</v>
      </c>
    </row>
    <row r="118" spans="1:30" ht="26" x14ac:dyDescent="0.35">
      <c r="A118" s="82">
        <v>90444800</v>
      </c>
      <c r="B118" s="82" t="s">
        <v>824</v>
      </c>
      <c r="C118" s="82" t="s">
        <v>821</v>
      </c>
      <c r="D118" s="21" t="s">
        <v>86</v>
      </c>
      <c r="E118" s="48" t="s">
        <v>318</v>
      </c>
      <c r="F118" s="48">
        <v>900</v>
      </c>
      <c r="G118" s="35">
        <v>10</v>
      </c>
      <c r="H118" s="35">
        <v>50</v>
      </c>
      <c r="I118" s="157" t="s">
        <v>825</v>
      </c>
      <c r="J118" s="118" t="s">
        <v>826</v>
      </c>
      <c r="K118" s="147">
        <v>3917.22</v>
      </c>
      <c r="L118" s="43"/>
      <c r="M118" s="43">
        <f t="shared" si="60"/>
        <v>0</v>
      </c>
      <c r="O118" s="44">
        <v>0.08</v>
      </c>
      <c r="P118" s="44">
        <f t="shared" si="61"/>
        <v>0</v>
      </c>
      <c r="Q118" s="45"/>
      <c r="R118" s="35">
        <f t="shared" si="62"/>
        <v>10</v>
      </c>
      <c r="S118" s="35">
        <f t="shared" si="62"/>
        <v>50</v>
      </c>
      <c r="T118" s="35">
        <f t="shared" si="63"/>
        <v>60</v>
      </c>
      <c r="U118" s="43">
        <f t="shared" si="64"/>
        <v>0</v>
      </c>
      <c r="V118" s="43">
        <f t="shared" si="65"/>
        <v>0</v>
      </c>
      <c r="W118" s="45"/>
      <c r="X118" s="50">
        <v>47.61</v>
      </c>
      <c r="Y118" s="50">
        <f t="shared" si="66"/>
        <v>0</v>
      </c>
      <c r="AA118" s="51">
        <v>0.72</v>
      </c>
      <c r="AB118" s="51">
        <f t="shared" si="67"/>
        <v>0</v>
      </c>
      <c r="AC118" s="52" t="e">
        <f t="shared" si="68"/>
        <v>#DIV/0!</v>
      </c>
      <c r="AD118" s="50">
        <f t="shared" si="69"/>
        <v>0</v>
      </c>
    </row>
    <row r="119" spans="1:30" ht="26" x14ac:dyDescent="0.35">
      <c r="A119" s="144" t="s">
        <v>827</v>
      </c>
      <c r="B119" s="144" t="s">
        <v>827</v>
      </c>
      <c r="C119" s="144" t="s">
        <v>828</v>
      </c>
      <c r="D119" s="145" t="s">
        <v>86</v>
      </c>
      <c r="E119" s="48">
        <v>20</v>
      </c>
      <c r="F119" s="35">
        <v>1200</v>
      </c>
      <c r="G119" s="35">
        <v>10</v>
      </c>
      <c r="H119" s="35">
        <v>50</v>
      </c>
      <c r="I119" s="146" t="s">
        <v>829</v>
      </c>
      <c r="J119" s="118" t="s">
        <v>830</v>
      </c>
      <c r="K119" s="147">
        <v>3917.22</v>
      </c>
      <c r="L119" s="43"/>
      <c r="M119" s="43">
        <f t="shared" si="60"/>
        <v>0</v>
      </c>
      <c r="O119" s="44">
        <v>0.06</v>
      </c>
      <c r="P119" s="44">
        <f t="shared" si="61"/>
        <v>0</v>
      </c>
      <c r="Q119" s="45"/>
      <c r="R119" s="35">
        <f t="shared" si="62"/>
        <v>10</v>
      </c>
      <c r="S119" s="35">
        <f t="shared" si="62"/>
        <v>50</v>
      </c>
      <c r="T119" s="35">
        <f t="shared" si="63"/>
        <v>60</v>
      </c>
      <c r="U119" s="43">
        <f t="shared" si="64"/>
        <v>0</v>
      </c>
      <c r="V119" s="43">
        <f t="shared" si="65"/>
        <v>0</v>
      </c>
      <c r="W119" s="45"/>
      <c r="X119" s="50">
        <v>61.2</v>
      </c>
      <c r="Y119" s="50">
        <f t="shared" si="66"/>
        <v>0</v>
      </c>
      <c r="AA119" s="51">
        <v>0.89</v>
      </c>
      <c r="AB119" s="51">
        <f t="shared" si="67"/>
        <v>0</v>
      </c>
      <c r="AC119" s="52" t="e">
        <f t="shared" si="68"/>
        <v>#DIV/0!</v>
      </c>
      <c r="AD119" s="50">
        <f t="shared" si="69"/>
        <v>0</v>
      </c>
    </row>
    <row r="120" spans="1:30" ht="26" x14ac:dyDescent="0.35">
      <c r="A120" s="144" t="s">
        <v>831</v>
      </c>
      <c r="B120" s="144" t="s">
        <v>831</v>
      </c>
      <c r="C120" s="144" t="s">
        <v>832</v>
      </c>
      <c r="D120" s="145" t="s">
        <v>86</v>
      </c>
      <c r="E120" s="48">
        <v>20</v>
      </c>
      <c r="F120" s="35">
        <v>1500</v>
      </c>
      <c r="G120" s="35">
        <v>10</v>
      </c>
      <c r="H120" s="35">
        <v>50</v>
      </c>
      <c r="I120" s="146" t="s">
        <v>833</v>
      </c>
      <c r="J120" s="118" t="s">
        <v>834</v>
      </c>
      <c r="K120" s="147">
        <v>3917.22</v>
      </c>
      <c r="L120" s="43"/>
      <c r="M120" s="43">
        <f t="shared" si="60"/>
        <v>0</v>
      </c>
      <c r="O120" s="44">
        <v>7.0000000000000007E-2</v>
      </c>
      <c r="P120" s="44">
        <f t="shared" si="61"/>
        <v>0</v>
      </c>
      <c r="Q120" s="45"/>
      <c r="R120" s="35">
        <f t="shared" si="62"/>
        <v>10</v>
      </c>
      <c r="S120" s="35">
        <f t="shared" si="62"/>
        <v>50</v>
      </c>
      <c r="T120" s="35">
        <f t="shared" si="63"/>
        <v>60</v>
      </c>
      <c r="U120" s="43">
        <f t="shared" si="64"/>
        <v>0</v>
      </c>
      <c r="V120" s="43">
        <f t="shared" si="65"/>
        <v>0</v>
      </c>
      <c r="W120" s="45"/>
      <c r="X120" s="50">
        <v>75.06</v>
      </c>
      <c r="Y120" s="50">
        <f t="shared" si="66"/>
        <v>0</v>
      </c>
      <c r="AA120" s="51">
        <v>1.04</v>
      </c>
      <c r="AB120" s="51">
        <f t="shared" si="67"/>
        <v>0</v>
      </c>
      <c r="AC120" s="52" t="e">
        <f t="shared" si="68"/>
        <v>#DIV/0!</v>
      </c>
      <c r="AD120" s="50">
        <f t="shared" si="69"/>
        <v>0</v>
      </c>
    </row>
    <row r="121" spans="1:30" ht="26" x14ac:dyDescent="0.35">
      <c r="A121" s="144" t="s">
        <v>835</v>
      </c>
      <c r="B121" s="144" t="s">
        <v>835</v>
      </c>
      <c r="C121" s="144" t="s">
        <v>836</v>
      </c>
      <c r="D121" s="145" t="s">
        <v>86</v>
      </c>
      <c r="E121" s="48">
        <v>20</v>
      </c>
      <c r="F121" s="35">
        <v>1800</v>
      </c>
      <c r="G121" s="35">
        <v>10</v>
      </c>
      <c r="H121" s="35">
        <v>50</v>
      </c>
      <c r="I121" s="146" t="s">
        <v>837</v>
      </c>
      <c r="J121" s="118" t="s">
        <v>838</v>
      </c>
      <c r="K121" s="147">
        <v>3917.22</v>
      </c>
      <c r="L121" s="43"/>
      <c r="M121" s="43">
        <f t="shared" si="60"/>
        <v>0</v>
      </c>
      <c r="O121" s="44">
        <v>0.09</v>
      </c>
      <c r="P121" s="44">
        <f t="shared" si="61"/>
        <v>0</v>
      </c>
      <c r="Q121" s="45"/>
      <c r="R121" s="48">
        <f t="shared" si="62"/>
        <v>10</v>
      </c>
      <c r="S121" s="48">
        <f t="shared" si="62"/>
        <v>50</v>
      </c>
      <c r="T121" s="48">
        <v>55</v>
      </c>
      <c r="U121" s="43">
        <f t="shared" si="64"/>
        <v>0</v>
      </c>
      <c r="V121" s="43">
        <f t="shared" si="65"/>
        <v>0</v>
      </c>
      <c r="W121" s="45"/>
      <c r="X121" s="50">
        <v>88.2</v>
      </c>
      <c r="Y121" s="50">
        <f t="shared" si="66"/>
        <v>0</v>
      </c>
      <c r="AA121" s="51">
        <v>1.22</v>
      </c>
      <c r="AB121" s="51">
        <f t="shared" si="67"/>
        <v>0</v>
      </c>
      <c r="AC121" s="52" t="e">
        <f t="shared" si="68"/>
        <v>#DIV/0!</v>
      </c>
      <c r="AD121" s="50">
        <f t="shared" si="69"/>
        <v>0</v>
      </c>
    </row>
    <row r="122" spans="1:30" ht="26" x14ac:dyDescent="0.35">
      <c r="A122" s="144" t="s">
        <v>839</v>
      </c>
      <c r="B122" s="144" t="s">
        <v>839</v>
      </c>
      <c r="C122" s="144" t="s">
        <v>840</v>
      </c>
      <c r="D122" s="145" t="s">
        <v>86</v>
      </c>
      <c r="E122" s="48">
        <v>25</v>
      </c>
      <c r="F122" s="35">
        <v>150</v>
      </c>
      <c r="G122" s="35">
        <v>10</v>
      </c>
      <c r="H122" s="35">
        <v>200</v>
      </c>
      <c r="I122" s="146" t="s">
        <v>841</v>
      </c>
      <c r="J122" s="118" t="s">
        <v>842</v>
      </c>
      <c r="K122" s="147">
        <v>3917.22</v>
      </c>
      <c r="L122" s="43"/>
      <c r="M122" s="43">
        <f t="shared" si="60"/>
        <v>0</v>
      </c>
      <c r="O122" s="44">
        <v>0.04</v>
      </c>
      <c r="P122" s="44">
        <f t="shared" si="61"/>
        <v>0</v>
      </c>
      <c r="Q122" s="45"/>
      <c r="R122" s="35">
        <f t="shared" si="62"/>
        <v>10</v>
      </c>
      <c r="S122" s="35">
        <f t="shared" si="62"/>
        <v>200</v>
      </c>
      <c r="T122" s="35">
        <f t="shared" ref="T122:T139" si="70">S122+R122</f>
        <v>210</v>
      </c>
      <c r="U122" s="43">
        <f t="shared" si="64"/>
        <v>0</v>
      </c>
      <c r="V122" s="43">
        <f t="shared" si="65"/>
        <v>0</v>
      </c>
      <c r="W122" s="45"/>
      <c r="X122" s="50">
        <v>15.75</v>
      </c>
      <c r="Y122" s="50">
        <f t="shared" si="66"/>
        <v>0</v>
      </c>
      <c r="AA122" s="51">
        <v>0.23</v>
      </c>
      <c r="AB122" s="51">
        <f t="shared" si="67"/>
        <v>0</v>
      </c>
      <c r="AC122" s="52" t="e">
        <f t="shared" si="68"/>
        <v>#DIV/0!</v>
      </c>
      <c r="AD122" s="50">
        <f t="shared" si="69"/>
        <v>0</v>
      </c>
    </row>
    <row r="123" spans="1:30" ht="26" x14ac:dyDescent="0.35">
      <c r="A123" s="82">
        <v>90445200</v>
      </c>
      <c r="B123" s="82" t="s">
        <v>843</v>
      </c>
      <c r="C123" s="82" t="s">
        <v>840</v>
      </c>
      <c r="D123" s="21" t="s">
        <v>86</v>
      </c>
      <c r="E123" s="48" t="s">
        <v>325</v>
      </c>
      <c r="F123" s="35">
        <v>150</v>
      </c>
      <c r="G123" s="35">
        <v>10</v>
      </c>
      <c r="H123" s="35">
        <v>200</v>
      </c>
      <c r="I123" s="146" t="s">
        <v>844</v>
      </c>
      <c r="J123" s="118" t="s">
        <v>845</v>
      </c>
      <c r="K123" s="147">
        <v>3917.22</v>
      </c>
      <c r="L123" s="43"/>
      <c r="M123" s="43">
        <f t="shared" si="60"/>
        <v>0</v>
      </c>
      <c r="O123" s="44">
        <v>0.04</v>
      </c>
      <c r="P123" s="44">
        <f t="shared" si="61"/>
        <v>0</v>
      </c>
      <c r="Q123" s="45"/>
      <c r="R123" s="35">
        <f t="shared" si="62"/>
        <v>10</v>
      </c>
      <c r="S123" s="35">
        <f t="shared" si="62"/>
        <v>200</v>
      </c>
      <c r="T123" s="35">
        <f t="shared" si="70"/>
        <v>210</v>
      </c>
      <c r="U123" s="43">
        <f t="shared" si="64"/>
        <v>0</v>
      </c>
      <c r="V123" s="43">
        <f t="shared" si="65"/>
        <v>0</v>
      </c>
      <c r="W123" s="45"/>
      <c r="X123" s="50">
        <v>15.75</v>
      </c>
      <c r="Y123" s="50">
        <f t="shared" si="66"/>
        <v>0</v>
      </c>
      <c r="AA123" s="51">
        <v>0.23</v>
      </c>
      <c r="AB123" s="51">
        <f t="shared" si="67"/>
        <v>0</v>
      </c>
      <c r="AC123" s="52" t="e">
        <f t="shared" si="68"/>
        <v>#DIV/0!</v>
      </c>
      <c r="AD123" s="50">
        <f t="shared" si="69"/>
        <v>0</v>
      </c>
    </row>
    <row r="124" spans="1:30" ht="26" x14ac:dyDescent="0.35">
      <c r="A124" s="144" t="s">
        <v>846</v>
      </c>
      <c r="B124" s="144" t="s">
        <v>846</v>
      </c>
      <c r="C124" s="144" t="s">
        <v>847</v>
      </c>
      <c r="D124" s="145" t="s">
        <v>86</v>
      </c>
      <c r="E124" s="48">
        <v>25</v>
      </c>
      <c r="F124" s="35">
        <v>300</v>
      </c>
      <c r="G124" s="35">
        <v>10</v>
      </c>
      <c r="H124" s="35">
        <v>100</v>
      </c>
      <c r="I124" s="146" t="s">
        <v>848</v>
      </c>
      <c r="J124" s="118" t="s">
        <v>849</v>
      </c>
      <c r="K124" s="147">
        <v>3917.22</v>
      </c>
      <c r="L124" s="43"/>
      <c r="M124" s="43">
        <f t="shared" si="60"/>
        <v>0</v>
      </c>
      <c r="O124" s="44">
        <v>0.04</v>
      </c>
      <c r="P124" s="44">
        <f t="shared" si="61"/>
        <v>0</v>
      </c>
      <c r="Q124" s="45"/>
      <c r="R124" s="35">
        <f t="shared" si="62"/>
        <v>10</v>
      </c>
      <c r="S124" s="35">
        <f t="shared" si="62"/>
        <v>100</v>
      </c>
      <c r="T124" s="35">
        <f t="shared" si="70"/>
        <v>110</v>
      </c>
      <c r="U124" s="43">
        <f t="shared" si="64"/>
        <v>0</v>
      </c>
      <c r="V124" s="43">
        <f t="shared" si="65"/>
        <v>0</v>
      </c>
      <c r="W124" s="45"/>
      <c r="X124" s="50">
        <v>24.84</v>
      </c>
      <c r="Y124" s="50">
        <f t="shared" si="66"/>
        <v>0</v>
      </c>
      <c r="AA124" s="51">
        <v>0.36</v>
      </c>
      <c r="AB124" s="51">
        <f t="shared" si="67"/>
        <v>0</v>
      </c>
      <c r="AC124" s="52" t="e">
        <f t="shared" si="68"/>
        <v>#DIV/0!</v>
      </c>
      <c r="AD124" s="50">
        <f t="shared" si="69"/>
        <v>0</v>
      </c>
    </row>
    <row r="125" spans="1:30" ht="26" x14ac:dyDescent="0.35">
      <c r="A125" s="82">
        <v>90445300</v>
      </c>
      <c r="B125" s="82" t="s">
        <v>850</v>
      </c>
      <c r="C125" s="82" t="s">
        <v>847</v>
      </c>
      <c r="D125" s="21" t="s">
        <v>86</v>
      </c>
      <c r="E125" s="48" t="s">
        <v>325</v>
      </c>
      <c r="F125" s="35">
        <v>300</v>
      </c>
      <c r="G125" s="35">
        <v>10</v>
      </c>
      <c r="H125" s="35">
        <v>100</v>
      </c>
      <c r="I125" s="146" t="s">
        <v>851</v>
      </c>
      <c r="J125" s="118" t="s">
        <v>852</v>
      </c>
      <c r="K125" s="147">
        <v>3917.22</v>
      </c>
      <c r="L125" s="43"/>
      <c r="M125" s="43">
        <f t="shared" si="60"/>
        <v>0</v>
      </c>
      <c r="O125" s="44">
        <v>0.04</v>
      </c>
      <c r="P125" s="44">
        <f t="shared" si="61"/>
        <v>0</v>
      </c>
      <c r="Q125" s="45"/>
      <c r="R125" s="35">
        <f t="shared" si="62"/>
        <v>10</v>
      </c>
      <c r="S125" s="35">
        <f t="shared" si="62"/>
        <v>100</v>
      </c>
      <c r="T125" s="35">
        <f t="shared" si="70"/>
        <v>110</v>
      </c>
      <c r="U125" s="43">
        <f t="shared" si="64"/>
        <v>0</v>
      </c>
      <c r="V125" s="43">
        <f t="shared" si="65"/>
        <v>0</v>
      </c>
      <c r="W125" s="45"/>
      <c r="X125" s="50">
        <v>24.84</v>
      </c>
      <c r="Y125" s="50">
        <f t="shared" si="66"/>
        <v>0</v>
      </c>
      <c r="AA125" s="51">
        <v>0.36</v>
      </c>
      <c r="AB125" s="51">
        <f t="shared" si="67"/>
        <v>0</v>
      </c>
      <c r="AC125" s="52" t="e">
        <f t="shared" si="68"/>
        <v>#DIV/0!</v>
      </c>
      <c r="AD125" s="50">
        <f t="shared" si="69"/>
        <v>0</v>
      </c>
    </row>
    <row r="126" spans="1:30" ht="26" x14ac:dyDescent="0.35">
      <c r="A126" s="144" t="s">
        <v>853</v>
      </c>
      <c r="B126" s="144" t="s">
        <v>853</v>
      </c>
      <c r="C126" s="144" t="s">
        <v>854</v>
      </c>
      <c r="D126" s="145" t="s">
        <v>86</v>
      </c>
      <c r="E126" s="48">
        <v>25</v>
      </c>
      <c r="F126" s="35">
        <v>450</v>
      </c>
      <c r="G126" s="35">
        <v>10</v>
      </c>
      <c r="H126" s="35">
        <v>100</v>
      </c>
      <c r="I126" s="146" t="s">
        <v>855</v>
      </c>
      <c r="J126" s="118" t="s">
        <v>856</v>
      </c>
      <c r="K126" s="147">
        <v>3917.22</v>
      </c>
      <c r="L126" s="43"/>
      <c r="M126" s="43">
        <f t="shared" si="60"/>
        <v>0</v>
      </c>
      <c r="O126" s="44">
        <v>0.06</v>
      </c>
      <c r="P126" s="44">
        <f t="shared" si="61"/>
        <v>0</v>
      </c>
      <c r="Q126" s="45"/>
      <c r="R126" s="35">
        <f t="shared" si="62"/>
        <v>10</v>
      </c>
      <c r="S126" s="35">
        <f t="shared" si="62"/>
        <v>100</v>
      </c>
      <c r="T126" s="35">
        <f t="shared" si="70"/>
        <v>110</v>
      </c>
      <c r="U126" s="43">
        <f t="shared" si="64"/>
        <v>0</v>
      </c>
      <c r="V126" s="43">
        <f t="shared" si="65"/>
        <v>0</v>
      </c>
      <c r="W126" s="45"/>
      <c r="X126" s="50">
        <v>33.840000000000003</v>
      </c>
      <c r="Y126" s="50">
        <f t="shared" si="66"/>
        <v>0</v>
      </c>
      <c r="AA126" s="51">
        <v>0.48</v>
      </c>
      <c r="AB126" s="51">
        <f t="shared" si="67"/>
        <v>0</v>
      </c>
      <c r="AC126" s="52" t="e">
        <f t="shared" si="68"/>
        <v>#DIV/0!</v>
      </c>
      <c r="AD126" s="50">
        <f t="shared" si="69"/>
        <v>0</v>
      </c>
    </row>
    <row r="127" spans="1:30" ht="26" x14ac:dyDescent="0.35">
      <c r="A127" s="82">
        <v>90445400</v>
      </c>
      <c r="B127" s="82" t="s">
        <v>857</v>
      </c>
      <c r="C127" s="82" t="s">
        <v>854</v>
      </c>
      <c r="D127" s="21" t="s">
        <v>86</v>
      </c>
      <c r="E127" s="48" t="s">
        <v>325</v>
      </c>
      <c r="F127" s="35">
        <v>450</v>
      </c>
      <c r="G127" s="35">
        <v>10</v>
      </c>
      <c r="H127" s="35">
        <v>100</v>
      </c>
      <c r="I127" s="146" t="s">
        <v>858</v>
      </c>
      <c r="J127" s="118" t="s">
        <v>859</v>
      </c>
      <c r="K127" s="147">
        <v>3917.22</v>
      </c>
      <c r="L127" s="43"/>
      <c r="M127" s="43">
        <f t="shared" si="60"/>
        <v>0</v>
      </c>
      <c r="O127" s="44">
        <v>0.06</v>
      </c>
      <c r="P127" s="44">
        <f t="shared" si="61"/>
        <v>0</v>
      </c>
      <c r="Q127" s="45"/>
      <c r="R127" s="35">
        <f t="shared" si="62"/>
        <v>10</v>
      </c>
      <c r="S127" s="35">
        <f t="shared" si="62"/>
        <v>100</v>
      </c>
      <c r="T127" s="35">
        <f t="shared" si="70"/>
        <v>110</v>
      </c>
      <c r="U127" s="43">
        <f t="shared" si="64"/>
        <v>0</v>
      </c>
      <c r="V127" s="43">
        <f t="shared" si="65"/>
        <v>0</v>
      </c>
      <c r="W127" s="45"/>
      <c r="X127" s="50">
        <v>33.840000000000003</v>
      </c>
      <c r="Y127" s="50">
        <f t="shared" si="66"/>
        <v>0</v>
      </c>
      <c r="AA127" s="51">
        <v>0.49</v>
      </c>
      <c r="AB127" s="51">
        <f t="shared" si="67"/>
        <v>0</v>
      </c>
      <c r="AC127" s="52" t="e">
        <f t="shared" si="68"/>
        <v>#DIV/0!</v>
      </c>
      <c r="AD127" s="50">
        <f t="shared" si="69"/>
        <v>0</v>
      </c>
    </row>
    <row r="128" spans="1:30" ht="26" x14ac:dyDescent="0.35">
      <c r="A128" s="144" t="s">
        <v>860</v>
      </c>
      <c r="B128" s="144" t="s">
        <v>860</v>
      </c>
      <c r="C128" s="144" t="s">
        <v>861</v>
      </c>
      <c r="D128" s="145" t="s">
        <v>86</v>
      </c>
      <c r="E128" s="48">
        <v>25</v>
      </c>
      <c r="F128" s="35">
        <v>600</v>
      </c>
      <c r="G128" s="35">
        <v>10</v>
      </c>
      <c r="H128" s="35">
        <v>50</v>
      </c>
      <c r="I128" s="146" t="s">
        <v>862</v>
      </c>
      <c r="J128" s="118" t="s">
        <v>863</v>
      </c>
      <c r="K128" s="147">
        <v>3917.22</v>
      </c>
      <c r="L128" s="43"/>
      <c r="M128" s="43">
        <f t="shared" si="60"/>
        <v>0</v>
      </c>
      <c r="O128" s="44">
        <v>0.04</v>
      </c>
      <c r="P128" s="44">
        <f t="shared" si="61"/>
        <v>0</v>
      </c>
      <c r="Q128" s="45"/>
      <c r="R128" s="35">
        <f t="shared" si="62"/>
        <v>10</v>
      </c>
      <c r="S128" s="35">
        <f t="shared" si="62"/>
        <v>50</v>
      </c>
      <c r="T128" s="35">
        <f t="shared" si="70"/>
        <v>60</v>
      </c>
      <c r="U128" s="43">
        <f t="shared" si="64"/>
        <v>0</v>
      </c>
      <c r="V128" s="43">
        <f t="shared" si="65"/>
        <v>0</v>
      </c>
      <c r="W128" s="45"/>
      <c r="X128" s="50">
        <v>42.93</v>
      </c>
      <c r="Y128" s="50">
        <f t="shared" si="66"/>
        <v>0</v>
      </c>
      <c r="AA128" s="51">
        <v>0.6</v>
      </c>
      <c r="AB128" s="51">
        <f t="shared" si="67"/>
        <v>0</v>
      </c>
      <c r="AC128" s="52" t="e">
        <f t="shared" si="68"/>
        <v>#DIV/0!</v>
      </c>
      <c r="AD128" s="50">
        <f t="shared" si="69"/>
        <v>0</v>
      </c>
    </row>
    <row r="129" spans="1:30" ht="26" x14ac:dyDescent="0.35">
      <c r="A129" s="82">
        <v>90445600</v>
      </c>
      <c r="B129" s="82" t="s">
        <v>864</v>
      </c>
      <c r="C129" s="82" t="s">
        <v>861</v>
      </c>
      <c r="D129" s="21" t="s">
        <v>86</v>
      </c>
      <c r="E129" s="48" t="s">
        <v>325</v>
      </c>
      <c r="F129" s="35">
        <v>600</v>
      </c>
      <c r="G129" s="35">
        <v>10</v>
      </c>
      <c r="H129" s="35">
        <v>50</v>
      </c>
      <c r="I129" s="146" t="s">
        <v>865</v>
      </c>
      <c r="J129" s="118" t="s">
        <v>866</v>
      </c>
      <c r="K129" s="147">
        <v>3917.22</v>
      </c>
      <c r="L129" s="43"/>
      <c r="M129" s="43">
        <f t="shared" si="60"/>
        <v>0</v>
      </c>
      <c r="O129" s="44">
        <v>0.04</v>
      </c>
      <c r="P129" s="44">
        <f t="shared" si="61"/>
        <v>0</v>
      </c>
      <c r="Q129" s="45"/>
      <c r="R129" s="35">
        <f t="shared" si="62"/>
        <v>10</v>
      </c>
      <c r="S129" s="35">
        <f t="shared" si="62"/>
        <v>50</v>
      </c>
      <c r="T129" s="35">
        <f t="shared" si="70"/>
        <v>60</v>
      </c>
      <c r="U129" s="43">
        <f t="shared" si="64"/>
        <v>0</v>
      </c>
      <c r="V129" s="43">
        <f t="shared" si="65"/>
        <v>0</v>
      </c>
      <c r="W129" s="45"/>
      <c r="X129" s="50">
        <v>42.93</v>
      </c>
      <c r="Y129" s="50">
        <f t="shared" si="66"/>
        <v>0</v>
      </c>
      <c r="AA129" s="51">
        <v>0.63</v>
      </c>
      <c r="AB129" s="51">
        <f t="shared" si="67"/>
        <v>0</v>
      </c>
      <c r="AC129" s="52" t="e">
        <f t="shared" si="68"/>
        <v>#DIV/0!</v>
      </c>
      <c r="AD129" s="50">
        <f t="shared" si="69"/>
        <v>0</v>
      </c>
    </row>
    <row r="130" spans="1:30" ht="26" x14ac:dyDescent="0.35">
      <c r="A130" s="144" t="s">
        <v>867</v>
      </c>
      <c r="B130" s="144" t="s">
        <v>867</v>
      </c>
      <c r="C130" s="144" t="s">
        <v>868</v>
      </c>
      <c r="D130" s="145" t="s">
        <v>86</v>
      </c>
      <c r="E130" s="48">
        <v>25</v>
      </c>
      <c r="F130" s="48">
        <v>750</v>
      </c>
      <c r="G130" s="48">
        <v>10</v>
      </c>
      <c r="H130" s="48">
        <v>50</v>
      </c>
      <c r="I130" s="146" t="s">
        <v>869</v>
      </c>
      <c r="J130" s="118" t="s">
        <v>870</v>
      </c>
      <c r="K130" s="147">
        <v>3917.22</v>
      </c>
      <c r="L130" s="43"/>
      <c r="M130" s="43">
        <f t="shared" si="60"/>
        <v>0</v>
      </c>
      <c r="O130" s="44">
        <v>0.04</v>
      </c>
      <c r="P130" s="44">
        <f t="shared" si="61"/>
        <v>0</v>
      </c>
      <c r="Q130" s="45"/>
      <c r="R130" s="35">
        <f t="shared" si="62"/>
        <v>10</v>
      </c>
      <c r="S130" s="35">
        <f t="shared" si="62"/>
        <v>50</v>
      </c>
      <c r="T130" s="35">
        <f t="shared" si="70"/>
        <v>60</v>
      </c>
      <c r="U130" s="43">
        <f t="shared" si="64"/>
        <v>0</v>
      </c>
      <c r="V130" s="43">
        <f t="shared" si="65"/>
        <v>0</v>
      </c>
      <c r="W130" s="45"/>
      <c r="X130" s="50">
        <v>52.02</v>
      </c>
      <c r="Y130" s="50">
        <f t="shared" si="66"/>
        <v>0</v>
      </c>
      <c r="AA130" s="51">
        <v>0.73</v>
      </c>
      <c r="AB130" s="51">
        <f t="shared" si="67"/>
        <v>0</v>
      </c>
      <c r="AC130" s="52" t="e">
        <f t="shared" si="68"/>
        <v>#DIV/0!</v>
      </c>
      <c r="AD130" s="50">
        <f t="shared" si="69"/>
        <v>0</v>
      </c>
    </row>
    <row r="131" spans="1:30" ht="26" x14ac:dyDescent="0.35">
      <c r="A131" s="82">
        <v>90445700</v>
      </c>
      <c r="B131" s="82" t="s">
        <v>871</v>
      </c>
      <c r="C131" s="82" t="s">
        <v>868</v>
      </c>
      <c r="D131" s="21" t="s">
        <v>86</v>
      </c>
      <c r="E131" s="48" t="s">
        <v>325</v>
      </c>
      <c r="F131" s="35">
        <v>750</v>
      </c>
      <c r="G131" s="35">
        <v>10</v>
      </c>
      <c r="H131" s="35">
        <v>50</v>
      </c>
      <c r="I131" s="146" t="s">
        <v>872</v>
      </c>
      <c r="J131" s="118" t="s">
        <v>873</v>
      </c>
      <c r="K131" s="147">
        <v>3917.22</v>
      </c>
      <c r="L131" s="43"/>
      <c r="M131" s="43">
        <f t="shared" si="60"/>
        <v>0</v>
      </c>
      <c r="O131" s="44">
        <v>0.04</v>
      </c>
      <c r="P131" s="44">
        <f t="shared" si="61"/>
        <v>0</v>
      </c>
      <c r="Q131" s="45"/>
      <c r="R131" s="35">
        <f t="shared" si="62"/>
        <v>10</v>
      </c>
      <c r="S131" s="35">
        <f t="shared" si="62"/>
        <v>50</v>
      </c>
      <c r="T131" s="35">
        <f t="shared" si="70"/>
        <v>60</v>
      </c>
      <c r="U131" s="43">
        <f t="shared" si="64"/>
        <v>0</v>
      </c>
      <c r="V131" s="43">
        <f t="shared" si="65"/>
        <v>0</v>
      </c>
      <c r="W131" s="45"/>
      <c r="X131" s="50">
        <v>52.02</v>
      </c>
      <c r="Y131" s="50">
        <f t="shared" si="66"/>
        <v>0</v>
      </c>
      <c r="AA131" s="51">
        <v>0.77</v>
      </c>
      <c r="AB131" s="51">
        <f t="shared" si="67"/>
        <v>0</v>
      </c>
      <c r="AC131" s="52" t="e">
        <f t="shared" si="68"/>
        <v>#DIV/0!</v>
      </c>
      <c r="AD131" s="50">
        <f t="shared" si="69"/>
        <v>0</v>
      </c>
    </row>
    <row r="132" spans="1:30" ht="26" x14ac:dyDescent="0.35">
      <c r="A132" s="144" t="s">
        <v>874</v>
      </c>
      <c r="B132" s="144" t="s">
        <v>874</v>
      </c>
      <c r="C132" s="144" t="s">
        <v>875</v>
      </c>
      <c r="D132" s="145" t="s">
        <v>86</v>
      </c>
      <c r="E132" s="48">
        <v>25</v>
      </c>
      <c r="F132" s="35">
        <v>900</v>
      </c>
      <c r="G132" s="35">
        <v>10</v>
      </c>
      <c r="H132" s="35">
        <v>50</v>
      </c>
      <c r="I132" s="146" t="s">
        <v>876</v>
      </c>
      <c r="J132" s="118" t="s">
        <v>877</v>
      </c>
      <c r="K132" s="147">
        <v>3917.22</v>
      </c>
      <c r="L132" s="43"/>
      <c r="M132" s="43">
        <f t="shared" si="60"/>
        <v>0</v>
      </c>
      <c r="O132" s="44">
        <v>0.06</v>
      </c>
      <c r="P132" s="44">
        <f t="shared" si="61"/>
        <v>0</v>
      </c>
      <c r="Q132" s="45"/>
      <c r="R132" s="35">
        <f t="shared" si="62"/>
        <v>10</v>
      </c>
      <c r="S132" s="35">
        <f t="shared" si="62"/>
        <v>50</v>
      </c>
      <c r="T132" s="35">
        <f t="shared" si="70"/>
        <v>60</v>
      </c>
      <c r="U132" s="43">
        <f t="shared" si="64"/>
        <v>0</v>
      </c>
      <c r="V132" s="43">
        <f t="shared" si="65"/>
        <v>0</v>
      </c>
      <c r="W132" s="45"/>
      <c r="X132" s="50">
        <v>61.02</v>
      </c>
      <c r="Y132" s="50">
        <f t="shared" si="66"/>
        <v>0</v>
      </c>
      <c r="AA132" s="51">
        <v>0.86</v>
      </c>
      <c r="AB132" s="51">
        <f t="shared" si="67"/>
        <v>0</v>
      </c>
      <c r="AC132" s="52" t="e">
        <f t="shared" si="68"/>
        <v>#DIV/0!</v>
      </c>
      <c r="AD132" s="50">
        <f t="shared" si="69"/>
        <v>0</v>
      </c>
    </row>
    <row r="133" spans="1:30" ht="26" x14ac:dyDescent="0.35">
      <c r="A133" s="82">
        <v>90445800</v>
      </c>
      <c r="B133" s="82" t="s">
        <v>878</v>
      </c>
      <c r="C133" s="82" t="s">
        <v>875</v>
      </c>
      <c r="D133" s="21" t="s">
        <v>86</v>
      </c>
      <c r="E133" s="48" t="s">
        <v>325</v>
      </c>
      <c r="F133" s="35">
        <v>900</v>
      </c>
      <c r="G133" s="35">
        <v>10</v>
      </c>
      <c r="H133" s="35">
        <v>50</v>
      </c>
      <c r="I133" s="146" t="s">
        <v>879</v>
      </c>
      <c r="J133" s="118" t="s">
        <v>880</v>
      </c>
      <c r="K133" s="147">
        <v>3917.22</v>
      </c>
      <c r="L133" s="43"/>
      <c r="M133" s="43">
        <f t="shared" si="60"/>
        <v>0</v>
      </c>
      <c r="O133" s="44">
        <v>0.06</v>
      </c>
      <c r="P133" s="44">
        <f t="shared" si="61"/>
        <v>0</v>
      </c>
      <c r="Q133" s="45"/>
      <c r="R133" s="35">
        <f t="shared" si="62"/>
        <v>10</v>
      </c>
      <c r="S133" s="35">
        <f t="shared" si="62"/>
        <v>50</v>
      </c>
      <c r="T133" s="35">
        <f t="shared" si="70"/>
        <v>60</v>
      </c>
      <c r="U133" s="43">
        <f t="shared" si="64"/>
        <v>0</v>
      </c>
      <c r="V133" s="43">
        <f t="shared" si="65"/>
        <v>0</v>
      </c>
      <c r="W133" s="45"/>
      <c r="X133" s="50">
        <v>61.02</v>
      </c>
      <c r="Y133" s="50">
        <f t="shared" si="66"/>
        <v>0</v>
      </c>
      <c r="AA133" s="51">
        <v>0.89</v>
      </c>
      <c r="AB133" s="51">
        <f t="shared" si="67"/>
        <v>0</v>
      </c>
      <c r="AC133" s="52" t="e">
        <f t="shared" si="68"/>
        <v>#DIV/0!</v>
      </c>
      <c r="AD133" s="50">
        <f t="shared" si="69"/>
        <v>0</v>
      </c>
    </row>
    <row r="134" spans="1:30" ht="26" x14ac:dyDescent="0.35">
      <c r="A134" s="144" t="s">
        <v>881</v>
      </c>
      <c r="B134" s="144" t="s">
        <v>881</v>
      </c>
      <c r="C134" s="144" t="s">
        <v>882</v>
      </c>
      <c r="D134" s="145" t="s">
        <v>86</v>
      </c>
      <c r="E134" s="48">
        <v>25</v>
      </c>
      <c r="F134" s="35">
        <v>1200</v>
      </c>
      <c r="G134" s="35">
        <v>10</v>
      </c>
      <c r="H134" s="35">
        <v>50</v>
      </c>
      <c r="I134" s="146" t="s">
        <v>883</v>
      </c>
      <c r="J134" s="118" t="s">
        <v>884</v>
      </c>
      <c r="K134" s="147">
        <v>3917.22</v>
      </c>
      <c r="L134" s="43"/>
      <c r="M134" s="43">
        <f t="shared" si="60"/>
        <v>0</v>
      </c>
      <c r="O134" s="44">
        <v>0.08</v>
      </c>
      <c r="P134" s="44">
        <f t="shared" si="61"/>
        <v>0</v>
      </c>
      <c r="Q134" s="45"/>
      <c r="R134" s="35">
        <f t="shared" si="62"/>
        <v>10</v>
      </c>
      <c r="S134" s="35">
        <f t="shared" si="62"/>
        <v>50</v>
      </c>
      <c r="T134" s="35">
        <f t="shared" si="70"/>
        <v>60</v>
      </c>
      <c r="U134" s="43">
        <f t="shared" si="64"/>
        <v>0</v>
      </c>
      <c r="V134" s="43">
        <f t="shared" si="65"/>
        <v>0</v>
      </c>
      <c r="W134" s="45"/>
      <c r="X134" s="50">
        <v>79.2</v>
      </c>
      <c r="Y134" s="50">
        <f t="shared" si="66"/>
        <v>0</v>
      </c>
      <c r="AA134" s="51">
        <v>1.1000000000000001</v>
      </c>
      <c r="AB134" s="51">
        <f t="shared" si="67"/>
        <v>0</v>
      </c>
      <c r="AC134" s="52" t="e">
        <f t="shared" si="68"/>
        <v>#DIV/0!</v>
      </c>
      <c r="AD134" s="50">
        <f t="shared" si="69"/>
        <v>0</v>
      </c>
    </row>
    <row r="135" spans="1:30" ht="26" x14ac:dyDescent="0.35">
      <c r="A135" s="82">
        <v>90445810</v>
      </c>
      <c r="B135" s="82" t="s">
        <v>885</v>
      </c>
      <c r="C135" s="82" t="s">
        <v>882</v>
      </c>
      <c r="D135" s="21" t="s">
        <v>86</v>
      </c>
      <c r="E135" s="48" t="s">
        <v>325</v>
      </c>
      <c r="F135" s="35">
        <v>1200</v>
      </c>
      <c r="G135" s="35">
        <v>10</v>
      </c>
      <c r="H135" s="35">
        <v>50</v>
      </c>
      <c r="I135" s="146" t="s">
        <v>886</v>
      </c>
      <c r="J135" s="118" t="s">
        <v>887</v>
      </c>
      <c r="K135" s="147">
        <v>3917.22</v>
      </c>
      <c r="L135" s="43"/>
      <c r="M135" s="43">
        <f t="shared" si="60"/>
        <v>0</v>
      </c>
      <c r="O135" s="44">
        <v>0.08</v>
      </c>
      <c r="P135" s="44">
        <f t="shared" si="61"/>
        <v>0</v>
      </c>
      <c r="Q135" s="45"/>
      <c r="R135" s="35">
        <f t="shared" si="62"/>
        <v>10</v>
      </c>
      <c r="S135" s="35">
        <f t="shared" si="62"/>
        <v>50</v>
      </c>
      <c r="T135" s="35">
        <f t="shared" si="70"/>
        <v>60</v>
      </c>
      <c r="U135" s="43">
        <f t="shared" si="64"/>
        <v>0</v>
      </c>
      <c r="V135" s="43">
        <f t="shared" si="65"/>
        <v>0</v>
      </c>
      <c r="W135" s="45"/>
      <c r="X135" s="50">
        <v>79.2</v>
      </c>
      <c r="Y135" s="50">
        <f t="shared" si="66"/>
        <v>0</v>
      </c>
      <c r="AA135" s="51">
        <v>1.1499999999999999</v>
      </c>
      <c r="AB135" s="51">
        <f t="shared" si="67"/>
        <v>0</v>
      </c>
      <c r="AC135" s="52" t="e">
        <f t="shared" si="68"/>
        <v>#DIV/0!</v>
      </c>
      <c r="AD135" s="50">
        <f t="shared" si="69"/>
        <v>0</v>
      </c>
    </row>
    <row r="136" spans="1:30" ht="26" x14ac:dyDescent="0.35">
      <c r="A136" s="144" t="s">
        <v>888</v>
      </c>
      <c r="B136" s="144" t="s">
        <v>888</v>
      </c>
      <c r="C136" s="144" t="s">
        <v>889</v>
      </c>
      <c r="D136" s="145" t="s">
        <v>86</v>
      </c>
      <c r="E136" s="48">
        <v>25</v>
      </c>
      <c r="F136" s="35">
        <v>1524</v>
      </c>
      <c r="G136" s="35">
        <v>10</v>
      </c>
      <c r="H136" s="35">
        <v>50</v>
      </c>
      <c r="I136" s="146" t="s">
        <v>890</v>
      </c>
      <c r="J136" s="118" t="s">
        <v>891</v>
      </c>
      <c r="K136" s="147">
        <v>3917.22</v>
      </c>
      <c r="L136" s="43"/>
      <c r="M136" s="43">
        <f t="shared" si="60"/>
        <v>0</v>
      </c>
      <c r="O136" s="44">
        <v>0.08</v>
      </c>
      <c r="P136" s="44">
        <f t="shared" si="61"/>
        <v>0</v>
      </c>
      <c r="Q136" s="45"/>
      <c r="R136" s="35">
        <f t="shared" si="62"/>
        <v>10</v>
      </c>
      <c r="S136" s="35">
        <f t="shared" si="62"/>
        <v>50</v>
      </c>
      <c r="T136" s="35">
        <f t="shared" si="70"/>
        <v>60</v>
      </c>
      <c r="U136" s="43">
        <f t="shared" si="64"/>
        <v>0</v>
      </c>
      <c r="V136" s="43">
        <f t="shared" si="65"/>
        <v>0</v>
      </c>
      <c r="W136" s="45"/>
      <c r="X136" s="50">
        <v>97.54</v>
      </c>
      <c r="Y136" s="50">
        <f t="shared" si="66"/>
        <v>0</v>
      </c>
      <c r="AA136" s="51">
        <v>1.4</v>
      </c>
      <c r="AB136" s="51">
        <f t="shared" si="67"/>
        <v>0</v>
      </c>
      <c r="AC136" s="52" t="e">
        <f t="shared" si="68"/>
        <v>#DIV/0!</v>
      </c>
      <c r="AD136" s="50">
        <f t="shared" si="69"/>
        <v>0</v>
      </c>
    </row>
    <row r="137" spans="1:30" ht="26" x14ac:dyDescent="0.35">
      <c r="A137" s="144" t="s">
        <v>892</v>
      </c>
      <c r="B137" s="144" t="s">
        <v>892</v>
      </c>
      <c r="C137" s="144" t="s">
        <v>893</v>
      </c>
      <c r="D137" s="145" t="s">
        <v>86</v>
      </c>
      <c r="E137" s="48">
        <v>25</v>
      </c>
      <c r="F137" s="35">
        <v>1800</v>
      </c>
      <c r="G137" s="35">
        <v>10</v>
      </c>
      <c r="H137" s="35">
        <v>50</v>
      </c>
      <c r="I137" s="146" t="s">
        <v>894</v>
      </c>
      <c r="J137" s="118" t="s">
        <v>895</v>
      </c>
      <c r="K137" s="147">
        <v>3917.22</v>
      </c>
      <c r="L137" s="43"/>
      <c r="M137" s="43">
        <f t="shared" si="60"/>
        <v>0</v>
      </c>
      <c r="O137" s="44">
        <v>0.12</v>
      </c>
      <c r="P137" s="44">
        <f t="shared" si="61"/>
        <v>0</v>
      </c>
      <c r="Q137" s="45"/>
      <c r="R137" s="35">
        <f t="shared" si="62"/>
        <v>10</v>
      </c>
      <c r="S137" s="35">
        <f t="shared" si="62"/>
        <v>50</v>
      </c>
      <c r="T137" s="35">
        <f t="shared" si="70"/>
        <v>60</v>
      </c>
      <c r="U137" s="43">
        <f t="shared" si="64"/>
        <v>0</v>
      </c>
      <c r="V137" s="43">
        <f t="shared" si="65"/>
        <v>0</v>
      </c>
      <c r="W137" s="45"/>
      <c r="X137" s="50">
        <v>115.2</v>
      </c>
      <c r="Y137" s="50">
        <f t="shared" si="66"/>
        <v>0</v>
      </c>
      <c r="AA137" s="51">
        <v>1.6</v>
      </c>
      <c r="AB137" s="51">
        <f t="shared" si="67"/>
        <v>0</v>
      </c>
      <c r="AC137" s="52" t="e">
        <f t="shared" si="68"/>
        <v>#DIV/0!</v>
      </c>
      <c r="AD137" s="50">
        <f t="shared" si="69"/>
        <v>0</v>
      </c>
    </row>
    <row r="138" spans="1:30" ht="26" x14ac:dyDescent="0.35">
      <c r="A138" s="82">
        <v>90445900</v>
      </c>
      <c r="B138" s="82" t="s">
        <v>896</v>
      </c>
      <c r="C138" s="82" t="s">
        <v>893</v>
      </c>
      <c r="D138" s="21" t="s">
        <v>86</v>
      </c>
      <c r="E138" s="48" t="s">
        <v>325</v>
      </c>
      <c r="F138" s="35">
        <v>1800</v>
      </c>
      <c r="G138" s="35">
        <v>10</v>
      </c>
      <c r="H138" s="35">
        <v>50</v>
      </c>
      <c r="I138" s="146" t="s">
        <v>897</v>
      </c>
      <c r="J138" s="118" t="s">
        <v>898</v>
      </c>
      <c r="K138" s="147">
        <v>3917.22</v>
      </c>
      <c r="L138" s="43"/>
      <c r="M138" s="43">
        <f t="shared" si="60"/>
        <v>0</v>
      </c>
      <c r="O138" s="44">
        <v>0.12</v>
      </c>
      <c r="P138" s="44">
        <f t="shared" si="61"/>
        <v>0</v>
      </c>
      <c r="Q138" s="45"/>
      <c r="R138" s="35">
        <f t="shared" si="62"/>
        <v>10</v>
      </c>
      <c r="S138" s="35">
        <f t="shared" si="62"/>
        <v>50</v>
      </c>
      <c r="T138" s="35">
        <f t="shared" si="70"/>
        <v>60</v>
      </c>
      <c r="U138" s="43">
        <f t="shared" si="64"/>
        <v>0</v>
      </c>
      <c r="V138" s="43">
        <f t="shared" si="65"/>
        <v>0</v>
      </c>
      <c r="W138" s="45"/>
      <c r="X138" s="50">
        <v>115.2</v>
      </c>
      <c r="Y138" s="50">
        <f t="shared" si="66"/>
        <v>0</v>
      </c>
      <c r="AA138" s="51">
        <v>1.69</v>
      </c>
      <c r="AB138" s="51">
        <f t="shared" si="67"/>
        <v>0</v>
      </c>
      <c r="AC138" s="52" t="e">
        <f t="shared" si="68"/>
        <v>#DIV/0!</v>
      </c>
      <c r="AD138" s="50">
        <f t="shared" si="69"/>
        <v>0</v>
      </c>
    </row>
    <row r="139" spans="1:30" ht="26" x14ac:dyDescent="0.35">
      <c r="A139" s="82">
        <v>90446000</v>
      </c>
      <c r="B139" s="82" t="s">
        <v>899</v>
      </c>
      <c r="C139" s="82" t="s">
        <v>900</v>
      </c>
      <c r="D139" s="21" t="s">
        <v>86</v>
      </c>
      <c r="E139" s="48" t="s">
        <v>325</v>
      </c>
      <c r="F139" s="35">
        <v>2400</v>
      </c>
      <c r="G139" s="35">
        <v>10</v>
      </c>
      <c r="H139" s="35">
        <v>50</v>
      </c>
      <c r="I139" s="146" t="s">
        <v>901</v>
      </c>
      <c r="J139" s="118" t="s">
        <v>902</v>
      </c>
      <c r="K139" s="147">
        <v>3917.22</v>
      </c>
      <c r="L139" s="43"/>
      <c r="M139" s="43">
        <f t="shared" si="60"/>
        <v>0</v>
      </c>
      <c r="O139" s="44">
        <v>0.12</v>
      </c>
      <c r="P139" s="44">
        <f t="shared" si="61"/>
        <v>0</v>
      </c>
      <c r="Q139" s="45"/>
      <c r="R139" s="35">
        <f t="shared" si="62"/>
        <v>10</v>
      </c>
      <c r="S139" s="35">
        <f t="shared" si="62"/>
        <v>50</v>
      </c>
      <c r="T139" s="35">
        <f t="shared" si="70"/>
        <v>60</v>
      </c>
      <c r="U139" s="43">
        <f t="shared" si="64"/>
        <v>0</v>
      </c>
      <c r="V139" s="43">
        <f t="shared" si="65"/>
        <v>0</v>
      </c>
      <c r="W139" s="45"/>
      <c r="X139" s="50">
        <v>153.6</v>
      </c>
      <c r="Y139" s="50">
        <f t="shared" si="66"/>
        <v>0</v>
      </c>
      <c r="AA139" s="51">
        <v>2.54</v>
      </c>
      <c r="AB139" s="51">
        <f t="shared" si="67"/>
        <v>0</v>
      </c>
      <c r="AC139" s="52" t="e">
        <f t="shared" si="68"/>
        <v>#DIV/0!</v>
      </c>
      <c r="AD139" s="50">
        <f t="shared" si="69"/>
        <v>0</v>
      </c>
    </row>
    <row r="140" spans="1:30" ht="13" x14ac:dyDescent="0.35">
      <c r="A140" s="167"/>
      <c r="B140" s="63"/>
      <c r="C140" s="168"/>
      <c r="D140" s="167"/>
      <c r="E140" s="64"/>
      <c r="F140" s="64"/>
      <c r="G140" s="64"/>
      <c r="H140" s="64"/>
      <c r="I140" s="65"/>
      <c r="J140" s="21" t="s">
        <v>78</v>
      </c>
      <c r="K140" s="21"/>
      <c r="L140" s="20">
        <f>SUBTOTAL(9,L3:L139)</f>
        <v>0</v>
      </c>
      <c r="M140" s="20">
        <f>SUBTOTAL(9,M3:M139)</f>
        <v>0</v>
      </c>
      <c r="O140" s="43"/>
      <c r="P140" s="66">
        <f>SUBTOTAL(9,P3:P139)</f>
        <v>0</v>
      </c>
      <c r="Q140" s="67"/>
      <c r="R140" s="43"/>
      <c r="S140" s="43"/>
      <c r="T140" s="43"/>
      <c r="U140" s="20">
        <f>SUBTOTAL(9,U3:U139)</f>
        <v>0</v>
      </c>
      <c r="V140" s="20">
        <f>SUBTOTAL(9,V3:V139)</f>
        <v>0</v>
      </c>
      <c r="W140" s="67"/>
      <c r="X140" s="50"/>
      <c r="Y140" s="37">
        <f>SUBTOTAL(9,Y3:Y139)</f>
        <v>0</v>
      </c>
      <c r="AA140" s="43"/>
      <c r="AB140" s="70">
        <f>SUBTOTAL(9,AB3:AB139)</f>
        <v>0</v>
      </c>
      <c r="AC140" s="71"/>
      <c r="AD140" s="37">
        <f>SUBTOTAL(9,AD3:AD139)</f>
        <v>0</v>
      </c>
    </row>
    <row r="141" spans="1:30" ht="13" x14ac:dyDescent="0.35">
      <c r="A141" s="169"/>
      <c r="B141" s="170"/>
      <c r="C141" s="171"/>
      <c r="D141" s="169"/>
      <c r="E141" s="172"/>
      <c r="F141" s="172"/>
      <c r="G141" s="172"/>
      <c r="H141" s="172"/>
      <c r="I141" s="170"/>
      <c r="J141" s="162"/>
      <c r="K141" s="162"/>
      <c r="L141" s="94"/>
      <c r="M141" s="94"/>
      <c r="N141" s="80"/>
      <c r="O141" s="173"/>
      <c r="P141" s="174"/>
      <c r="Q141" s="175"/>
      <c r="R141" s="43"/>
      <c r="S141" s="43"/>
      <c r="T141" s="43"/>
      <c r="U141" s="20"/>
      <c r="V141" s="20"/>
      <c r="W141" s="175"/>
      <c r="X141" s="174"/>
      <c r="Y141" s="43"/>
      <c r="AA141" s="43"/>
      <c r="AB141" s="43"/>
      <c r="AC141" s="52"/>
      <c r="AD141" s="50"/>
    </row>
    <row r="142" spans="1:30" ht="13" x14ac:dyDescent="0.35">
      <c r="A142" s="166" t="s">
        <v>903</v>
      </c>
      <c r="B142" s="166" t="s">
        <v>903</v>
      </c>
      <c r="C142" s="166" t="s">
        <v>903</v>
      </c>
      <c r="D142" s="176"/>
      <c r="E142" s="21" t="s">
        <v>74</v>
      </c>
      <c r="F142" s="21" t="s">
        <v>904</v>
      </c>
      <c r="G142" s="22" t="s">
        <v>905</v>
      </c>
      <c r="H142" s="23"/>
      <c r="I142" s="43"/>
      <c r="J142" s="35"/>
      <c r="K142" s="35"/>
      <c r="L142" s="173"/>
      <c r="M142" s="173"/>
      <c r="N142" s="80"/>
      <c r="O142" s="173"/>
      <c r="P142" s="174"/>
      <c r="Q142" s="25"/>
      <c r="R142" s="43"/>
      <c r="S142" s="43"/>
      <c r="T142" s="43"/>
      <c r="U142" s="20"/>
      <c r="V142" s="43"/>
      <c r="W142" s="25"/>
      <c r="X142" s="29" t="s">
        <v>906</v>
      </c>
      <c r="Y142" s="29"/>
      <c r="AA142" s="29" t="s">
        <v>907</v>
      </c>
      <c r="AB142" s="29"/>
      <c r="AC142" s="177"/>
      <c r="AD142" s="178"/>
    </row>
    <row r="143" spans="1:30" ht="13" x14ac:dyDescent="0.35">
      <c r="A143" s="82"/>
      <c r="B143" s="82"/>
      <c r="C143" s="82"/>
      <c r="D143" s="82"/>
      <c r="E143" s="21"/>
      <c r="F143" s="21"/>
      <c r="G143" s="21" t="s">
        <v>908</v>
      </c>
      <c r="H143" s="21" t="s">
        <v>909</v>
      </c>
      <c r="I143" s="43"/>
      <c r="J143" s="118"/>
      <c r="K143" s="118"/>
      <c r="L143" s="21" t="s">
        <v>909</v>
      </c>
      <c r="M143" s="21" t="s">
        <v>910</v>
      </c>
      <c r="N143" s="24" t="s">
        <v>911</v>
      </c>
      <c r="O143" s="173"/>
      <c r="P143" s="174"/>
      <c r="Q143" s="143"/>
      <c r="R143" s="43"/>
      <c r="S143" s="43"/>
      <c r="T143" s="43"/>
      <c r="U143" s="43"/>
      <c r="V143" s="43"/>
      <c r="W143" s="143"/>
      <c r="X143" s="21" t="s">
        <v>912</v>
      </c>
      <c r="Y143" s="21" t="s">
        <v>913</v>
      </c>
      <c r="AA143" s="20" t="s">
        <v>180</v>
      </c>
      <c r="AB143" s="20" t="s">
        <v>178</v>
      </c>
      <c r="AC143" s="71"/>
      <c r="AD143" s="37"/>
    </row>
    <row r="144" spans="1:30" ht="13" x14ac:dyDescent="0.35">
      <c r="A144" s="179" t="s">
        <v>914</v>
      </c>
      <c r="B144" s="179" t="s">
        <v>914</v>
      </c>
      <c r="C144" s="179" t="s">
        <v>915</v>
      </c>
      <c r="D144" s="145" t="s">
        <v>329</v>
      </c>
      <c r="E144" s="35">
        <v>13</v>
      </c>
      <c r="F144" s="35">
        <v>5</v>
      </c>
      <c r="G144" s="35">
        <v>10</v>
      </c>
      <c r="H144" s="35">
        <v>50</v>
      </c>
      <c r="I144" s="20" t="s">
        <v>916</v>
      </c>
      <c r="J144" s="118" t="s">
        <v>917</v>
      </c>
      <c r="K144" s="180">
        <v>3917.3290000000002</v>
      </c>
      <c r="L144" s="43">
        <f t="shared" ref="L144:L149" si="71">$N144*$F144</f>
        <v>0</v>
      </c>
      <c r="M144" s="43">
        <f t="shared" ref="M144:M149" si="72">$L144/$H144</f>
        <v>0</v>
      </c>
      <c r="N144" s="181"/>
      <c r="O144" s="44">
        <v>7.0000000000000007E-2</v>
      </c>
      <c r="P144" s="44">
        <f t="shared" ref="P144:P149" si="73">$M144*$O144</f>
        <v>0</v>
      </c>
      <c r="Q144" s="45"/>
      <c r="R144" s="35"/>
      <c r="S144" s="35">
        <v>20</v>
      </c>
      <c r="T144" s="35">
        <f t="shared" ref="T144:T149" si="74">S144+R144</f>
        <v>20</v>
      </c>
      <c r="U144" s="43">
        <f t="shared" ref="U144:U149" si="75">$M144*$T144*1.05</f>
        <v>0</v>
      </c>
      <c r="V144" s="43">
        <f t="shared" ref="V144:V149" si="76">ROUNDUP($U144/110,)</f>
        <v>0</v>
      </c>
      <c r="W144" s="45"/>
      <c r="X144" s="50">
        <v>24.3</v>
      </c>
      <c r="Y144" s="50">
        <f t="shared" ref="Y144:Y149" si="77">X144*$L144</f>
        <v>0</v>
      </c>
      <c r="AA144" s="51"/>
      <c r="AB144" s="51">
        <f t="shared" ref="AB144:AB149" si="78">$L144*AA144</f>
        <v>0</v>
      </c>
      <c r="AC144" s="52" t="e">
        <f t="shared" ref="AC144:AC149" si="79">AD144/L144</f>
        <v>#DIV/0!</v>
      </c>
      <c r="AD144" s="50">
        <f t="shared" ref="AD144:AD149" si="80">AB144*$AD$2</f>
        <v>0</v>
      </c>
    </row>
    <row r="145" spans="1:30" ht="13" x14ac:dyDescent="0.35">
      <c r="A145" s="179" t="s">
        <v>918</v>
      </c>
      <c r="B145" s="179" t="s">
        <v>918</v>
      </c>
      <c r="C145" s="179" t="s">
        <v>919</v>
      </c>
      <c r="D145" s="145" t="s">
        <v>329</v>
      </c>
      <c r="E145" s="35">
        <v>13</v>
      </c>
      <c r="F145" s="35">
        <v>10</v>
      </c>
      <c r="G145" s="35">
        <v>5</v>
      </c>
      <c r="H145" s="35">
        <v>50</v>
      </c>
      <c r="I145" s="20" t="s">
        <v>920</v>
      </c>
      <c r="J145" s="118" t="s">
        <v>921</v>
      </c>
      <c r="K145" s="180">
        <v>3917.3290000000002</v>
      </c>
      <c r="L145" s="43">
        <f t="shared" si="71"/>
        <v>0</v>
      </c>
      <c r="M145" s="43">
        <f t="shared" si="72"/>
        <v>0</v>
      </c>
      <c r="N145" s="181"/>
      <c r="O145" s="44">
        <v>7.0000000000000007E-2</v>
      </c>
      <c r="P145" s="44">
        <f t="shared" si="73"/>
        <v>0</v>
      </c>
      <c r="Q145" s="45"/>
      <c r="R145" s="35"/>
      <c r="S145" s="35">
        <v>10</v>
      </c>
      <c r="T145" s="35">
        <f t="shared" si="74"/>
        <v>10</v>
      </c>
      <c r="U145" s="43">
        <f t="shared" si="75"/>
        <v>0</v>
      </c>
      <c r="V145" s="43">
        <f t="shared" si="76"/>
        <v>0</v>
      </c>
      <c r="W145" s="45"/>
      <c r="X145" s="50">
        <v>24.3</v>
      </c>
      <c r="Y145" s="50">
        <f t="shared" si="77"/>
        <v>0</v>
      </c>
      <c r="AA145" s="51"/>
      <c r="AB145" s="51">
        <f t="shared" si="78"/>
        <v>0</v>
      </c>
      <c r="AC145" s="52" t="e">
        <f t="shared" si="79"/>
        <v>#DIV/0!</v>
      </c>
      <c r="AD145" s="50">
        <f t="shared" si="80"/>
        <v>0</v>
      </c>
    </row>
    <row r="146" spans="1:30" ht="13" x14ac:dyDescent="0.35">
      <c r="A146" s="179" t="s">
        <v>922</v>
      </c>
      <c r="B146" s="179" t="s">
        <v>922</v>
      </c>
      <c r="C146" s="179" t="s">
        <v>923</v>
      </c>
      <c r="D146" s="145" t="s">
        <v>329</v>
      </c>
      <c r="E146" s="35">
        <v>13</v>
      </c>
      <c r="F146" s="35">
        <v>25</v>
      </c>
      <c r="G146" s="35">
        <v>5</v>
      </c>
      <c r="H146" s="35">
        <v>125</v>
      </c>
      <c r="I146" s="20" t="s">
        <v>924</v>
      </c>
      <c r="J146" s="118" t="s">
        <v>925</v>
      </c>
      <c r="K146" s="180">
        <v>3917.3290000000002</v>
      </c>
      <c r="L146" s="43">
        <f t="shared" si="71"/>
        <v>0</v>
      </c>
      <c r="M146" s="43">
        <f t="shared" si="72"/>
        <v>0</v>
      </c>
      <c r="N146" s="181"/>
      <c r="O146" s="44">
        <v>0.09</v>
      </c>
      <c r="P146" s="44">
        <f t="shared" si="73"/>
        <v>0</v>
      </c>
      <c r="Q146" s="45"/>
      <c r="R146" s="35"/>
      <c r="S146" s="35">
        <v>5</v>
      </c>
      <c r="T146" s="35">
        <f t="shared" si="74"/>
        <v>5</v>
      </c>
      <c r="U146" s="43">
        <f t="shared" si="75"/>
        <v>0</v>
      </c>
      <c r="V146" s="43">
        <f t="shared" si="76"/>
        <v>0</v>
      </c>
      <c r="W146" s="45"/>
      <c r="X146" s="50">
        <v>24.3</v>
      </c>
      <c r="Y146" s="50">
        <f t="shared" si="77"/>
        <v>0</v>
      </c>
      <c r="AA146" s="51"/>
      <c r="AB146" s="51">
        <f t="shared" si="78"/>
        <v>0</v>
      </c>
      <c r="AC146" s="52" t="e">
        <f t="shared" si="79"/>
        <v>#DIV/0!</v>
      </c>
      <c r="AD146" s="50">
        <f t="shared" si="80"/>
        <v>0</v>
      </c>
    </row>
    <row r="147" spans="1:30" ht="13" x14ac:dyDescent="0.35">
      <c r="A147" s="179" t="s">
        <v>926</v>
      </c>
      <c r="B147" s="179" t="s">
        <v>926</v>
      </c>
      <c r="C147" s="179" t="s">
        <v>927</v>
      </c>
      <c r="D147" s="145" t="s">
        <v>329</v>
      </c>
      <c r="E147" s="35">
        <v>19</v>
      </c>
      <c r="F147" s="35">
        <v>5</v>
      </c>
      <c r="G147" s="35">
        <v>10</v>
      </c>
      <c r="H147" s="35">
        <v>50</v>
      </c>
      <c r="I147" s="20" t="s">
        <v>928</v>
      </c>
      <c r="J147" s="118" t="s">
        <v>929</v>
      </c>
      <c r="K147" s="180">
        <v>3917.3290000000002</v>
      </c>
      <c r="L147" s="43">
        <f t="shared" si="71"/>
        <v>0</v>
      </c>
      <c r="M147" s="43">
        <f t="shared" si="72"/>
        <v>0</v>
      </c>
      <c r="N147" s="181"/>
      <c r="O147" s="44">
        <v>0.08</v>
      </c>
      <c r="P147" s="44">
        <f t="shared" si="73"/>
        <v>0</v>
      </c>
      <c r="Q147" s="45"/>
      <c r="R147" s="35"/>
      <c r="S147" s="35">
        <v>10</v>
      </c>
      <c r="T147" s="35">
        <f t="shared" si="74"/>
        <v>10</v>
      </c>
      <c r="U147" s="43">
        <f t="shared" si="75"/>
        <v>0</v>
      </c>
      <c r="V147" s="43">
        <f t="shared" si="76"/>
        <v>0</v>
      </c>
      <c r="W147" s="45"/>
      <c r="X147" s="50">
        <v>38.700000000000003</v>
      </c>
      <c r="Y147" s="50">
        <f t="shared" si="77"/>
        <v>0</v>
      </c>
      <c r="AA147" s="51"/>
      <c r="AB147" s="51">
        <f t="shared" si="78"/>
        <v>0</v>
      </c>
      <c r="AC147" s="52" t="e">
        <f t="shared" si="79"/>
        <v>#DIV/0!</v>
      </c>
      <c r="AD147" s="50">
        <f t="shared" si="80"/>
        <v>0</v>
      </c>
    </row>
    <row r="148" spans="1:30" ht="13" x14ac:dyDescent="0.35">
      <c r="A148" s="179" t="s">
        <v>930</v>
      </c>
      <c r="B148" s="179" t="s">
        <v>930</v>
      </c>
      <c r="C148" s="179" t="s">
        <v>931</v>
      </c>
      <c r="D148" s="145" t="s">
        <v>329</v>
      </c>
      <c r="E148" s="35">
        <v>19</v>
      </c>
      <c r="F148" s="35">
        <v>10</v>
      </c>
      <c r="G148" s="35">
        <v>5</v>
      </c>
      <c r="H148" s="35">
        <v>50</v>
      </c>
      <c r="I148" s="20" t="s">
        <v>932</v>
      </c>
      <c r="J148" s="118" t="s">
        <v>933</v>
      </c>
      <c r="K148" s="180">
        <v>3917.3290000000002</v>
      </c>
      <c r="L148" s="43">
        <f t="shared" si="71"/>
        <v>0</v>
      </c>
      <c r="M148" s="43">
        <f t="shared" si="72"/>
        <v>0</v>
      </c>
      <c r="N148" s="181"/>
      <c r="O148" s="44">
        <v>0.08</v>
      </c>
      <c r="P148" s="44">
        <f t="shared" si="73"/>
        <v>0</v>
      </c>
      <c r="Q148" s="45"/>
      <c r="R148" s="35"/>
      <c r="S148" s="35">
        <v>5</v>
      </c>
      <c r="T148" s="35">
        <f t="shared" si="74"/>
        <v>5</v>
      </c>
      <c r="U148" s="43">
        <f t="shared" si="75"/>
        <v>0</v>
      </c>
      <c r="V148" s="43">
        <f t="shared" si="76"/>
        <v>0</v>
      </c>
      <c r="W148" s="45"/>
      <c r="X148" s="50">
        <v>38.700000000000003</v>
      </c>
      <c r="Y148" s="50">
        <f t="shared" si="77"/>
        <v>0</v>
      </c>
      <c r="AA148" s="51"/>
      <c r="AB148" s="51">
        <f t="shared" si="78"/>
        <v>0</v>
      </c>
      <c r="AC148" s="52" t="e">
        <f t="shared" si="79"/>
        <v>#DIV/0!</v>
      </c>
      <c r="AD148" s="50">
        <f t="shared" si="80"/>
        <v>0</v>
      </c>
    </row>
    <row r="149" spans="1:30" ht="13" x14ac:dyDescent="0.35">
      <c r="A149" s="179" t="s">
        <v>934</v>
      </c>
      <c r="B149" s="179" t="s">
        <v>934</v>
      </c>
      <c r="C149" s="179" t="s">
        <v>935</v>
      </c>
      <c r="D149" s="145" t="s">
        <v>329</v>
      </c>
      <c r="E149" s="35">
        <v>19</v>
      </c>
      <c r="F149" s="35">
        <v>25</v>
      </c>
      <c r="G149" s="35">
        <v>5</v>
      </c>
      <c r="H149" s="35">
        <v>125</v>
      </c>
      <c r="I149" s="20" t="s">
        <v>936</v>
      </c>
      <c r="J149" s="118" t="s">
        <v>937</v>
      </c>
      <c r="K149" s="180">
        <v>3917.3290000000002</v>
      </c>
      <c r="L149" s="43">
        <f t="shared" si="71"/>
        <v>0</v>
      </c>
      <c r="M149" s="43">
        <f t="shared" si="72"/>
        <v>0</v>
      </c>
      <c r="N149" s="181"/>
      <c r="O149" s="44">
        <v>0.15</v>
      </c>
      <c r="P149" s="44">
        <f t="shared" si="73"/>
        <v>0</v>
      </c>
      <c r="Q149" s="45"/>
      <c r="R149" s="35"/>
      <c r="S149" s="35">
        <v>5</v>
      </c>
      <c r="T149" s="35">
        <f t="shared" si="74"/>
        <v>5</v>
      </c>
      <c r="U149" s="43">
        <f t="shared" si="75"/>
        <v>0</v>
      </c>
      <c r="V149" s="43">
        <f t="shared" si="76"/>
        <v>0</v>
      </c>
      <c r="W149" s="45"/>
      <c r="X149" s="50">
        <v>38.700000000000003</v>
      </c>
      <c r="Y149" s="50">
        <f t="shared" si="77"/>
        <v>0</v>
      </c>
      <c r="AA149" s="51"/>
      <c r="AB149" s="51">
        <f t="shared" si="78"/>
        <v>0</v>
      </c>
      <c r="AC149" s="52" t="e">
        <f t="shared" si="79"/>
        <v>#DIV/0!</v>
      </c>
      <c r="AD149" s="50">
        <f t="shared" si="80"/>
        <v>0</v>
      </c>
    </row>
    <row r="150" spans="1:30" ht="13" x14ac:dyDescent="0.35">
      <c r="C150" s="18"/>
      <c r="J150" s="20" t="s">
        <v>78</v>
      </c>
      <c r="K150" s="20"/>
      <c r="L150" s="20">
        <f>SUBTOTAL(9,L144:L149)</f>
        <v>0</v>
      </c>
      <c r="M150" s="20">
        <f>SUBTOTAL(9,M144:M149)</f>
        <v>0</v>
      </c>
      <c r="N150" s="166">
        <f>SUBTOTAL(9,N144:N149)</f>
        <v>0</v>
      </c>
      <c r="O150" s="43"/>
      <c r="P150" s="66">
        <f>SUBTOTAL(9,P144:P149)</f>
        <v>0</v>
      </c>
      <c r="Q150" s="67"/>
      <c r="R150" s="35"/>
      <c r="S150" s="35"/>
      <c r="T150" s="35"/>
      <c r="U150" s="20">
        <f>SUBTOTAL(9,U144:U149)</f>
        <v>0</v>
      </c>
      <c r="V150" s="20">
        <f>SUBTOTAL(9,V144:V149)</f>
        <v>0</v>
      </c>
      <c r="W150" s="67"/>
      <c r="X150" s="50"/>
      <c r="Y150" s="37">
        <f>SUBTOTAL(9,Y144:Y149)</f>
        <v>0</v>
      </c>
      <c r="AA150" s="43"/>
      <c r="AB150" s="70">
        <f>SUBTOTAL(9,AB144:AB149)</f>
        <v>0</v>
      </c>
      <c r="AC150" s="71"/>
      <c r="AD150" s="37">
        <f>SUM(AD144:AD149)</f>
        <v>0</v>
      </c>
    </row>
    <row r="151" spans="1:30" ht="13" x14ac:dyDescent="0.3">
      <c r="C151" s="18"/>
      <c r="J151" s="20" t="s">
        <v>938</v>
      </c>
      <c r="K151" s="20"/>
      <c r="L151" s="20">
        <f>L150+L140</f>
        <v>0</v>
      </c>
      <c r="M151" s="20">
        <f>M150+M140</f>
        <v>0</v>
      </c>
      <c r="O151" s="43"/>
      <c r="P151" s="66">
        <f>P150+P140</f>
        <v>0</v>
      </c>
      <c r="Q151" s="67"/>
      <c r="R151" s="87"/>
      <c r="S151" s="87"/>
      <c r="T151" s="87"/>
      <c r="U151" s="182">
        <f>U150+U140</f>
        <v>0</v>
      </c>
      <c r="V151" s="182">
        <f>V150+V140</f>
        <v>0</v>
      </c>
      <c r="W151" s="67"/>
      <c r="X151" s="50"/>
      <c r="Y151" s="37">
        <f>Y150+Y140</f>
        <v>0</v>
      </c>
      <c r="AA151" s="43"/>
      <c r="AB151" s="70">
        <f>AB150+AB140</f>
        <v>0</v>
      </c>
      <c r="AC151" s="71"/>
      <c r="AD151" s="37">
        <f>AD150+AD140</f>
        <v>0</v>
      </c>
    </row>
    <row r="152" spans="1:30" ht="13" x14ac:dyDescent="0.35">
      <c r="A152" s="183"/>
      <c r="C152" s="184"/>
      <c r="D152" s="183"/>
      <c r="E152" s="80"/>
      <c r="F152" s="80"/>
      <c r="G152" s="80"/>
      <c r="H152" s="80"/>
      <c r="J152" s="185"/>
      <c r="K152" s="185"/>
      <c r="L152" s="94"/>
      <c r="M152" s="94"/>
      <c r="N152" s="80"/>
      <c r="O152" s="173"/>
      <c r="P152" s="186"/>
      <c r="Q152" s="67"/>
      <c r="R152" s="35"/>
      <c r="S152" s="35"/>
      <c r="T152" s="35"/>
      <c r="U152" s="20"/>
      <c r="V152" s="20"/>
      <c r="W152" s="67"/>
      <c r="X152" s="174"/>
      <c r="Y152" s="186"/>
      <c r="AA152" s="43"/>
      <c r="AB152" s="187"/>
      <c r="AC152" s="188"/>
      <c r="AD152" s="84"/>
    </row>
    <row r="153" spans="1:30" ht="13" x14ac:dyDescent="0.35">
      <c r="A153" s="166" t="s">
        <v>939</v>
      </c>
      <c r="B153" s="166"/>
      <c r="C153" s="166"/>
      <c r="D153" s="176"/>
      <c r="E153" s="21" t="s">
        <v>74</v>
      </c>
      <c r="F153" s="21" t="s">
        <v>904</v>
      </c>
      <c r="G153" s="22" t="s">
        <v>905</v>
      </c>
      <c r="H153" s="23"/>
      <c r="I153" s="43"/>
      <c r="J153" s="35"/>
      <c r="K153" s="43"/>
      <c r="L153" s="35"/>
      <c r="M153" s="35"/>
      <c r="N153" s="69"/>
      <c r="O153" s="35"/>
      <c r="P153" s="189"/>
      <c r="Q153" s="190"/>
      <c r="R153" s="35"/>
      <c r="S153" s="35"/>
      <c r="T153" s="35"/>
      <c r="U153" s="20"/>
      <c r="V153" s="43"/>
      <c r="W153" s="25"/>
      <c r="X153" s="22" t="s">
        <v>906</v>
      </c>
      <c r="Y153" s="23"/>
      <c r="AA153" s="22" t="s">
        <v>907</v>
      </c>
      <c r="AB153" s="23"/>
      <c r="AC153" s="177"/>
      <c r="AD153" s="178"/>
    </row>
    <row r="154" spans="1:30" ht="13" x14ac:dyDescent="0.35">
      <c r="A154" s="82"/>
      <c r="B154" s="82"/>
      <c r="C154" s="82"/>
      <c r="D154" s="82"/>
      <c r="E154" s="21"/>
      <c r="F154" s="21"/>
      <c r="G154" s="21" t="s">
        <v>908</v>
      </c>
      <c r="H154" s="21" t="s">
        <v>909</v>
      </c>
      <c r="I154" s="43"/>
      <c r="J154" s="118"/>
      <c r="K154" s="191"/>
      <c r="L154" s="21" t="s">
        <v>909</v>
      </c>
      <c r="M154" s="21" t="s">
        <v>76</v>
      </c>
      <c r="N154" s="24" t="s">
        <v>911</v>
      </c>
      <c r="O154" s="35"/>
      <c r="P154" s="189"/>
      <c r="Q154" s="143"/>
      <c r="R154" s="35"/>
      <c r="S154" s="35"/>
      <c r="T154" s="35"/>
      <c r="U154" s="43"/>
      <c r="V154" s="43"/>
      <c r="W154" s="143"/>
      <c r="X154" s="21" t="s">
        <v>912</v>
      </c>
      <c r="Y154" s="21" t="s">
        <v>913</v>
      </c>
      <c r="AA154" s="21" t="s">
        <v>180</v>
      </c>
      <c r="AB154" s="21" t="s">
        <v>178</v>
      </c>
      <c r="AC154" s="177"/>
      <c r="AD154" s="178"/>
    </row>
    <row r="155" spans="1:30" ht="13" x14ac:dyDescent="0.35">
      <c r="A155" s="179" t="s">
        <v>940</v>
      </c>
      <c r="B155" s="179"/>
      <c r="C155" s="179"/>
      <c r="D155" s="179"/>
      <c r="E155" s="35">
        <v>13</v>
      </c>
      <c r="F155" s="35">
        <v>30</v>
      </c>
      <c r="G155" s="35">
        <v>5</v>
      </c>
      <c r="H155" s="35">
        <v>150</v>
      </c>
      <c r="I155" s="20" t="s">
        <v>941</v>
      </c>
      <c r="J155" s="118"/>
      <c r="K155" s="191"/>
      <c r="L155" s="43">
        <f>$N155*$F155</f>
        <v>0</v>
      </c>
      <c r="M155" s="43">
        <f>$L155/$H155</f>
        <v>0</v>
      </c>
      <c r="N155" s="181"/>
      <c r="O155" s="44">
        <v>0.12</v>
      </c>
      <c r="P155" s="44">
        <f>$M155*$O155</f>
        <v>0</v>
      </c>
      <c r="Q155" s="45"/>
      <c r="R155" s="35"/>
      <c r="S155" s="35">
        <v>20</v>
      </c>
      <c r="T155" s="35">
        <f t="shared" ref="T155" si="81">S155+R155</f>
        <v>20</v>
      </c>
      <c r="U155" s="43">
        <f>$M155*$T155*1.05</f>
        <v>0</v>
      </c>
      <c r="V155" s="43">
        <f>ROUNDUP($U155/125,)</f>
        <v>0</v>
      </c>
      <c r="W155" s="45"/>
      <c r="X155" s="50"/>
      <c r="Y155" s="50">
        <f>X155*$L155</f>
        <v>0</v>
      </c>
      <c r="AA155" s="51"/>
      <c r="AB155" s="51">
        <f>$L155*AA155</f>
        <v>0</v>
      </c>
      <c r="AC155" s="52" t="e">
        <f>AD155/L155</f>
        <v>#DIV/0!</v>
      </c>
      <c r="AD155" s="50">
        <f>AB155*$AD$2</f>
        <v>0</v>
      </c>
    </row>
    <row r="156" spans="1:30" ht="13" x14ac:dyDescent="0.35">
      <c r="C156" s="18"/>
      <c r="J156" s="20" t="s">
        <v>78</v>
      </c>
      <c r="K156" s="20"/>
      <c r="L156" s="20">
        <f>SUBTOTAL(9,L155:L155)</f>
        <v>0</v>
      </c>
      <c r="M156" s="20">
        <f>SUBTOTAL(9,M155:M155)</f>
        <v>0</v>
      </c>
      <c r="N156" s="166">
        <f>SUBTOTAL(9,N155:N155)</f>
        <v>0</v>
      </c>
      <c r="O156" s="43"/>
      <c r="P156" s="66">
        <f>SUBTOTAL(9,P155:P155)</f>
        <v>0</v>
      </c>
      <c r="Q156" s="67"/>
      <c r="R156" s="35"/>
      <c r="S156" s="35"/>
      <c r="T156" s="35"/>
      <c r="U156" s="20">
        <f>SUBTOTAL(9,U155:U155)</f>
        <v>0</v>
      </c>
      <c r="V156" s="20">
        <f>SUBTOTAL(9,V155:V155)</f>
        <v>0</v>
      </c>
      <c r="W156" s="67"/>
      <c r="X156" s="50"/>
      <c r="Y156" s="37">
        <f>SUBTOTAL(9,Y155:Y155)</f>
        <v>0</v>
      </c>
      <c r="AA156" s="43"/>
      <c r="AB156" s="70">
        <f>SUBTOTAL(9,AB155:AB155)</f>
        <v>0</v>
      </c>
      <c r="AC156" s="71"/>
      <c r="AD156" s="37">
        <f>AD155</f>
        <v>0</v>
      </c>
    </row>
    <row r="157" spans="1:30" x14ac:dyDescent="0.25">
      <c r="L157" s="80"/>
      <c r="M157" s="80"/>
      <c r="N157" s="80"/>
      <c r="O157" s="173"/>
      <c r="P157" s="174"/>
      <c r="Q157" s="175"/>
      <c r="R157" s="87"/>
      <c r="S157" s="87"/>
      <c r="T157" s="87"/>
      <c r="U157" s="193"/>
      <c r="V157" s="193"/>
      <c r="W157" s="175"/>
      <c r="X157" s="43"/>
      <c r="Y157" s="43"/>
      <c r="AA157" s="43"/>
      <c r="AB157" s="43"/>
      <c r="AC157" s="43"/>
      <c r="AD157" s="50"/>
    </row>
    <row r="158" spans="1:30" x14ac:dyDescent="0.25">
      <c r="L158" s="80"/>
      <c r="M158" s="80"/>
      <c r="N158" s="80"/>
      <c r="O158" s="173"/>
      <c r="P158" s="174"/>
      <c r="Q158" s="175"/>
      <c r="R158" s="35"/>
      <c r="S158" s="35"/>
      <c r="T158" s="48"/>
      <c r="U158" s="43"/>
      <c r="V158" s="43"/>
      <c r="W158" s="175"/>
      <c r="X158" s="43"/>
      <c r="Y158" s="43"/>
      <c r="AA158" s="43"/>
      <c r="AB158" s="43"/>
      <c r="AC158" s="43"/>
      <c r="AD158" s="50"/>
    </row>
    <row r="159" spans="1:30" ht="13" x14ac:dyDescent="0.35">
      <c r="A159" s="166" t="s">
        <v>942</v>
      </c>
      <c r="B159" s="166"/>
      <c r="C159" s="185"/>
      <c r="D159" s="185"/>
      <c r="E159" s="176"/>
      <c r="F159" s="82"/>
      <c r="G159" s="43"/>
      <c r="H159" s="43"/>
      <c r="I159" s="43"/>
      <c r="J159" s="21"/>
      <c r="K159" s="20"/>
      <c r="L159" s="173"/>
      <c r="M159" s="173"/>
      <c r="N159" s="80"/>
      <c r="O159" s="173"/>
      <c r="P159" s="174"/>
      <c r="Q159" s="175"/>
      <c r="R159" s="35"/>
      <c r="S159" s="35"/>
      <c r="T159" s="48"/>
      <c r="U159" s="43"/>
      <c r="V159" s="43"/>
      <c r="W159" s="175"/>
      <c r="X159" s="43"/>
      <c r="Y159" s="43"/>
      <c r="AA159" s="43"/>
      <c r="AB159" s="43"/>
      <c r="AC159" s="43"/>
      <c r="AD159" s="50"/>
    </row>
    <row r="160" spans="1:30" ht="13" x14ac:dyDescent="0.35">
      <c r="A160" s="179" t="s">
        <v>943</v>
      </c>
      <c r="B160" s="179" t="s">
        <v>943</v>
      </c>
      <c r="C160" s="179" t="s">
        <v>944</v>
      </c>
      <c r="D160" s="179"/>
      <c r="E160" s="48">
        <v>15</v>
      </c>
      <c r="F160" s="48">
        <v>3000</v>
      </c>
      <c r="G160" s="35">
        <v>10</v>
      </c>
      <c r="H160" s="35">
        <v>50</v>
      </c>
      <c r="I160" s="43"/>
      <c r="J160" s="21" t="s">
        <v>945</v>
      </c>
      <c r="K160" s="20"/>
      <c r="L160" s="43"/>
      <c r="M160" s="43">
        <f t="shared" ref="M160:M165" si="82">L160/H160</f>
        <v>0</v>
      </c>
      <c r="O160" s="44">
        <v>0.09</v>
      </c>
      <c r="P160" s="44">
        <f t="shared" ref="P160:P165" si="83">$M160*$O160</f>
        <v>0</v>
      </c>
      <c r="Q160" s="45"/>
      <c r="R160" s="35">
        <v>5</v>
      </c>
      <c r="S160" s="35">
        <v>50</v>
      </c>
      <c r="T160" s="35">
        <f t="shared" ref="T160:T165" si="84">S160+R160</f>
        <v>55</v>
      </c>
      <c r="U160" s="43">
        <f t="shared" ref="U160:U165" si="85">$M160*$T160*1.05</f>
        <v>0</v>
      </c>
      <c r="V160" s="43">
        <f t="shared" ref="V160:V165" si="86">ROUNDUP($U160/125,)</f>
        <v>0</v>
      </c>
      <c r="W160" s="45"/>
      <c r="X160" s="44"/>
      <c r="Y160" s="44">
        <f t="shared" ref="Y160:Y165" si="87">X160*R160</f>
        <v>0</v>
      </c>
      <c r="AA160" s="43"/>
      <c r="AB160" s="51" t="e">
        <f>#REF!*AA160</f>
        <v>#REF!</v>
      </c>
      <c r="AC160" s="51"/>
      <c r="AD160" s="50"/>
    </row>
    <row r="161" spans="1:30" ht="13" x14ac:dyDescent="0.35">
      <c r="A161" s="179" t="s">
        <v>946</v>
      </c>
      <c r="B161" s="179" t="s">
        <v>946</v>
      </c>
      <c r="C161" s="179" t="s">
        <v>947</v>
      </c>
      <c r="D161" s="179"/>
      <c r="E161" s="48">
        <v>20</v>
      </c>
      <c r="F161" s="48">
        <v>4000</v>
      </c>
      <c r="G161" s="35">
        <v>10</v>
      </c>
      <c r="H161" s="35">
        <v>50</v>
      </c>
      <c r="I161" s="43"/>
      <c r="J161" s="21" t="s">
        <v>948</v>
      </c>
      <c r="K161" s="20"/>
      <c r="L161" s="43"/>
      <c r="M161" s="43">
        <f t="shared" si="82"/>
        <v>0</v>
      </c>
      <c r="O161" s="44">
        <v>0.18</v>
      </c>
      <c r="P161" s="44">
        <f t="shared" si="83"/>
        <v>0</v>
      </c>
      <c r="Q161" s="45"/>
      <c r="R161" s="35">
        <v>5</v>
      </c>
      <c r="S161" s="35">
        <v>50</v>
      </c>
      <c r="T161" s="35">
        <f t="shared" si="84"/>
        <v>55</v>
      </c>
      <c r="U161" s="43">
        <f t="shared" si="85"/>
        <v>0</v>
      </c>
      <c r="V161" s="43">
        <f t="shared" si="86"/>
        <v>0</v>
      </c>
      <c r="W161" s="45"/>
      <c r="X161" s="44"/>
      <c r="Y161" s="44">
        <f t="shared" si="87"/>
        <v>0</v>
      </c>
      <c r="AA161" s="43"/>
      <c r="AB161" s="51" t="e">
        <f>#REF!*AA161</f>
        <v>#REF!</v>
      </c>
      <c r="AC161" s="51"/>
      <c r="AD161" s="50"/>
    </row>
    <row r="162" spans="1:30" ht="13" x14ac:dyDescent="0.35">
      <c r="A162" s="179" t="s">
        <v>949</v>
      </c>
      <c r="B162" s="179" t="s">
        <v>949</v>
      </c>
      <c r="C162" s="179" t="s">
        <v>950</v>
      </c>
      <c r="D162" s="179"/>
      <c r="E162" s="35">
        <v>25</v>
      </c>
      <c r="F162" s="48">
        <v>3000</v>
      </c>
      <c r="G162" s="35">
        <v>10</v>
      </c>
      <c r="H162" s="35">
        <v>50</v>
      </c>
      <c r="I162" s="43"/>
      <c r="J162" s="21" t="s">
        <v>951</v>
      </c>
      <c r="K162" s="20"/>
      <c r="L162" s="43"/>
      <c r="M162" s="43">
        <f t="shared" si="82"/>
        <v>0</v>
      </c>
      <c r="O162" s="44">
        <v>0.2</v>
      </c>
      <c r="P162" s="44">
        <f t="shared" si="83"/>
        <v>0</v>
      </c>
      <c r="Q162" s="45"/>
      <c r="R162" s="35">
        <v>5</v>
      </c>
      <c r="S162" s="35">
        <v>50</v>
      </c>
      <c r="T162" s="35">
        <f t="shared" si="84"/>
        <v>55</v>
      </c>
      <c r="U162" s="43">
        <f t="shared" si="85"/>
        <v>0</v>
      </c>
      <c r="V162" s="43">
        <f t="shared" si="86"/>
        <v>0</v>
      </c>
      <c r="W162" s="45"/>
      <c r="X162" s="44"/>
      <c r="Y162" s="44">
        <f t="shared" si="87"/>
        <v>0</v>
      </c>
      <c r="AA162" s="43"/>
      <c r="AB162" s="51" t="e">
        <f>#REF!*AA162</f>
        <v>#REF!</v>
      </c>
      <c r="AC162" s="51"/>
      <c r="AD162" s="50"/>
    </row>
    <row r="163" spans="1:30" ht="13" x14ac:dyDescent="0.35">
      <c r="A163" s="179" t="s">
        <v>952</v>
      </c>
      <c r="B163" s="179" t="s">
        <v>952</v>
      </c>
      <c r="C163" s="179" t="s">
        <v>953</v>
      </c>
      <c r="D163" s="179"/>
      <c r="E163" s="35">
        <v>32</v>
      </c>
      <c r="F163" s="35">
        <v>3000</v>
      </c>
      <c r="G163" s="35">
        <v>5</v>
      </c>
      <c r="H163" s="35">
        <v>20</v>
      </c>
      <c r="I163" s="43"/>
      <c r="J163" s="21" t="s">
        <v>954</v>
      </c>
      <c r="K163" s="20"/>
      <c r="L163" s="43"/>
      <c r="M163" s="43">
        <f t="shared" si="82"/>
        <v>0</v>
      </c>
      <c r="O163" s="44">
        <v>0.3</v>
      </c>
      <c r="P163" s="44">
        <f t="shared" si="83"/>
        <v>0</v>
      </c>
      <c r="Q163" s="45"/>
      <c r="R163" s="35">
        <v>4</v>
      </c>
      <c r="S163" s="35">
        <v>20</v>
      </c>
      <c r="T163" s="35">
        <f t="shared" si="84"/>
        <v>24</v>
      </c>
      <c r="U163" s="43">
        <f t="shared" si="85"/>
        <v>0</v>
      </c>
      <c r="V163" s="43">
        <f t="shared" si="86"/>
        <v>0</v>
      </c>
      <c r="W163" s="45"/>
      <c r="X163" s="44"/>
      <c r="Y163" s="44">
        <f t="shared" si="87"/>
        <v>0</v>
      </c>
      <c r="AA163" s="43"/>
      <c r="AB163" s="51" t="e">
        <f>#REF!*AA163</f>
        <v>#REF!</v>
      </c>
      <c r="AC163" s="51"/>
      <c r="AD163" s="50"/>
    </row>
    <row r="164" spans="1:30" ht="13" x14ac:dyDescent="0.35">
      <c r="A164" s="179" t="s">
        <v>955</v>
      </c>
      <c r="B164" s="179" t="s">
        <v>955</v>
      </c>
      <c r="C164" s="179" t="s">
        <v>956</v>
      </c>
      <c r="D164" s="179"/>
      <c r="E164" s="35">
        <v>40</v>
      </c>
      <c r="F164" s="35">
        <v>3000</v>
      </c>
      <c r="G164" s="35">
        <v>5</v>
      </c>
      <c r="H164" s="35">
        <v>20</v>
      </c>
      <c r="I164" s="43"/>
      <c r="J164" s="21" t="s">
        <v>957</v>
      </c>
      <c r="K164" s="20"/>
      <c r="L164" s="43"/>
      <c r="M164" s="43">
        <f t="shared" si="82"/>
        <v>0</v>
      </c>
      <c r="O164" s="44">
        <v>0.21</v>
      </c>
      <c r="P164" s="44">
        <f t="shared" si="83"/>
        <v>0</v>
      </c>
      <c r="Q164" s="45"/>
      <c r="R164" s="35">
        <v>4</v>
      </c>
      <c r="S164" s="35">
        <v>20</v>
      </c>
      <c r="T164" s="35">
        <f t="shared" si="84"/>
        <v>24</v>
      </c>
      <c r="U164" s="43">
        <f t="shared" si="85"/>
        <v>0</v>
      </c>
      <c r="V164" s="43">
        <f t="shared" si="86"/>
        <v>0</v>
      </c>
      <c r="W164" s="45"/>
      <c r="X164" s="44"/>
      <c r="Y164" s="44">
        <f t="shared" si="87"/>
        <v>0</v>
      </c>
      <c r="AA164" s="43"/>
      <c r="AB164" s="51" t="e">
        <f>#REF!*AA164</f>
        <v>#REF!</v>
      </c>
      <c r="AC164" s="51"/>
      <c r="AD164" s="50"/>
    </row>
    <row r="165" spans="1:30" ht="13" x14ac:dyDescent="0.35">
      <c r="A165" s="179" t="s">
        <v>958</v>
      </c>
      <c r="B165" s="179" t="s">
        <v>958</v>
      </c>
      <c r="C165" s="179" t="s">
        <v>959</v>
      </c>
      <c r="D165" s="179"/>
      <c r="E165" s="35">
        <v>50</v>
      </c>
      <c r="F165" s="35">
        <v>3000</v>
      </c>
      <c r="G165" s="35">
        <v>5</v>
      </c>
      <c r="H165" s="35">
        <v>20</v>
      </c>
      <c r="I165" s="43"/>
      <c r="J165" s="21" t="s">
        <v>960</v>
      </c>
      <c r="K165" s="20"/>
      <c r="L165" s="43"/>
      <c r="M165" s="43">
        <f t="shared" si="82"/>
        <v>0</v>
      </c>
      <c r="O165" s="44">
        <v>0.32</v>
      </c>
      <c r="P165" s="44">
        <f t="shared" si="83"/>
        <v>0</v>
      </c>
      <c r="Q165" s="45"/>
      <c r="R165" s="35">
        <v>4</v>
      </c>
      <c r="S165" s="35">
        <v>20</v>
      </c>
      <c r="T165" s="35">
        <f t="shared" si="84"/>
        <v>24</v>
      </c>
      <c r="U165" s="43">
        <f t="shared" si="85"/>
        <v>0</v>
      </c>
      <c r="V165" s="43">
        <f t="shared" si="86"/>
        <v>0</v>
      </c>
      <c r="W165" s="45"/>
      <c r="X165" s="44"/>
      <c r="Y165" s="44">
        <f t="shared" si="87"/>
        <v>0</v>
      </c>
      <c r="AA165" s="43"/>
      <c r="AB165" s="51" t="e">
        <f>#REF!*AA165</f>
        <v>#REF!</v>
      </c>
      <c r="AC165" s="51"/>
      <c r="AD165" s="50"/>
    </row>
  </sheetData>
  <mergeCells count="17">
    <mergeCell ref="G153:H153"/>
    <mergeCell ref="X153:Y153"/>
    <mergeCell ref="AA153:AB153"/>
    <mergeCell ref="X1:Y1"/>
    <mergeCell ref="AA1:AB1"/>
    <mergeCell ref="AC1:AD1"/>
    <mergeCell ref="G142:H142"/>
    <mergeCell ref="X142:Y142"/>
    <mergeCell ref="AA142:AB142"/>
    <mergeCell ref="D1:D2"/>
    <mergeCell ref="G1:H1"/>
    <mergeCell ref="I1:I2"/>
    <mergeCell ref="J1:J2"/>
    <mergeCell ref="K1:K2"/>
    <mergeCell ref="L1:M1"/>
    <mergeCell ref="O1:P1"/>
    <mergeCell ref="R1:T1"/>
  </mergeCells>
  <pageMargins left="0.39370078740157499" right="0.39370078740157499" top="0.39370078740157499" bottom="0.39370078740157499" header="0" footer="0"/>
  <pageSetup paperSize="9" scale="40" fitToHeight="0" orientation="landscape" horizontalDpi="4294967295" verticalDpi="18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F229C-AB88-4278-BA14-C36D7CF1F073}">
  <sheetPr>
    <pageSetUpPr fitToPage="1"/>
  </sheetPr>
  <dimension ref="A1:AG46"/>
  <sheetViews>
    <sheetView workbookViewId="0"/>
  </sheetViews>
  <sheetFormatPr defaultColWidth="9.1796875" defaultRowHeight="12.5" x14ac:dyDescent="0.35"/>
  <cols>
    <col min="1" max="1" width="13.453125" style="18" bestFit="1" customWidth="1"/>
    <col min="2" max="2" width="11.26953125" style="18" bestFit="1" customWidth="1"/>
    <col min="3" max="3" width="13.453125" style="18" customWidth="1"/>
    <col min="4" max="4" width="5.1796875" style="18" bestFit="1" customWidth="1"/>
    <col min="5" max="5" width="8.54296875" style="18" bestFit="1" customWidth="1"/>
    <col min="6" max="6" width="6" style="80" bestFit="1" customWidth="1"/>
    <col min="7" max="7" width="6.26953125" style="80" bestFit="1" customWidth="1"/>
    <col min="8" max="8" width="32.7265625" style="18" bestFit="1" customWidth="1"/>
    <col min="9" max="9" width="14.1796875" style="18" bestFit="1" customWidth="1"/>
    <col min="10" max="10" width="14.1796875" style="18" customWidth="1"/>
    <col min="11" max="11" width="7" style="18" bestFit="1" customWidth="1"/>
    <col min="12" max="12" width="7.26953125" style="18" bestFit="1" customWidth="1"/>
    <col min="13" max="13" width="8" style="18" bestFit="1" customWidth="1"/>
    <col min="14" max="14" width="9.1796875" style="18" customWidth="1"/>
    <col min="15" max="19" width="9.1796875" style="18"/>
    <col min="20" max="20" width="7.54296875" style="18" bestFit="1" customWidth="1"/>
    <col min="21" max="21" width="6.453125" style="18" bestFit="1" customWidth="1"/>
    <col min="22" max="22" width="5.54296875" style="18" bestFit="1" customWidth="1"/>
    <col min="23" max="23" width="7" style="18" bestFit="1" customWidth="1"/>
    <col min="24" max="24" width="7" style="18" customWidth="1"/>
    <col min="25" max="25" width="8.26953125" style="18" bestFit="1" customWidth="1"/>
    <col min="26" max="16384" width="9.1796875" style="18"/>
  </cols>
  <sheetData>
    <row r="1" spans="1:33" ht="19.5" customHeight="1" x14ac:dyDescent="0.35">
      <c r="A1" s="21" t="s">
        <v>260</v>
      </c>
      <c r="B1" s="21" t="s">
        <v>164</v>
      </c>
      <c r="C1" s="21" t="s">
        <v>56</v>
      </c>
      <c r="D1" s="21" t="s">
        <v>165</v>
      </c>
      <c r="E1" s="21" t="s">
        <v>261</v>
      </c>
      <c r="F1" s="22" t="s">
        <v>166</v>
      </c>
      <c r="G1" s="23"/>
      <c r="H1" s="21" t="s">
        <v>59</v>
      </c>
      <c r="I1" s="21" t="s">
        <v>167</v>
      </c>
      <c r="J1" s="21" t="s">
        <v>61</v>
      </c>
      <c r="K1" s="22" t="s">
        <v>168</v>
      </c>
      <c r="L1" s="23"/>
      <c r="M1" s="21" t="s">
        <v>169</v>
      </c>
      <c r="O1" s="26" t="s">
        <v>64</v>
      </c>
      <c r="P1" s="130" t="s">
        <v>65</v>
      </c>
      <c r="Q1" s="26" t="s">
        <v>66</v>
      </c>
      <c r="R1" s="26" t="s">
        <v>67</v>
      </c>
      <c r="T1" s="29" t="s">
        <v>170</v>
      </c>
      <c r="U1" s="29"/>
      <c r="V1" s="29"/>
      <c r="W1" s="21" t="s">
        <v>171</v>
      </c>
      <c r="X1" s="21" t="s">
        <v>69</v>
      </c>
      <c r="Y1" s="21" t="s">
        <v>70</v>
      </c>
      <c r="AA1" s="29" t="s">
        <v>71</v>
      </c>
      <c r="AB1" s="29"/>
      <c r="AD1" s="29" t="s">
        <v>72</v>
      </c>
      <c r="AE1" s="29"/>
      <c r="AF1" s="29" t="s">
        <v>73</v>
      </c>
      <c r="AG1" s="29"/>
    </row>
    <row r="2" spans="1:33" ht="19.5" customHeight="1" x14ac:dyDescent="0.35">
      <c r="A2" s="43"/>
      <c r="B2" s="43"/>
      <c r="C2" s="35"/>
      <c r="D2" s="21" t="s">
        <v>74</v>
      </c>
      <c r="E2" s="21" t="s">
        <v>74</v>
      </c>
      <c r="F2" s="21" t="s">
        <v>173</v>
      </c>
      <c r="G2" s="21" t="s">
        <v>76</v>
      </c>
      <c r="H2" s="82"/>
      <c r="I2" s="21"/>
      <c r="J2" s="21"/>
      <c r="K2" s="21" t="s">
        <v>174</v>
      </c>
      <c r="L2" s="21" t="s">
        <v>175</v>
      </c>
      <c r="M2" s="35"/>
      <c r="O2" s="26"/>
      <c r="P2" s="130"/>
      <c r="Q2" s="26"/>
      <c r="R2" s="26"/>
      <c r="T2" s="21" t="s">
        <v>176</v>
      </c>
      <c r="U2" s="21" t="s">
        <v>177</v>
      </c>
      <c r="V2" s="21" t="s">
        <v>178</v>
      </c>
      <c r="W2" s="35"/>
      <c r="X2" s="21" t="s">
        <v>262</v>
      </c>
      <c r="Y2" s="21" t="s">
        <v>83</v>
      </c>
      <c r="AA2" s="21" t="s">
        <v>75</v>
      </c>
      <c r="AB2" s="21" t="s">
        <v>178</v>
      </c>
      <c r="AD2" s="21" t="s">
        <v>180</v>
      </c>
      <c r="AE2" s="21" t="s">
        <v>178</v>
      </c>
      <c r="AF2" s="116" t="s">
        <v>84</v>
      </c>
      <c r="AG2" s="37"/>
    </row>
    <row r="3" spans="1:33" ht="25" x14ac:dyDescent="0.35">
      <c r="A3" s="117" t="s">
        <v>338</v>
      </c>
      <c r="B3" s="117" t="s">
        <v>338</v>
      </c>
      <c r="C3" s="58" t="s">
        <v>161</v>
      </c>
      <c r="D3" s="21">
        <v>15</v>
      </c>
      <c r="E3" s="21"/>
      <c r="F3" s="35">
        <v>50</v>
      </c>
      <c r="G3" s="35">
        <v>2800</v>
      </c>
      <c r="H3" s="53" t="s">
        <v>339</v>
      </c>
      <c r="I3" s="118" t="s">
        <v>340</v>
      </c>
      <c r="J3" s="119">
        <v>3917.4</v>
      </c>
      <c r="K3" s="43"/>
      <c r="L3" s="43">
        <f t="shared" ref="L3:L45" si="0">K3/G3</f>
        <v>0</v>
      </c>
      <c r="M3" s="44">
        <f t="shared" ref="M3:M45" si="1">L3*0.06</f>
        <v>0</v>
      </c>
      <c r="O3" s="61">
        <v>16.100000000000001</v>
      </c>
      <c r="P3" s="61">
        <f>O3+1</f>
        <v>17.100000000000001</v>
      </c>
      <c r="Q3" s="62">
        <f t="shared" ref="Q3:Q45" si="2">O3*L3</f>
        <v>0</v>
      </c>
      <c r="R3" s="62">
        <f t="shared" ref="R3:R45" si="3">P3*L3</f>
        <v>0</v>
      </c>
      <c r="T3" s="35">
        <f t="shared" ref="T3:T45" si="4">$G3/$F3</f>
        <v>56</v>
      </c>
      <c r="U3" s="35">
        <f t="shared" ref="U3:U15" si="5">$G3</f>
        <v>2800</v>
      </c>
      <c r="V3" s="54">
        <f t="shared" ref="V3:V8" si="6">(U3+T3)*1.1</f>
        <v>3141.6000000000004</v>
      </c>
      <c r="W3" s="35">
        <f t="shared" ref="W3:W15" si="7">$L3*V3</f>
        <v>0</v>
      </c>
      <c r="X3" s="35">
        <v>276</v>
      </c>
      <c r="Y3" s="43">
        <f t="shared" ref="Y3:Y15" si="8">ROUNDUP(W3/X3,)</f>
        <v>0</v>
      </c>
      <c r="AA3" s="49">
        <v>0.95</v>
      </c>
      <c r="AB3" s="50">
        <f t="shared" ref="AB3:AB45" si="9">$K3*AA3</f>
        <v>0</v>
      </c>
      <c r="AD3" s="120">
        <v>1.2</v>
      </c>
      <c r="AE3" s="120">
        <f>K3*AD3/100</f>
        <v>0</v>
      </c>
      <c r="AF3" s="52" t="e">
        <f t="shared" ref="AF3:AF45" si="10">AG3/K3</f>
        <v>#DIV/0!</v>
      </c>
      <c r="AG3" s="50">
        <f t="shared" ref="AG3:AG45" si="11">AE3*$AG$2</f>
        <v>0</v>
      </c>
    </row>
    <row r="4" spans="1:33" ht="25" x14ac:dyDescent="0.35">
      <c r="A4" s="117" t="s">
        <v>341</v>
      </c>
      <c r="B4" s="117" t="s">
        <v>341</v>
      </c>
      <c r="C4" s="58" t="s">
        <v>161</v>
      </c>
      <c r="D4" s="21">
        <v>15</v>
      </c>
      <c r="E4" s="21"/>
      <c r="F4" s="35">
        <v>50</v>
      </c>
      <c r="G4" s="35">
        <v>550</v>
      </c>
      <c r="H4" s="53" t="s">
        <v>342</v>
      </c>
      <c r="I4" s="118" t="s">
        <v>343</v>
      </c>
      <c r="J4" s="119">
        <v>3917.4</v>
      </c>
      <c r="K4" s="43"/>
      <c r="L4" s="43">
        <f t="shared" si="0"/>
        <v>0</v>
      </c>
      <c r="M4" s="44">
        <f t="shared" si="1"/>
        <v>0</v>
      </c>
      <c r="O4" s="61">
        <v>10</v>
      </c>
      <c r="P4" s="61">
        <f>O4+1</f>
        <v>11</v>
      </c>
      <c r="Q4" s="62">
        <f t="shared" si="2"/>
        <v>0</v>
      </c>
      <c r="R4" s="62">
        <f t="shared" si="3"/>
        <v>0</v>
      </c>
      <c r="T4" s="35">
        <f t="shared" si="4"/>
        <v>11</v>
      </c>
      <c r="U4" s="35">
        <f t="shared" si="5"/>
        <v>550</v>
      </c>
      <c r="V4" s="54">
        <f t="shared" si="6"/>
        <v>617.1</v>
      </c>
      <c r="W4" s="35">
        <f t="shared" si="7"/>
        <v>0</v>
      </c>
      <c r="X4" s="35">
        <v>64</v>
      </c>
      <c r="Y4" s="43">
        <f t="shared" si="8"/>
        <v>0</v>
      </c>
      <c r="AA4" s="50">
        <v>5.55</v>
      </c>
      <c r="AB4" s="50">
        <f t="shared" si="9"/>
        <v>0</v>
      </c>
      <c r="AD4" s="120">
        <v>10.199999999999999</v>
      </c>
      <c r="AE4" s="120">
        <f t="shared" ref="AE4:AE45" si="12">K4*AD4/100</f>
        <v>0</v>
      </c>
      <c r="AF4" s="52" t="e">
        <f t="shared" si="10"/>
        <v>#DIV/0!</v>
      </c>
      <c r="AG4" s="50">
        <f t="shared" si="11"/>
        <v>0</v>
      </c>
    </row>
    <row r="5" spans="1:33" ht="25" x14ac:dyDescent="0.35">
      <c r="A5" s="117" t="s">
        <v>344</v>
      </c>
      <c r="B5" s="117" t="s">
        <v>344</v>
      </c>
      <c r="C5" s="58" t="s">
        <v>161</v>
      </c>
      <c r="D5" s="21">
        <v>15</v>
      </c>
      <c r="E5" s="21"/>
      <c r="F5" s="35">
        <v>50</v>
      </c>
      <c r="G5" s="35">
        <v>1200</v>
      </c>
      <c r="H5" s="53" t="s">
        <v>345</v>
      </c>
      <c r="I5" s="118" t="s">
        <v>346</v>
      </c>
      <c r="J5" s="119">
        <v>3917.4</v>
      </c>
      <c r="K5" s="43"/>
      <c r="L5" s="43">
        <f t="shared" si="0"/>
        <v>0</v>
      </c>
      <c r="M5" s="44">
        <f t="shared" si="1"/>
        <v>0</v>
      </c>
      <c r="O5" s="61">
        <v>10.3</v>
      </c>
      <c r="P5" s="61">
        <f>O5+1</f>
        <v>11.3</v>
      </c>
      <c r="Q5" s="62">
        <f t="shared" si="2"/>
        <v>0</v>
      </c>
      <c r="R5" s="62">
        <f t="shared" si="3"/>
        <v>0</v>
      </c>
      <c r="T5" s="35">
        <f t="shared" si="4"/>
        <v>24</v>
      </c>
      <c r="U5" s="35">
        <f t="shared" si="5"/>
        <v>1200</v>
      </c>
      <c r="V5" s="54">
        <f t="shared" si="6"/>
        <v>1346.4</v>
      </c>
      <c r="W5" s="35">
        <f t="shared" si="7"/>
        <v>0</v>
      </c>
      <c r="X5" s="35">
        <v>276</v>
      </c>
      <c r="Y5" s="43">
        <f t="shared" si="8"/>
        <v>0</v>
      </c>
      <c r="AA5" s="50">
        <v>2.8</v>
      </c>
      <c r="AB5" s="50">
        <f t="shared" si="9"/>
        <v>0</v>
      </c>
      <c r="AD5" s="120">
        <v>5.4</v>
      </c>
      <c r="AE5" s="120">
        <f t="shared" si="12"/>
        <v>0</v>
      </c>
      <c r="AF5" s="52" t="e">
        <f t="shared" si="10"/>
        <v>#DIV/0!</v>
      </c>
      <c r="AG5" s="50">
        <f t="shared" si="11"/>
        <v>0</v>
      </c>
    </row>
    <row r="6" spans="1:33" ht="25" x14ac:dyDescent="0.35">
      <c r="A6" s="117" t="s">
        <v>347</v>
      </c>
      <c r="B6" s="117" t="s">
        <v>347</v>
      </c>
      <c r="C6" s="58" t="s">
        <v>161</v>
      </c>
      <c r="D6" s="21">
        <v>15</v>
      </c>
      <c r="E6" s="21"/>
      <c r="F6" s="35">
        <v>50</v>
      </c>
      <c r="G6" s="35">
        <v>550</v>
      </c>
      <c r="H6" s="53" t="s">
        <v>348</v>
      </c>
      <c r="I6" s="118" t="s">
        <v>349</v>
      </c>
      <c r="J6" s="119">
        <v>3917.4</v>
      </c>
      <c r="K6" s="43"/>
      <c r="L6" s="43">
        <f t="shared" si="0"/>
        <v>0</v>
      </c>
      <c r="M6" s="44">
        <f t="shared" si="1"/>
        <v>0</v>
      </c>
      <c r="O6" s="61">
        <v>10</v>
      </c>
      <c r="P6" s="61">
        <f>O6+1</f>
        <v>11</v>
      </c>
      <c r="Q6" s="62">
        <f t="shared" si="2"/>
        <v>0</v>
      </c>
      <c r="R6" s="62">
        <f t="shared" si="3"/>
        <v>0</v>
      </c>
      <c r="T6" s="35">
        <f t="shared" si="4"/>
        <v>11</v>
      </c>
      <c r="U6" s="35">
        <f t="shared" si="5"/>
        <v>550</v>
      </c>
      <c r="V6" s="54">
        <f t="shared" si="6"/>
        <v>617.1</v>
      </c>
      <c r="W6" s="35">
        <f t="shared" si="7"/>
        <v>0</v>
      </c>
      <c r="X6" s="35">
        <v>144</v>
      </c>
      <c r="Y6" s="43">
        <f t="shared" si="8"/>
        <v>0</v>
      </c>
      <c r="AA6" s="49">
        <v>2.2999999999999998</v>
      </c>
      <c r="AB6" s="50">
        <f t="shared" si="9"/>
        <v>0</v>
      </c>
      <c r="AD6" s="120">
        <v>4.8</v>
      </c>
      <c r="AE6" s="120">
        <f t="shared" si="12"/>
        <v>0</v>
      </c>
      <c r="AF6" s="52" t="e">
        <f t="shared" si="10"/>
        <v>#DIV/0!</v>
      </c>
      <c r="AG6" s="50">
        <f t="shared" si="11"/>
        <v>0</v>
      </c>
    </row>
    <row r="7" spans="1:33" ht="25" x14ac:dyDescent="0.35">
      <c r="A7" s="117" t="s">
        <v>263</v>
      </c>
      <c r="B7" s="117" t="s">
        <v>263</v>
      </c>
      <c r="C7" s="58" t="s">
        <v>161</v>
      </c>
      <c r="D7" s="21">
        <v>15</v>
      </c>
      <c r="E7" s="21"/>
      <c r="F7" s="35">
        <v>50</v>
      </c>
      <c r="G7" s="35">
        <v>1200</v>
      </c>
      <c r="H7" s="53" t="s">
        <v>264</v>
      </c>
      <c r="I7" s="118" t="s">
        <v>265</v>
      </c>
      <c r="J7" s="119">
        <v>3917.4</v>
      </c>
      <c r="K7" s="43"/>
      <c r="L7" s="43">
        <f t="shared" si="0"/>
        <v>0</v>
      </c>
      <c r="M7" s="44">
        <f t="shared" si="1"/>
        <v>0</v>
      </c>
      <c r="O7" s="61">
        <v>10.6</v>
      </c>
      <c r="P7" s="61">
        <f>O7+1</f>
        <v>11.6</v>
      </c>
      <c r="Q7" s="62">
        <f t="shared" si="2"/>
        <v>0</v>
      </c>
      <c r="R7" s="62">
        <f t="shared" si="3"/>
        <v>0</v>
      </c>
      <c r="T7" s="35">
        <f t="shared" si="4"/>
        <v>24</v>
      </c>
      <c r="U7" s="35">
        <f t="shared" si="5"/>
        <v>1200</v>
      </c>
      <c r="V7" s="54">
        <f t="shared" si="6"/>
        <v>1346.4</v>
      </c>
      <c r="W7" s="35">
        <f t="shared" si="7"/>
        <v>0</v>
      </c>
      <c r="X7" s="35">
        <v>276</v>
      </c>
      <c r="Y7" s="43">
        <f t="shared" si="8"/>
        <v>0</v>
      </c>
      <c r="AA7" s="49"/>
      <c r="AB7" s="50">
        <f t="shared" si="9"/>
        <v>0</v>
      </c>
      <c r="AD7" s="120"/>
      <c r="AE7" s="120">
        <f t="shared" si="12"/>
        <v>0</v>
      </c>
      <c r="AF7" s="52" t="e">
        <f t="shared" si="10"/>
        <v>#DIV/0!</v>
      </c>
      <c r="AG7" s="50">
        <f t="shared" si="11"/>
        <v>0</v>
      </c>
    </row>
    <row r="8" spans="1:33" ht="25" x14ac:dyDescent="0.35">
      <c r="A8" s="117" t="s">
        <v>350</v>
      </c>
      <c r="B8" s="117" t="s">
        <v>350</v>
      </c>
      <c r="C8" s="58" t="s">
        <v>161</v>
      </c>
      <c r="D8" s="21">
        <v>20</v>
      </c>
      <c r="E8" s="21"/>
      <c r="F8" s="35">
        <v>10</v>
      </c>
      <c r="G8" s="35">
        <v>800</v>
      </c>
      <c r="H8" s="40" t="s">
        <v>351</v>
      </c>
      <c r="I8" s="118" t="s">
        <v>352</v>
      </c>
      <c r="J8" s="119">
        <v>3917.4</v>
      </c>
      <c r="K8" s="43"/>
      <c r="L8" s="43">
        <f t="shared" si="0"/>
        <v>0</v>
      </c>
      <c r="M8" s="44">
        <f t="shared" si="1"/>
        <v>0</v>
      </c>
      <c r="O8" s="61">
        <v>12</v>
      </c>
      <c r="P8" s="61">
        <v>13.1</v>
      </c>
      <c r="Q8" s="62">
        <f t="shared" si="2"/>
        <v>0</v>
      </c>
      <c r="R8" s="62">
        <f t="shared" si="3"/>
        <v>0</v>
      </c>
      <c r="T8" s="35">
        <f t="shared" si="4"/>
        <v>80</v>
      </c>
      <c r="U8" s="35">
        <f t="shared" si="5"/>
        <v>800</v>
      </c>
      <c r="V8" s="54">
        <f t="shared" si="6"/>
        <v>968.00000000000011</v>
      </c>
      <c r="W8" s="35">
        <f t="shared" si="7"/>
        <v>0</v>
      </c>
      <c r="X8" s="35">
        <v>276</v>
      </c>
      <c r="Y8" s="43">
        <f t="shared" si="8"/>
        <v>0</v>
      </c>
      <c r="AA8" s="49">
        <v>2.1</v>
      </c>
      <c r="AB8" s="50">
        <f t="shared" si="9"/>
        <v>0</v>
      </c>
      <c r="AD8" s="120">
        <v>3.6</v>
      </c>
      <c r="AE8" s="120">
        <f t="shared" si="12"/>
        <v>0</v>
      </c>
      <c r="AF8" s="52" t="e">
        <f t="shared" si="10"/>
        <v>#DIV/0!</v>
      </c>
      <c r="AG8" s="50">
        <f t="shared" si="11"/>
        <v>0</v>
      </c>
    </row>
    <row r="9" spans="1:33" ht="13" x14ac:dyDescent="0.35">
      <c r="A9" s="117" t="s">
        <v>225</v>
      </c>
      <c r="B9" s="117" t="s">
        <v>225</v>
      </c>
      <c r="C9" s="58" t="s">
        <v>86</v>
      </c>
      <c r="D9" s="21">
        <v>15</v>
      </c>
      <c r="E9" s="21"/>
      <c r="F9" s="35">
        <v>10</v>
      </c>
      <c r="G9" s="35">
        <v>1900</v>
      </c>
      <c r="H9" s="53" t="s">
        <v>353</v>
      </c>
      <c r="I9" s="118" t="s">
        <v>354</v>
      </c>
      <c r="J9" s="119">
        <v>3917.4</v>
      </c>
      <c r="K9" s="43"/>
      <c r="L9" s="43">
        <f t="shared" si="0"/>
        <v>0</v>
      </c>
      <c r="M9" s="44">
        <f t="shared" si="1"/>
        <v>0</v>
      </c>
      <c r="O9" s="61">
        <v>17.100000000000001</v>
      </c>
      <c r="P9" s="61">
        <v>18.2</v>
      </c>
      <c r="Q9" s="62">
        <f t="shared" si="2"/>
        <v>0</v>
      </c>
      <c r="R9" s="62">
        <f t="shared" si="3"/>
        <v>0</v>
      </c>
      <c r="T9" s="35">
        <f t="shared" si="4"/>
        <v>190</v>
      </c>
      <c r="U9" s="35">
        <f t="shared" si="5"/>
        <v>1900</v>
      </c>
      <c r="V9" s="54">
        <f>ROUND(SUM(T9:U9)*1.1,)</f>
        <v>2299</v>
      </c>
      <c r="W9" s="35">
        <f t="shared" si="7"/>
        <v>0</v>
      </c>
      <c r="X9" s="35">
        <v>184</v>
      </c>
      <c r="Y9" s="43">
        <f t="shared" si="8"/>
        <v>0</v>
      </c>
      <c r="AA9" s="50"/>
      <c r="AB9" s="50">
        <f t="shared" si="9"/>
        <v>0</v>
      </c>
      <c r="AD9" s="120"/>
      <c r="AE9" s="120">
        <f t="shared" si="12"/>
        <v>0</v>
      </c>
      <c r="AF9" s="52" t="e">
        <f t="shared" si="10"/>
        <v>#DIV/0!</v>
      </c>
      <c r="AG9" s="50">
        <f t="shared" si="11"/>
        <v>0</v>
      </c>
    </row>
    <row r="10" spans="1:33" ht="13" x14ac:dyDescent="0.25">
      <c r="A10" s="117" t="s">
        <v>227</v>
      </c>
      <c r="B10" s="117" t="s">
        <v>227</v>
      </c>
      <c r="C10" s="58" t="s">
        <v>86</v>
      </c>
      <c r="D10" s="21">
        <v>20</v>
      </c>
      <c r="E10" s="21"/>
      <c r="F10" s="35">
        <v>10</v>
      </c>
      <c r="G10" s="35">
        <v>890</v>
      </c>
      <c r="H10" s="53" t="s">
        <v>355</v>
      </c>
      <c r="I10" s="131">
        <v>9319696400201</v>
      </c>
      <c r="J10" s="119">
        <v>3917.4</v>
      </c>
      <c r="K10" s="43"/>
      <c r="L10" s="43">
        <f t="shared" si="0"/>
        <v>0</v>
      </c>
      <c r="M10" s="44">
        <f t="shared" si="1"/>
        <v>0</v>
      </c>
      <c r="O10" s="46">
        <v>11.9</v>
      </c>
      <c r="P10" s="46">
        <v>13.3</v>
      </c>
      <c r="Q10" s="62">
        <f t="shared" si="2"/>
        <v>0</v>
      </c>
      <c r="R10" s="62">
        <f t="shared" si="3"/>
        <v>0</v>
      </c>
      <c r="T10" s="35">
        <f t="shared" si="4"/>
        <v>89</v>
      </c>
      <c r="U10" s="35">
        <f t="shared" si="5"/>
        <v>890</v>
      </c>
      <c r="V10" s="54">
        <f>ROUND(SUM(T10:U10)*1.1,)</f>
        <v>1077</v>
      </c>
      <c r="W10" s="35">
        <f t="shared" si="7"/>
        <v>0</v>
      </c>
      <c r="X10" s="35">
        <v>184</v>
      </c>
      <c r="Y10" s="43">
        <f t="shared" si="8"/>
        <v>0</v>
      </c>
      <c r="AA10" s="50"/>
      <c r="AB10" s="50">
        <f t="shared" si="9"/>
        <v>0</v>
      </c>
      <c r="AD10" s="120"/>
      <c r="AE10" s="120">
        <f t="shared" si="12"/>
        <v>0</v>
      </c>
      <c r="AF10" s="52" t="e">
        <f t="shared" si="10"/>
        <v>#DIV/0!</v>
      </c>
      <c r="AG10" s="50">
        <f t="shared" si="11"/>
        <v>0</v>
      </c>
    </row>
    <row r="11" spans="1:33" ht="13" x14ac:dyDescent="0.25">
      <c r="A11" s="117" t="s">
        <v>229</v>
      </c>
      <c r="B11" s="117" t="s">
        <v>229</v>
      </c>
      <c r="C11" s="58" t="s">
        <v>86</v>
      </c>
      <c r="D11" s="21">
        <v>25</v>
      </c>
      <c r="E11" s="21"/>
      <c r="F11" s="35">
        <v>10</v>
      </c>
      <c r="G11" s="35">
        <v>600</v>
      </c>
      <c r="H11" s="53" t="s">
        <v>356</v>
      </c>
      <c r="I11" s="131">
        <v>9319696400256</v>
      </c>
      <c r="J11" s="119">
        <v>3917.4</v>
      </c>
      <c r="K11" s="43"/>
      <c r="L11" s="43">
        <f t="shared" si="0"/>
        <v>0</v>
      </c>
      <c r="M11" s="44">
        <f t="shared" si="1"/>
        <v>0</v>
      </c>
      <c r="O11" s="46">
        <v>15.6</v>
      </c>
      <c r="P11" s="46">
        <v>17</v>
      </c>
      <c r="Q11" s="62">
        <f t="shared" si="2"/>
        <v>0</v>
      </c>
      <c r="R11" s="62">
        <f t="shared" si="3"/>
        <v>0</v>
      </c>
      <c r="T11" s="35">
        <f t="shared" si="4"/>
        <v>60</v>
      </c>
      <c r="U11" s="35">
        <f t="shared" si="5"/>
        <v>600</v>
      </c>
      <c r="V11" s="54">
        <f>ROUND(SUM(T11:U11)*1.1,)</f>
        <v>726</v>
      </c>
      <c r="W11" s="35">
        <f t="shared" si="7"/>
        <v>0</v>
      </c>
      <c r="X11" s="35">
        <v>184</v>
      </c>
      <c r="Y11" s="43">
        <f t="shared" si="8"/>
        <v>0</v>
      </c>
      <c r="AA11" s="50"/>
      <c r="AB11" s="50">
        <f t="shared" si="9"/>
        <v>0</v>
      </c>
      <c r="AD11" s="120"/>
      <c r="AE11" s="120">
        <f t="shared" si="12"/>
        <v>0</v>
      </c>
      <c r="AF11" s="52" t="e">
        <f t="shared" si="10"/>
        <v>#DIV/0!</v>
      </c>
      <c r="AG11" s="50">
        <f t="shared" si="11"/>
        <v>0</v>
      </c>
    </row>
    <row r="12" spans="1:33" ht="25" x14ac:dyDescent="0.35">
      <c r="A12" s="117" t="s">
        <v>357</v>
      </c>
      <c r="B12" s="117" t="s">
        <v>357</v>
      </c>
      <c r="C12" s="58" t="s">
        <v>161</v>
      </c>
      <c r="D12" s="21">
        <v>15</v>
      </c>
      <c r="E12" s="21"/>
      <c r="F12" s="35">
        <v>50</v>
      </c>
      <c r="G12" s="35">
        <v>1750</v>
      </c>
      <c r="H12" s="53" t="s">
        <v>358</v>
      </c>
      <c r="I12" s="118" t="s">
        <v>359</v>
      </c>
      <c r="J12" s="119">
        <v>3917.4</v>
      </c>
      <c r="K12" s="43"/>
      <c r="L12" s="43">
        <f t="shared" si="0"/>
        <v>0</v>
      </c>
      <c r="M12" s="44">
        <f t="shared" si="1"/>
        <v>0</v>
      </c>
      <c r="O12" s="61">
        <v>12.3</v>
      </c>
      <c r="P12" s="61">
        <f>O12+1</f>
        <v>13.3</v>
      </c>
      <c r="Q12" s="62">
        <f t="shared" si="2"/>
        <v>0</v>
      </c>
      <c r="R12" s="62">
        <f t="shared" si="3"/>
        <v>0</v>
      </c>
      <c r="T12" s="35">
        <f t="shared" si="4"/>
        <v>35</v>
      </c>
      <c r="U12" s="35">
        <f t="shared" si="5"/>
        <v>1750</v>
      </c>
      <c r="V12" s="54">
        <f>(U12+T12)*1.1</f>
        <v>1963.5000000000002</v>
      </c>
      <c r="W12" s="35">
        <f t="shared" si="7"/>
        <v>0</v>
      </c>
      <c r="X12" s="35">
        <v>276</v>
      </c>
      <c r="Y12" s="43">
        <f t="shared" si="8"/>
        <v>0</v>
      </c>
      <c r="AA12" s="49">
        <v>1.85</v>
      </c>
      <c r="AB12" s="50">
        <f t="shared" si="9"/>
        <v>0</v>
      </c>
      <c r="AD12" s="120">
        <v>3.6</v>
      </c>
      <c r="AE12" s="120">
        <f t="shared" si="12"/>
        <v>0</v>
      </c>
      <c r="AF12" s="52" t="e">
        <f t="shared" si="10"/>
        <v>#DIV/0!</v>
      </c>
      <c r="AG12" s="50">
        <f t="shared" si="11"/>
        <v>0</v>
      </c>
    </row>
    <row r="13" spans="1:33" ht="25" x14ac:dyDescent="0.35">
      <c r="A13" s="117" t="s">
        <v>296</v>
      </c>
      <c r="B13" s="117" t="s">
        <v>296</v>
      </c>
      <c r="C13" s="58" t="s">
        <v>161</v>
      </c>
      <c r="D13" s="21">
        <v>15</v>
      </c>
      <c r="E13" s="21"/>
      <c r="F13" s="35">
        <v>50</v>
      </c>
      <c r="G13" s="35">
        <v>1000</v>
      </c>
      <c r="H13" s="53" t="s">
        <v>297</v>
      </c>
      <c r="I13" s="118" t="s">
        <v>298</v>
      </c>
      <c r="J13" s="119">
        <v>3917.4</v>
      </c>
      <c r="K13" s="43"/>
      <c r="L13" s="43">
        <f t="shared" si="0"/>
        <v>0</v>
      </c>
      <c r="M13" s="44">
        <f t="shared" si="1"/>
        <v>0</v>
      </c>
      <c r="O13" s="61">
        <v>15.2</v>
      </c>
      <c r="P13" s="61">
        <f>O13+1</f>
        <v>16.2</v>
      </c>
      <c r="Q13" s="62">
        <f t="shared" si="2"/>
        <v>0</v>
      </c>
      <c r="R13" s="62">
        <f t="shared" si="3"/>
        <v>0</v>
      </c>
      <c r="T13" s="35">
        <f t="shared" si="4"/>
        <v>20</v>
      </c>
      <c r="U13" s="35">
        <f t="shared" si="5"/>
        <v>1000</v>
      </c>
      <c r="V13" s="54">
        <f>(U13+T13)*1.1</f>
        <v>1122</v>
      </c>
      <c r="W13" s="35">
        <f t="shared" si="7"/>
        <v>0</v>
      </c>
      <c r="X13" s="35">
        <v>276</v>
      </c>
      <c r="Y13" s="43">
        <f t="shared" si="8"/>
        <v>0</v>
      </c>
      <c r="AA13" s="49"/>
      <c r="AB13" s="50">
        <f t="shared" si="9"/>
        <v>0</v>
      </c>
      <c r="AD13" s="120"/>
      <c r="AE13" s="120">
        <f t="shared" si="12"/>
        <v>0</v>
      </c>
      <c r="AF13" s="52" t="e">
        <f t="shared" si="10"/>
        <v>#DIV/0!</v>
      </c>
      <c r="AG13" s="50">
        <f t="shared" si="11"/>
        <v>0</v>
      </c>
    </row>
    <row r="14" spans="1:33" ht="25" x14ac:dyDescent="0.35">
      <c r="A14" s="117" t="s">
        <v>299</v>
      </c>
      <c r="B14" s="117" t="s">
        <v>299</v>
      </c>
      <c r="C14" s="58" t="s">
        <v>161</v>
      </c>
      <c r="D14" s="21">
        <v>20</v>
      </c>
      <c r="E14" s="21"/>
      <c r="F14" s="35">
        <v>50</v>
      </c>
      <c r="G14" s="35">
        <v>600</v>
      </c>
      <c r="H14" s="53" t="s">
        <v>300</v>
      </c>
      <c r="I14" s="118" t="s">
        <v>301</v>
      </c>
      <c r="J14" s="119">
        <v>3917.4</v>
      </c>
      <c r="K14" s="43"/>
      <c r="L14" s="43">
        <f t="shared" si="0"/>
        <v>0</v>
      </c>
      <c r="M14" s="44">
        <f t="shared" si="1"/>
        <v>0</v>
      </c>
      <c r="O14" s="61">
        <v>12</v>
      </c>
      <c r="P14" s="61">
        <v>13</v>
      </c>
      <c r="Q14" s="62">
        <f t="shared" si="2"/>
        <v>0</v>
      </c>
      <c r="R14" s="62">
        <f t="shared" si="3"/>
        <v>0</v>
      </c>
      <c r="T14" s="35">
        <f t="shared" si="4"/>
        <v>12</v>
      </c>
      <c r="U14" s="35">
        <f t="shared" si="5"/>
        <v>600</v>
      </c>
      <c r="V14" s="54">
        <f>(U14+T14)*1.1</f>
        <v>673.2</v>
      </c>
      <c r="W14" s="35">
        <f t="shared" si="7"/>
        <v>0</v>
      </c>
      <c r="X14" s="35">
        <v>276</v>
      </c>
      <c r="Y14" s="43">
        <f t="shared" si="8"/>
        <v>0</v>
      </c>
      <c r="AA14" s="49"/>
      <c r="AB14" s="50">
        <f t="shared" si="9"/>
        <v>0</v>
      </c>
      <c r="AD14" s="120"/>
      <c r="AE14" s="120">
        <f t="shared" si="12"/>
        <v>0</v>
      </c>
      <c r="AF14" s="52" t="e">
        <f t="shared" si="10"/>
        <v>#DIV/0!</v>
      </c>
      <c r="AG14" s="50">
        <f t="shared" si="11"/>
        <v>0</v>
      </c>
    </row>
    <row r="15" spans="1:33" ht="25" x14ac:dyDescent="0.35">
      <c r="A15" s="117" t="s">
        <v>302</v>
      </c>
      <c r="B15" s="117" t="s">
        <v>302</v>
      </c>
      <c r="C15" s="58" t="s">
        <v>161</v>
      </c>
      <c r="D15" s="21">
        <v>25</v>
      </c>
      <c r="E15" s="21"/>
      <c r="F15" s="35">
        <v>50</v>
      </c>
      <c r="G15" s="35">
        <v>350</v>
      </c>
      <c r="H15" s="53" t="s">
        <v>303</v>
      </c>
      <c r="I15" s="118" t="s">
        <v>304</v>
      </c>
      <c r="J15" s="119">
        <v>3917.4</v>
      </c>
      <c r="K15" s="43"/>
      <c r="L15" s="43">
        <f t="shared" si="0"/>
        <v>0</v>
      </c>
      <c r="M15" s="44">
        <f t="shared" si="1"/>
        <v>0</v>
      </c>
      <c r="O15" s="61">
        <v>7.8</v>
      </c>
      <c r="P15" s="61">
        <v>8.8000000000000007</v>
      </c>
      <c r="Q15" s="62">
        <f t="shared" si="2"/>
        <v>0</v>
      </c>
      <c r="R15" s="62">
        <f t="shared" si="3"/>
        <v>0</v>
      </c>
      <c r="T15" s="35">
        <f t="shared" si="4"/>
        <v>7</v>
      </c>
      <c r="U15" s="35">
        <f t="shared" si="5"/>
        <v>350</v>
      </c>
      <c r="V15" s="54">
        <f>(U15+T15)*1.1</f>
        <v>392.70000000000005</v>
      </c>
      <c r="W15" s="35">
        <f t="shared" si="7"/>
        <v>0</v>
      </c>
      <c r="X15" s="35">
        <v>276</v>
      </c>
      <c r="Y15" s="43">
        <f t="shared" si="8"/>
        <v>0</v>
      </c>
      <c r="AA15" s="49"/>
      <c r="AB15" s="50">
        <f t="shared" si="9"/>
        <v>0</v>
      </c>
      <c r="AD15" s="120"/>
      <c r="AE15" s="120">
        <f t="shared" si="12"/>
        <v>0</v>
      </c>
      <c r="AF15" s="52" t="e">
        <f t="shared" si="10"/>
        <v>#DIV/0!</v>
      </c>
      <c r="AG15" s="50">
        <f t="shared" si="11"/>
        <v>0</v>
      </c>
    </row>
    <row r="16" spans="1:33" ht="25" x14ac:dyDescent="0.35">
      <c r="A16" s="117" t="s">
        <v>283</v>
      </c>
      <c r="B16" s="117" t="s">
        <v>283</v>
      </c>
      <c r="C16" s="58" t="s">
        <v>161</v>
      </c>
      <c r="D16" s="21">
        <v>15</v>
      </c>
      <c r="E16" s="21">
        <v>25</v>
      </c>
      <c r="F16" s="35">
        <v>5</v>
      </c>
      <c r="G16" s="35">
        <v>2000</v>
      </c>
      <c r="H16" s="53" t="s">
        <v>284</v>
      </c>
      <c r="I16" s="118" t="s">
        <v>285</v>
      </c>
      <c r="J16" s="119">
        <v>3917.4</v>
      </c>
      <c r="K16" s="43"/>
      <c r="L16" s="43">
        <f t="shared" si="0"/>
        <v>0</v>
      </c>
      <c r="M16" s="44">
        <f t="shared" si="1"/>
        <v>0</v>
      </c>
      <c r="O16" s="61">
        <v>8.8000000000000007</v>
      </c>
      <c r="P16" s="61">
        <v>9.8000000000000007</v>
      </c>
      <c r="Q16" s="62">
        <f t="shared" si="2"/>
        <v>0</v>
      </c>
      <c r="R16" s="62">
        <f t="shared" si="3"/>
        <v>0</v>
      </c>
      <c r="T16" s="35">
        <f t="shared" si="4"/>
        <v>400</v>
      </c>
      <c r="U16" s="35"/>
      <c r="V16" s="54">
        <f>(U16+T16)*1</f>
        <v>400</v>
      </c>
      <c r="W16" s="35">
        <f>S16*V16</f>
        <v>0</v>
      </c>
      <c r="X16" s="35"/>
      <c r="Y16" s="43"/>
      <c r="AA16" s="49"/>
      <c r="AB16" s="50">
        <f t="shared" si="9"/>
        <v>0</v>
      </c>
      <c r="AD16" s="120"/>
      <c r="AE16" s="120">
        <f t="shared" si="12"/>
        <v>0</v>
      </c>
      <c r="AF16" s="52" t="e">
        <f t="shared" si="10"/>
        <v>#DIV/0!</v>
      </c>
      <c r="AG16" s="50">
        <f t="shared" si="11"/>
        <v>0</v>
      </c>
    </row>
    <row r="17" spans="1:33" ht="25" x14ac:dyDescent="0.35">
      <c r="A17" s="117" t="s">
        <v>305</v>
      </c>
      <c r="B17" s="117" t="s">
        <v>305</v>
      </c>
      <c r="C17" s="58" t="s">
        <v>161</v>
      </c>
      <c r="D17" s="21">
        <v>15</v>
      </c>
      <c r="E17" s="21">
        <v>50</v>
      </c>
      <c r="F17" s="35">
        <v>50</v>
      </c>
      <c r="G17" s="35">
        <v>2000</v>
      </c>
      <c r="H17" s="53" t="s">
        <v>306</v>
      </c>
      <c r="I17" s="118" t="s">
        <v>307</v>
      </c>
      <c r="J17" s="119">
        <v>3917.4</v>
      </c>
      <c r="K17" s="43"/>
      <c r="L17" s="43">
        <f t="shared" si="0"/>
        <v>0</v>
      </c>
      <c r="M17" s="44">
        <f t="shared" si="1"/>
        <v>0</v>
      </c>
      <c r="O17" s="61">
        <v>12.9</v>
      </c>
      <c r="P17" s="61">
        <v>14.2</v>
      </c>
      <c r="Q17" s="62">
        <f t="shared" si="2"/>
        <v>0</v>
      </c>
      <c r="R17" s="62">
        <f t="shared" si="3"/>
        <v>0</v>
      </c>
      <c r="T17" s="35">
        <f t="shared" si="4"/>
        <v>40</v>
      </c>
      <c r="U17" s="35">
        <f t="shared" ref="U17:U45" si="13">$G17</f>
        <v>2000</v>
      </c>
      <c r="V17" s="54">
        <f t="shared" ref="V17:V45" si="14">(U17+T17)*1.1</f>
        <v>2244</v>
      </c>
      <c r="W17" s="35">
        <f t="shared" ref="W17:W45" si="15">$L17*V17</f>
        <v>0</v>
      </c>
      <c r="X17" s="35">
        <v>144</v>
      </c>
      <c r="Y17" s="43">
        <f t="shared" ref="Y17:Y45" si="16">ROUNDUP(W17/X17,)</f>
        <v>0</v>
      </c>
      <c r="AA17" s="49"/>
      <c r="AB17" s="50">
        <f t="shared" si="9"/>
        <v>0</v>
      </c>
      <c r="AD17" s="120"/>
      <c r="AE17" s="120">
        <f t="shared" si="12"/>
        <v>0</v>
      </c>
      <c r="AF17" s="52" t="e">
        <f t="shared" si="10"/>
        <v>#DIV/0!</v>
      </c>
      <c r="AG17" s="50">
        <f t="shared" si="11"/>
        <v>0</v>
      </c>
    </row>
    <row r="18" spans="1:33" ht="25" x14ac:dyDescent="0.35">
      <c r="A18" s="117" t="s">
        <v>360</v>
      </c>
      <c r="B18" s="117" t="s">
        <v>360</v>
      </c>
      <c r="C18" s="58" t="s">
        <v>161</v>
      </c>
      <c r="D18" s="21">
        <v>15</v>
      </c>
      <c r="E18" s="21">
        <v>80</v>
      </c>
      <c r="F18" s="35">
        <v>50</v>
      </c>
      <c r="G18" s="35">
        <v>1100</v>
      </c>
      <c r="H18" s="53" t="s">
        <v>361</v>
      </c>
      <c r="I18" s="118" t="s">
        <v>362</v>
      </c>
      <c r="J18" s="119">
        <v>3917.4</v>
      </c>
      <c r="K18" s="43"/>
      <c r="L18" s="43">
        <f t="shared" si="0"/>
        <v>0</v>
      </c>
      <c r="M18" s="44">
        <f t="shared" si="1"/>
        <v>0</v>
      </c>
      <c r="O18" s="61">
        <v>12.8</v>
      </c>
      <c r="P18" s="61">
        <f t="shared" ref="P18:P26" si="17">O18+1</f>
        <v>13.8</v>
      </c>
      <c r="Q18" s="62">
        <f t="shared" si="2"/>
        <v>0</v>
      </c>
      <c r="R18" s="62">
        <f t="shared" si="3"/>
        <v>0</v>
      </c>
      <c r="T18" s="35">
        <f t="shared" si="4"/>
        <v>22</v>
      </c>
      <c r="U18" s="35">
        <f t="shared" si="13"/>
        <v>1100</v>
      </c>
      <c r="V18" s="54">
        <f t="shared" si="14"/>
        <v>1234.2</v>
      </c>
      <c r="W18" s="35">
        <f t="shared" si="15"/>
        <v>0</v>
      </c>
      <c r="X18" s="35">
        <v>276</v>
      </c>
      <c r="Y18" s="43">
        <f t="shared" si="16"/>
        <v>0</v>
      </c>
      <c r="AA18" s="49">
        <v>2.0499999999999998</v>
      </c>
      <c r="AB18" s="50">
        <f t="shared" si="9"/>
        <v>0</v>
      </c>
      <c r="AD18" s="120">
        <v>3.6</v>
      </c>
      <c r="AE18" s="120">
        <f t="shared" si="12"/>
        <v>0</v>
      </c>
      <c r="AF18" s="52" t="e">
        <f t="shared" si="10"/>
        <v>#DIV/0!</v>
      </c>
      <c r="AG18" s="50">
        <f t="shared" si="11"/>
        <v>0</v>
      </c>
    </row>
    <row r="19" spans="1:33" ht="25" x14ac:dyDescent="0.35">
      <c r="A19" s="117" t="s">
        <v>286</v>
      </c>
      <c r="B19" s="117" t="s">
        <v>286</v>
      </c>
      <c r="C19" s="58" t="s">
        <v>161</v>
      </c>
      <c r="D19" s="21">
        <v>15</v>
      </c>
      <c r="E19" s="21">
        <v>100</v>
      </c>
      <c r="F19" s="35">
        <v>50</v>
      </c>
      <c r="G19" s="35">
        <v>1000</v>
      </c>
      <c r="H19" s="53" t="s">
        <v>287</v>
      </c>
      <c r="I19" s="118" t="s">
        <v>288</v>
      </c>
      <c r="J19" s="119">
        <v>3917.4</v>
      </c>
      <c r="K19" s="43"/>
      <c r="L19" s="43">
        <f t="shared" si="0"/>
        <v>0</v>
      </c>
      <c r="M19" s="44">
        <f t="shared" si="1"/>
        <v>0</v>
      </c>
      <c r="O19" s="61">
        <v>15</v>
      </c>
      <c r="P19" s="61">
        <f t="shared" si="17"/>
        <v>16</v>
      </c>
      <c r="Q19" s="62">
        <f t="shared" si="2"/>
        <v>0</v>
      </c>
      <c r="R19" s="62">
        <f t="shared" si="3"/>
        <v>0</v>
      </c>
      <c r="T19" s="35">
        <f t="shared" si="4"/>
        <v>20</v>
      </c>
      <c r="U19" s="35">
        <f t="shared" si="13"/>
        <v>1000</v>
      </c>
      <c r="V19" s="54">
        <f t="shared" si="14"/>
        <v>1122</v>
      </c>
      <c r="W19" s="35">
        <f t="shared" si="15"/>
        <v>0</v>
      </c>
      <c r="X19" s="35">
        <v>144</v>
      </c>
      <c r="Y19" s="43">
        <f t="shared" si="16"/>
        <v>0</v>
      </c>
      <c r="AA19" s="49"/>
      <c r="AB19" s="50">
        <f t="shared" si="9"/>
        <v>0</v>
      </c>
      <c r="AD19" s="120"/>
      <c r="AE19" s="120">
        <f t="shared" si="12"/>
        <v>0</v>
      </c>
      <c r="AF19" s="52" t="e">
        <f t="shared" si="10"/>
        <v>#DIV/0!</v>
      </c>
      <c r="AG19" s="50">
        <f t="shared" si="11"/>
        <v>0</v>
      </c>
    </row>
    <row r="20" spans="1:33" ht="25" x14ac:dyDescent="0.35">
      <c r="A20" s="117" t="s">
        <v>363</v>
      </c>
      <c r="B20" s="117" t="s">
        <v>363</v>
      </c>
      <c r="C20" s="58" t="s">
        <v>161</v>
      </c>
      <c r="D20" s="21">
        <v>15</v>
      </c>
      <c r="E20" s="21">
        <v>125</v>
      </c>
      <c r="F20" s="35">
        <v>50</v>
      </c>
      <c r="G20" s="35">
        <v>800</v>
      </c>
      <c r="H20" s="53" t="s">
        <v>364</v>
      </c>
      <c r="I20" s="118" t="s">
        <v>365</v>
      </c>
      <c r="J20" s="119">
        <v>3917.4</v>
      </c>
      <c r="K20" s="43"/>
      <c r="L20" s="43">
        <f t="shared" si="0"/>
        <v>0</v>
      </c>
      <c r="M20" s="44">
        <f t="shared" si="1"/>
        <v>0</v>
      </c>
      <c r="O20" s="61">
        <v>14.5</v>
      </c>
      <c r="P20" s="61">
        <f t="shared" si="17"/>
        <v>15.5</v>
      </c>
      <c r="Q20" s="62">
        <f t="shared" si="2"/>
        <v>0</v>
      </c>
      <c r="R20" s="62">
        <f t="shared" si="3"/>
        <v>0</v>
      </c>
      <c r="T20" s="35">
        <f t="shared" si="4"/>
        <v>16</v>
      </c>
      <c r="U20" s="35">
        <f t="shared" si="13"/>
        <v>800</v>
      </c>
      <c r="V20" s="54">
        <f t="shared" si="14"/>
        <v>897.6</v>
      </c>
      <c r="W20" s="35">
        <f t="shared" si="15"/>
        <v>0</v>
      </c>
      <c r="X20" s="35">
        <v>144</v>
      </c>
      <c r="Y20" s="43">
        <f t="shared" si="16"/>
        <v>0</v>
      </c>
      <c r="AA20" s="49">
        <v>3.5</v>
      </c>
      <c r="AB20" s="50">
        <f t="shared" si="9"/>
        <v>0</v>
      </c>
      <c r="AD20" s="120">
        <v>6</v>
      </c>
      <c r="AE20" s="120">
        <f t="shared" si="12"/>
        <v>0</v>
      </c>
      <c r="AF20" s="52" t="e">
        <f t="shared" si="10"/>
        <v>#DIV/0!</v>
      </c>
      <c r="AG20" s="50">
        <f t="shared" si="11"/>
        <v>0</v>
      </c>
    </row>
    <row r="21" spans="1:33" ht="25" x14ac:dyDescent="0.35">
      <c r="A21" s="117" t="s">
        <v>289</v>
      </c>
      <c r="B21" s="117" t="s">
        <v>289</v>
      </c>
      <c r="C21" s="58" t="s">
        <v>161</v>
      </c>
      <c r="D21" s="21">
        <v>15</v>
      </c>
      <c r="E21" s="21">
        <v>150</v>
      </c>
      <c r="F21" s="35">
        <v>50</v>
      </c>
      <c r="G21" s="35">
        <v>600</v>
      </c>
      <c r="H21" s="53" t="s">
        <v>290</v>
      </c>
      <c r="I21" s="118" t="s">
        <v>291</v>
      </c>
      <c r="J21" s="119">
        <v>3917.4</v>
      </c>
      <c r="K21" s="43"/>
      <c r="L21" s="43">
        <f t="shared" si="0"/>
        <v>0</v>
      </c>
      <c r="M21" s="44">
        <f t="shared" si="1"/>
        <v>0</v>
      </c>
      <c r="O21" s="61">
        <v>14.1</v>
      </c>
      <c r="P21" s="61">
        <f t="shared" si="17"/>
        <v>15.1</v>
      </c>
      <c r="Q21" s="62">
        <f t="shared" si="2"/>
        <v>0</v>
      </c>
      <c r="R21" s="62">
        <f t="shared" si="3"/>
        <v>0</v>
      </c>
      <c r="T21" s="35">
        <f t="shared" si="4"/>
        <v>12</v>
      </c>
      <c r="U21" s="35">
        <f t="shared" si="13"/>
        <v>600</v>
      </c>
      <c r="V21" s="54">
        <f t="shared" si="14"/>
        <v>673.2</v>
      </c>
      <c r="W21" s="35">
        <f t="shared" si="15"/>
        <v>0</v>
      </c>
      <c r="X21" s="35">
        <v>144</v>
      </c>
      <c r="Y21" s="43">
        <f t="shared" si="16"/>
        <v>0</v>
      </c>
      <c r="AA21" s="49"/>
      <c r="AB21" s="50">
        <f t="shared" si="9"/>
        <v>0</v>
      </c>
      <c r="AD21" s="120"/>
      <c r="AE21" s="120">
        <f t="shared" si="12"/>
        <v>0</v>
      </c>
      <c r="AF21" s="52" t="e">
        <f t="shared" si="10"/>
        <v>#DIV/0!</v>
      </c>
      <c r="AG21" s="50">
        <f t="shared" si="11"/>
        <v>0</v>
      </c>
    </row>
    <row r="22" spans="1:33" ht="25" x14ac:dyDescent="0.35">
      <c r="A22" s="82">
        <v>90441200</v>
      </c>
      <c r="B22" s="82" t="s">
        <v>366</v>
      </c>
      <c r="C22" s="21" t="s">
        <v>161</v>
      </c>
      <c r="D22" s="21" t="s">
        <v>293</v>
      </c>
      <c r="E22" s="21">
        <v>150</v>
      </c>
      <c r="F22" s="35">
        <v>10</v>
      </c>
      <c r="G22" s="35">
        <v>600</v>
      </c>
      <c r="H22" s="53" t="s">
        <v>294</v>
      </c>
      <c r="I22" s="118" t="s">
        <v>295</v>
      </c>
      <c r="J22" s="119">
        <v>3917.4</v>
      </c>
      <c r="K22" s="43"/>
      <c r="L22" s="43">
        <f t="shared" si="0"/>
        <v>0</v>
      </c>
      <c r="M22" s="44">
        <f t="shared" si="1"/>
        <v>0</v>
      </c>
      <c r="O22" s="61">
        <v>14.1</v>
      </c>
      <c r="P22" s="61">
        <f t="shared" si="17"/>
        <v>15.1</v>
      </c>
      <c r="Q22" s="62">
        <f t="shared" si="2"/>
        <v>0</v>
      </c>
      <c r="R22" s="62">
        <f t="shared" si="3"/>
        <v>0</v>
      </c>
      <c r="T22" s="35">
        <f t="shared" si="4"/>
        <v>60</v>
      </c>
      <c r="U22" s="35">
        <f t="shared" si="13"/>
        <v>600</v>
      </c>
      <c r="V22" s="54">
        <f t="shared" si="14"/>
        <v>726.00000000000011</v>
      </c>
      <c r="W22" s="35">
        <f t="shared" si="15"/>
        <v>0</v>
      </c>
      <c r="X22" s="35">
        <v>144</v>
      </c>
      <c r="Y22" s="43">
        <f t="shared" si="16"/>
        <v>0</v>
      </c>
      <c r="AA22" s="49"/>
      <c r="AB22" s="50">
        <f t="shared" si="9"/>
        <v>0</v>
      </c>
      <c r="AD22" s="120"/>
      <c r="AE22" s="120">
        <f t="shared" si="12"/>
        <v>0</v>
      </c>
      <c r="AF22" s="52" t="e">
        <f t="shared" si="10"/>
        <v>#DIV/0!</v>
      </c>
      <c r="AG22" s="50">
        <f t="shared" si="11"/>
        <v>0</v>
      </c>
    </row>
    <row r="23" spans="1:33" ht="25" x14ac:dyDescent="0.35">
      <c r="A23" s="117" t="s">
        <v>367</v>
      </c>
      <c r="B23" s="117" t="s">
        <v>367</v>
      </c>
      <c r="C23" s="58" t="s">
        <v>161</v>
      </c>
      <c r="D23" s="21">
        <v>15</v>
      </c>
      <c r="E23" s="21">
        <v>200</v>
      </c>
      <c r="F23" s="35">
        <v>10</v>
      </c>
      <c r="G23" s="35">
        <v>400</v>
      </c>
      <c r="H23" s="53" t="s">
        <v>368</v>
      </c>
      <c r="I23" s="118" t="s">
        <v>369</v>
      </c>
      <c r="J23" s="119">
        <v>3917.4</v>
      </c>
      <c r="K23" s="43"/>
      <c r="L23" s="43">
        <f t="shared" si="0"/>
        <v>0</v>
      </c>
      <c r="M23" s="44">
        <f t="shared" si="1"/>
        <v>0</v>
      </c>
      <c r="O23" s="61">
        <v>12.8</v>
      </c>
      <c r="P23" s="61">
        <f t="shared" si="17"/>
        <v>13.8</v>
      </c>
      <c r="Q23" s="62">
        <f t="shared" si="2"/>
        <v>0</v>
      </c>
      <c r="R23" s="62">
        <f t="shared" si="3"/>
        <v>0</v>
      </c>
      <c r="T23" s="35">
        <f t="shared" si="4"/>
        <v>40</v>
      </c>
      <c r="U23" s="35">
        <f t="shared" si="13"/>
        <v>400</v>
      </c>
      <c r="V23" s="54">
        <f t="shared" si="14"/>
        <v>484.00000000000006</v>
      </c>
      <c r="W23" s="35">
        <f t="shared" si="15"/>
        <v>0</v>
      </c>
      <c r="X23" s="35">
        <v>144</v>
      </c>
      <c r="Y23" s="43">
        <f t="shared" si="16"/>
        <v>0</v>
      </c>
      <c r="AA23" s="49">
        <v>3.65</v>
      </c>
      <c r="AB23" s="50">
        <f t="shared" si="9"/>
        <v>0</v>
      </c>
      <c r="AD23" s="120">
        <v>7.2</v>
      </c>
      <c r="AE23" s="120">
        <f t="shared" si="12"/>
        <v>0</v>
      </c>
      <c r="AF23" s="52" t="e">
        <f t="shared" si="10"/>
        <v>#DIV/0!</v>
      </c>
      <c r="AG23" s="50">
        <f t="shared" si="11"/>
        <v>0</v>
      </c>
    </row>
    <row r="24" spans="1:33" ht="25" x14ac:dyDescent="0.35">
      <c r="A24" s="117" t="s">
        <v>370</v>
      </c>
      <c r="B24" s="117" t="s">
        <v>370</v>
      </c>
      <c r="C24" s="58" t="s">
        <v>161</v>
      </c>
      <c r="D24" s="21">
        <v>15</v>
      </c>
      <c r="E24" s="21">
        <v>225</v>
      </c>
      <c r="F24" s="35">
        <v>10</v>
      </c>
      <c r="G24" s="35">
        <v>400</v>
      </c>
      <c r="H24" s="53" t="s">
        <v>371</v>
      </c>
      <c r="I24" s="118" t="s">
        <v>372</v>
      </c>
      <c r="J24" s="119">
        <v>3917.4</v>
      </c>
      <c r="K24" s="43"/>
      <c r="L24" s="43">
        <f t="shared" si="0"/>
        <v>0</v>
      </c>
      <c r="M24" s="44">
        <f t="shared" si="1"/>
        <v>0</v>
      </c>
      <c r="O24" s="61">
        <v>13.6</v>
      </c>
      <c r="P24" s="61">
        <f t="shared" si="17"/>
        <v>14.6</v>
      </c>
      <c r="Q24" s="62">
        <f t="shared" si="2"/>
        <v>0</v>
      </c>
      <c r="R24" s="62">
        <f t="shared" si="3"/>
        <v>0</v>
      </c>
      <c r="T24" s="35">
        <f t="shared" si="4"/>
        <v>40</v>
      </c>
      <c r="U24" s="35">
        <f t="shared" si="13"/>
        <v>400</v>
      </c>
      <c r="V24" s="54">
        <f t="shared" si="14"/>
        <v>484.00000000000006</v>
      </c>
      <c r="W24" s="35">
        <f t="shared" si="15"/>
        <v>0</v>
      </c>
      <c r="X24" s="35">
        <v>144</v>
      </c>
      <c r="Y24" s="43">
        <f t="shared" si="16"/>
        <v>0</v>
      </c>
      <c r="AA24" s="49">
        <v>4.2</v>
      </c>
      <c r="AB24" s="50">
        <f t="shared" si="9"/>
        <v>0</v>
      </c>
      <c r="AD24" s="120">
        <v>7.2</v>
      </c>
      <c r="AE24" s="120">
        <f t="shared" si="12"/>
        <v>0</v>
      </c>
      <c r="AF24" s="52" t="e">
        <f t="shared" si="10"/>
        <v>#DIV/0!</v>
      </c>
      <c r="AG24" s="50">
        <f t="shared" si="11"/>
        <v>0</v>
      </c>
    </row>
    <row r="25" spans="1:33" ht="25" x14ac:dyDescent="0.35">
      <c r="A25" s="117" t="s">
        <v>308</v>
      </c>
      <c r="B25" s="117" t="s">
        <v>308</v>
      </c>
      <c r="C25" s="58" t="s">
        <v>161</v>
      </c>
      <c r="D25" s="21">
        <v>15</v>
      </c>
      <c r="E25" s="21">
        <v>300</v>
      </c>
      <c r="F25" s="35">
        <v>10</v>
      </c>
      <c r="G25" s="35">
        <v>300</v>
      </c>
      <c r="H25" s="53" t="s">
        <v>309</v>
      </c>
      <c r="I25" s="118" t="s">
        <v>310</v>
      </c>
      <c r="J25" s="119">
        <v>3917.4</v>
      </c>
      <c r="K25" s="43"/>
      <c r="L25" s="43">
        <f t="shared" si="0"/>
        <v>0</v>
      </c>
      <c r="M25" s="44">
        <f t="shared" si="1"/>
        <v>0</v>
      </c>
      <c r="O25" s="61">
        <v>15.6</v>
      </c>
      <c r="P25" s="61">
        <f t="shared" si="17"/>
        <v>16.600000000000001</v>
      </c>
      <c r="Q25" s="62">
        <f t="shared" si="2"/>
        <v>0</v>
      </c>
      <c r="R25" s="62">
        <f t="shared" si="3"/>
        <v>0</v>
      </c>
      <c r="T25" s="35">
        <f t="shared" si="4"/>
        <v>30</v>
      </c>
      <c r="U25" s="35">
        <f t="shared" si="13"/>
        <v>300</v>
      </c>
      <c r="V25" s="54">
        <f t="shared" si="14"/>
        <v>363.00000000000006</v>
      </c>
      <c r="W25" s="35">
        <f t="shared" si="15"/>
        <v>0</v>
      </c>
      <c r="X25" s="35">
        <v>144</v>
      </c>
      <c r="Y25" s="43">
        <f t="shared" si="16"/>
        <v>0</v>
      </c>
      <c r="AA25" s="49"/>
      <c r="AB25" s="50">
        <f t="shared" si="9"/>
        <v>0</v>
      </c>
      <c r="AD25" s="120"/>
      <c r="AE25" s="120">
        <f t="shared" si="12"/>
        <v>0</v>
      </c>
      <c r="AF25" s="52" t="e">
        <f t="shared" si="10"/>
        <v>#DIV/0!</v>
      </c>
      <c r="AG25" s="50">
        <f t="shared" si="11"/>
        <v>0</v>
      </c>
    </row>
    <row r="26" spans="1:33" ht="25" x14ac:dyDescent="0.35">
      <c r="A26" s="82">
        <v>90441300</v>
      </c>
      <c r="B26" s="82" t="s">
        <v>311</v>
      </c>
      <c r="C26" s="21" t="s">
        <v>161</v>
      </c>
      <c r="D26" s="21" t="s">
        <v>293</v>
      </c>
      <c r="E26" s="21">
        <v>300</v>
      </c>
      <c r="F26" s="35">
        <v>10</v>
      </c>
      <c r="G26" s="35">
        <v>300</v>
      </c>
      <c r="H26" s="53" t="s">
        <v>312</v>
      </c>
      <c r="I26" s="118" t="s">
        <v>313</v>
      </c>
      <c r="J26" s="119">
        <v>3917.4</v>
      </c>
      <c r="K26" s="43"/>
      <c r="L26" s="43">
        <f t="shared" si="0"/>
        <v>0</v>
      </c>
      <c r="M26" s="44">
        <f t="shared" si="1"/>
        <v>0</v>
      </c>
      <c r="O26" s="61">
        <v>15.6</v>
      </c>
      <c r="P26" s="61">
        <f t="shared" si="17"/>
        <v>16.600000000000001</v>
      </c>
      <c r="Q26" s="62">
        <f t="shared" si="2"/>
        <v>0</v>
      </c>
      <c r="R26" s="62">
        <f t="shared" si="3"/>
        <v>0</v>
      </c>
      <c r="T26" s="35">
        <f t="shared" si="4"/>
        <v>30</v>
      </c>
      <c r="U26" s="35">
        <f t="shared" si="13"/>
        <v>300</v>
      </c>
      <c r="V26" s="54">
        <f t="shared" si="14"/>
        <v>363.00000000000006</v>
      </c>
      <c r="W26" s="35">
        <f t="shared" si="15"/>
        <v>0</v>
      </c>
      <c r="X26" s="35">
        <v>144</v>
      </c>
      <c r="Y26" s="43">
        <f t="shared" si="16"/>
        <v>0</v>
      </c>
      <c r="AA26" s="49"/>
      <c r="AB26" s="50">
        <f t="shared" si="9"/>
        <v>0</v>
      </c>
      <c r="AD26" s="120"/>
      <c r="AE26" s="120">
        <f t="shared" si="12"/>
        <v>0</v>
      </c>
      <c r="AF26" s="52" t="e">
        <f t="shared" si="10"/>
        <v>#DIV/0!</v>
      </c>
      <c r="AG26" s="50">
        <f t="shared" si="11"/>
        <v>0</v>
      </c>
    </row>
    <row r="27" spans="1:33" ht="25" x14ac:dyDescent="0.35">
      <c r="A27" s="117" t="s">
        <v>373</v>
      </c>
      <c r="B27" s="117" t="s">
        <v>373</v>
      </c>
      <c r="C27" s="58" t="s">
        <v>161</v>
      </c>
      <c r="D27" s="21">
        <v>20</v>
      </c>
      <c r="E27" s="21">
        <v>50</v>
      </c>
      <c r="F27" s="35">
        <v>10</v>
      </c>
      <c r="G27" s="35">
        <v>1300</v>
      </c>
      <c r="H27" s="53" t="s">
        <v>374</v>
      </c>
      <c r="I27" s="118" t="s">
        <v>375</v>
      </c>
      <c r="J27" s="119">
        <v>3917.4</v>
      </c>
      <c r="K27" s="43"/>
      <c r="L27" s="43">
        <f t="shared" si="0"/>
        <v>0</v>
      </c>
      <c r="M27" s="44">
        <f t="shared" si="1"/>
        <v>0</v>
      </c>
      <c r="O27" s="61">
        <v>12.3</v>
      </c>
      <c r="P27" s="61">
        <v>13.3</v>
      </c>
      <c r="Q27" s="62">
        <f t="shared" si="2"/>
        <v>0</v>
      </c>
      <c r="R27" s="62">
        <f t="shared" si="3"/>
        <v>0</v>
      </c>
      <c r="T27" s="35">
        <f t="shared" si="4"/>
        <v>130</v>
      </c>
      <c r="U27" s="35">
        <f t="shared" si="13"/>
        <v>1300</v>
      </c>
      <c r="V27" s="54">
        <f t="shared" si="14"/>
        <v>1573.0000000000002</v>
      </c>
      <c r="W27" s="35">
        <f t="shared" si="15"/>
        <v>0</v>
      </c>
      <c r="X27" s="35">
        <v>144</v>
      </c>
      <c r="Y27" s="43">
        <f t="shared" si="16"/>
        <v>0</v>
      </c>
      <c r="AA27" s="49">
        <v>2.4500000000000002</v>
      </c>
      <c r="AB27" s="50">
        <f t="shared" si="9"/>
        <v>0</v>
      </c>
      <c r="AD27" s="120">
        <v>4.8</v>
      </c>
      <c r="AE27" s="120">
        <f t="shared" si="12"/>
        <v>0</v>
      </c>
      <c r="AF27" s="52" t="e">
        <f t="shared" si="10"/>
        <v>#DIV/0!</v>
      </c>
      <c r="AG27" s="50">
        <f t="shared" si="11"/>
        <v>0</v>
      </c>
    </row>
    <row r="28" spans="1:33" ht="25" x14ac:dyDescent="0.35">
      <c r="A28" s="117" t="s">
        <v>376</v>
      </c>
      <c r="B28" s="117" t="s">
        <v>376</v>
      </c>
      <c r="C28" s="58" t="s">
        <v>161</v>
      </c>
      <c r="D28" s="21">
        <v>20</v>
      </c>
      <c r="E28" s="21">
        <v>80</v>
      </c>
      <c r="F28" s="35">
        <v>10</v>
      </c>
      <c r="G28" s="35">
        <v>800</v>
      </c>
      <c r="H28" s="53" t="s">
        <v>377</v>
      </c>
      <c r="I28" s="118" t="s">
        <v>378</v>
      </c>
      <c r="J28" s="119">
        <v>3917.4</v>
      </c>
      <c r="K28" s="43"/>
      <c r="L28" s="43">
        <f t="shared" si="0"/>
        <v>0</v>
      </c>
      <c r="M28" s="44">
        <f t="shared" si="1"/>
        <v>0</v>
      </c>
      <c r="O28" s="61">
        <v>12.8</v>
      </c>
      <c r="P28" s="61">
        <v>13.8</v>
      </c>
      <c r="Q28" s="62">
        <f t="shared" si="2"/>
        <v>0</v>
      </c>
      <c r="R28" s="62">
        <f t="shared" si="3"/>
        <v>0</v>
      </c>
      <c r="T28" s="35">
        <f t="shared" si="4"/>
        <v>80</v>
      </c>
      <c r="U28" s="35">
        <f t="shared" si="13"/>
        <v>800</v>
      </c>
      <c r="V28" s="54">
        <f t="shared" si="14"/>
        <v>968.00000000000011</v>
      </c>
      <c r="W28" s="35">
        <f t="shared" si="15"/>
        <v>0</v>
      </c>
      <c r="X28" s="35">
        <v>276</v>
      </c>
      <c r="Y28" s="43">
        <f t="shared" si="16"/>
        <v>0</v>
      </c>
      <c r="AA28" s="49">
        <v>3.1</v>
      </c>
      <c r="AB28" s="50">
        <f t="shared" si="9"/>
        <v>0</v>
      </c>
      <c r="AD28" s="120">
        <v>6</v>
      </c>
      <c r="AE28" s="120">
        <f t="shared" si="12"/>
        <v>0</v>
      </c>
      <c r="AF28" s="52" t="e">
        <f t="shared" si="10"/>
        <v>#DIV/0!</v>
      </c>
      <c r="AG28" s="50">
        <f t="shared" si="11"/>
        <v>0</v>
      </c>
    </row>
    <row r="29" spans="1:33" ht="25" x14ac:dyDescent="0.35">
      <c r="A29" s="117" t="s">
        <v>379</v>
      </c>
      <c r="B29" s="117" t="s">
        <v>379</v>
      </c>
      <c r="C29" s="58" t="s">
        <v>161</v>
      </c>
      <c r="D29" s="21">
        <v>20</v>
      </c>
      <c r="E29" s="21">
        <v>150</v>
      </c>
      <c r="F29" s="35">
        <v>10</v>
      </c>
      <c r="G29" s="35">
        <v>450</v>
      </c>
      <c r="H29" s="53" t="s">
        <v>380</v>
      </c>
      <c r="I29" s="118" t="s">
        <v>381</v>
      </c>
      <c r="J29" s="119">
        <v>3917.4</v>
      </c>
      <c r="K29" s="43"/>
      <c r="L29" s="43">
        <f t="shared" si="0"/>
        <v>0</v>
      </c>
      <c r="M29" s="44">
        <f t="shared" si="1"/>
        <v>0</v>
      </c>
      <c r="O29" s="61">
        <v>16.3</v>
      </c>
      <c r="P29" s="61">
        <v>17.3</v>
      </c>
      <c r="Q29" s="62">
        <f t="shared" si="2"/>
        <v>0</v>
      </c>
      <c r="R29" s="62">
        <f t="shared" si="3"/>
        <v>0</v>
      </c>
      <c r="T29" s="35">
        <f t="shared" si="4"/>
        <v>45</v>
      </c>
      <c r="U29" s="35">
        <f t="shared" si="13"/>
        <v>450</v>
      </c>
      <c r="V29" s="54">
        <f t="shared" si="14"/>
        <v>544.5</v>
      </c>
      <c r="W29" s="35">
        <f t="shared" si="15"/>
        <v>0</v>
      </c>
      <c r="X29" s="35">
        <v>144</v>
      </c>
      <c r="Y29" s="43">
        <f t="shared" si="16"/>
        <v>0</v>
      </c>
      <c r="AA29" s="49">
        <v>6.1</v>
      </c>
      <c r="AB29" s="50">
        <f t="shared" si="9"/>
        <v>0</v>
      </c>
      <c r="AD29" s="120">
        <v>10.8</v>
      </c>
      <c r="AE29" s="120">
        <f t="shared" si="12"/>
        <v>0</v>
      </c>
      <c r="AF29" s="52" t="e">
        <f t="shared" si="10"/>
        <v>#DIV/0!</v>
      </c>
      <c r="AG29" s="50">
        <f t="shared" si="11"/>
        <v>0</v>
      </c>
    </row>
    <row r="30" spans="1:33" ht="25" x14ac:dyDescent="0.35">
      <c r="A30" s="82">
        <v>90442200</v>
      </c>
      <c r="B30" s="82" t="s">
        <v>382</v>
      </c>
      <c r="C30" s="21" t="s">
        <v>161</v>
      </c>
      <c r="D30" s="21" t="s">
        <v>318</v>
      </c>
      <c r="E30" s="21">
        <v>150</v>
      </c>
      <c r="F30" s="35">
        <v>10</v>
      </c>
      <c r="G30" s="35">
        <v>450</v>
      </c>
      <c r="H30" s="40" t="s">
        <v>383</v>
      </c>
      <c r="I30" s="118" t="s">
        <v>384</v>
      </c>
      <c r="J30" s="119">
        <v>3917.4</v>
      </c>
      <c r="K30" s="43"/>
      <c r="L30" s="43">
        <f t="shared" si="0"/>
        <v>0</v>
      </c>
      <c r="M30" s="44">
        <f t="shared" si="1"/>
        <v>0</v>
      </c>
      <c r="O30" s="61">
        <v>16.3</v>
      </c>
      <c r="P30" s="61">
        <v>17.3</v>
      </c>
      <c r="Q30" s="62">
        <f t="shared" si="2"/>
        <v>0</v>
      </c>
      <c r="R30" s="62">
        <f t="shared" si="3"/>
        <v>0</v>
      </c>
      <c r="T30" s="35">
        <f t="shared" si="4"/>
        <v>45</v>
      </c>
      <c r="U30" s="35">
        <f t="shared" si="13"/>
        <v>450</v>
      </c>
      <c r="V30" s="54">
        <f t="shared" si="14"/>
        <v>544.5</v>
      </c>
      <c r="W30" s="35">
        <f t="shared" si="15"/>
        <v>0</v>
      </c>
      <c r="X30" s="35">
        <v>144</v>
      </c>
      <c r="Y30" s="43">
        <f t="shared" si="16"/>
        <v>0</v>
      </c>
      <c r="AA30" s="49">
        <v>5.7</v>
      </c>
      <c r="AB30" s="50">
        <f t="shared" si="9"/>
        <v>0</v>
      </c>
      <c r="AD30" s="120">
        <v>10.8</v>
      </c>
      <c r="AE30" s="120">
        <f t="shared" si="12"/>
        <v>0</v>
      </c>
      <c r="AF30" s="52" t="e">
        <f t="shared" si="10"/>
        <v>#DIV/0!</v>
      </c>
      <c r="AG30" s="50">
        <f t="shared" si="11"/>
        <v>0</v>
      </c>
    </row>
    <row r="31" spans="1:33" ht="25" x14ac:dyDescent="0.35">
      <c r="A31" s="117" t="s">
        <v>385</v>
      </c>
      <c r="B31" s="117" t="s">
        <v>385</v>
      </c>
      <c r="C31" s="58" t="s">
        <v>161</v>
      </c>
      <c r="D31" s="21">
        <v>20</v>
      </c>
      <c r="E31" s="21">
        <v>200</v>
      </c>
      <c r="F31" s="35">
        <v>10</v>
      </c>
      <c r="G31" s="35">
        <v>320</v>
      </c>
      <c r="H31" s="53" t="s">
        <v>386</v>
      </c>
      <c r="I31" s="118" t="s">
        <v>387</v>
      </c>
      <c r="J31" s="119">
        <v>3917.4</v>
      </c>
      <c r="K31" s="43"/>
      <c r="L31" s="43">
        <f t="shared" si="0"/>
        <v>0</v>
      </c>
      <c r="M31" s="44">
        <f t="shared" si="1"/>
        <v>0</v>
      </c>
      <c r="O31" s="61">
        <v>15.8</v>
      </c>
      <c r="P31" s="61">
        <v>16.8</v>
      </c>
      <c r="Q31" s="62">
        <f t="shared" si="2"/>
        <v>0</v>
      </c>
      <c r="R31" s="62">
        <f t="shared" si="3"/>
        <v>0</v>
      </c>
      <c r="T31" s="35">
        <f t="shared" si="4"/>
        <v>32</v>
      </c>
      <c r="U31" s="35">
        <f t="shared" si="13"/>
        <v>320</v>
      </c>
      <c r="V31" s="54">
        <f t="shared" si="14"/>
        <v>387.20000000000005</v>
      </c>
      <c r="W31" s="35">
        <f t="shared" si="15"/>
        <v>0</v>
      </c>
      <c r="X31" s="35">
        <v>144</v>
      </c>
      <c r="Y31" s="43">
        <f t="shared" si="16"/>
        <v>0</v>
      </c>
      <c r="AA31" s="49">
        <v>7.1</v>
      </c>
      <c r="AB31" s="50">
        <f t="shared" si="9"/>
        <v>0</v>
      </c>
      <c r="AD31" s="120">
        <v>12</v>
      </c>
      <c r="AE31" s="120">
        <f t="shared" si="12"/>
        <v>0</v>
      </c>
      <c r="AF31" s="52" t="e">
        <f t="shared" si="10"/>
        <v>#DIV/0!</v>
      </c>
      <c r="AG31" s="50">
        <f t="shared" si="11"/>
        <v>0</v>
      </c>
    </row>
    <row r="32" spans="1:33" ht="25" x14ac:dyDescent="0.35">
      <c r="A32" s="117" t="s">
        <v>314</v>
      </c>
      <c r="B32" s="117" t="s">
        <v>314</v>
      </c>
      <c r="C32" s="58" t="s">
        <v>161</v>
      </c>
      <c r="D32" s="21">
        <v>20</v>
      </c>
      <c r="E32" s="21">
        <v>300</v>
      </c>
      <c r="F32" s="35">
        <v>10</v>
      </c>
      <c r="G32" s="35">
        <v>230</v>
      </c>
      <c r="H32" s="53" t="s">
        <v>315</v>
      </c>
      <c r="I32" s="118" t="s">
        <v>316</v>
      </c>
      <c r="J32" s="119">
        <v>3917.4</v>
      </c>
      <c r="K32" s="43"/>
      <c r="L32" s="43">
        <f t="shared" si="0"/>
        <v>0</v>
      </c>
      <c r="M32" s="44">
        <f t="shared" si="1"/>
        <v>0</v>
      </c>
      <c r="O32" s="61">
        <v>16.100000000000001</v>
      </c>
      <c r="P32" s="61">
        <f>O32+1</f>
        <v>17.100000000000001</v>
      </c>
      <c r="Q32" s="62">
        <f t="shared" si="2"/>
        <v>0</v>
      </c>
      <c r="R32" s="62">
        <f t="shared" si="3"/>
        <v>0</v>
      </c>
      <c r="T32" s="35">
        <f t="shared" si="4"/>
        <v>23</v>
      </c>
      <c r="U32" s="35">
        <f t="shared" si="13"/>
        <v>230</v>
      </c>
      <c r="V32" s="54">
        <f t="shared" si="14"/>
        <v>278.3</v>
      </c>
      <c r="W32" s="35">
        <f t="shared" si="15"/>
        <v>0</v>
      </c>
      <c r="X32" s="35">
        <v>144</v>
      </c>
      <c r="Y32" s="43">
        <f t="shared" si="16"/>
        <v>0</v>
      </c>
      <c r="AA32" s="49"/>
      <c r="AB32" s="50">
        <f t="shared" si="9"/>
        <v>0</v>
      </c>
      <c r="AD32" s="120"/>
      <c r="AE32" s="120">
        <f t="shared" si="12"/>
        <v>0</v>
      </c>
      <c r="AF32" s="52" t="e">
        <f t="shared" si="10"/>
        <v>#DIV/0!</v>
      </c>
      <c r="AG32" s="50">
        <f t="shared" si="11"/>
        <v>0</v>
      </c>
    </row>
    <row r="33" spans="1:33" ht="25" x14ac:dyDescent="0.35">
      <c r="A33" s="82">
        <v>90442300</v>
      </c>
      <c r="B33" s="82" t="s">
        <v>317</v>
      </c>
      <c r="C33" s="21" t="s">
        <v>161</v>
      </c>
      <c r="D33" s="21" t="s">
        <v>318</v>
      </c>
      <c r="E33" s="21">
        <v>300</v>
      </c>
      <c r="F33" s="35">
        <v>10</v>
      </c>
      <c r="G33" s="35">
        <v>230</v>
      </c>
      <c r="H33" s="53" t="s">
        <v>319</v>
      </c>
      <c r="I33" s="118" t="s">
        <v>320</v>
      </c>
      <c r="J33" s="119">
        <v>3917.4</v>
      </c>
      <c r="K33" s="43"/>
      <c r="L33" s="43">
        <f t="shared" si="0"/>
        <v>0</v>
      </c>
      <c r="M33" s="44">
        <f t="shared" si="1"/>
        <v>0</v>
      </c>
      <c r="O33" s="61">
        <v>16.100000000000001</v>
      </c>
      <c r="P33" s="61">
        <f>O33+1</f>
        <v>17.100000000000001</v>
      </c>
      <c r="Q33" s="62">
        <f t="shared" si="2"/>
        <v>0</v>
      </c>
      <c r="R33" s="62">
        <f t="shared" si="3"/>
        <v>0</v>
      </c>
      <c r="T33" s="35">
        <f t="shared" si="4"/>
        <v>23</v>
      </c>
      <c r="U33" s="35">
        <f t="shared" si="13"/>
        <v>230</v>
      </c>
      <c r="V33" s="54">
        <f t="shared" si="14"/>
        <v>278.3</v>
      </c>
      <c r="W33" s="35">
        <f t="shared" si="15"/>
        <v>0</v>
      </c>
      <c r="X33" s="35">
        <v>144</v>
      </c>
      <c r="Y33" s="43">
        <f t="shared" si="16"/>
        <v>0</v>
      </c>
      <c r="AA33" s="49"/>
      <c r="AB33" s="50">
        <f t="shared" si="9"/>
        <v>0</v>
      </c>
      <c r="AD33" s="120"/>
      <c r="AE33" s="120">
        <f t="shared" si="12"/>
        <v>0</v>
      </c>
      <c r="AF33" s="52" t="e">
        <f t="shared" si="10"/>
        <v>#DIV/0!</v>
      </c>
      <c r="AG33" s="50">
        <f t="shared" si="11"/>
        <v>0</v>
      </c>
    </row>
    <row r="34" spans="1:33" ht="25" x14ac:dyDescent="0.35">
      <c r="A34" s="117" t="s">
        <v>388</v>
      </c>
      <c r="B34" s="132" t="s">
        <v>388</v>
      </c>
      <c r="C34" s="58" t="s">
        <v>86</v>
      </c>
      <c r="D34" s="21">
        <v>25</v>
      </c>
      <c r="E34" s="21">
        <v>100</v>
      </c>
      <c r="F34" s="35">
        <v>10</v>
      </c>
      <c r="G34" s="35">
        <v>400</v>
      </c>
      <c r="H34" s="133" t="s">
        <v>389</v>
      </c>
      <c r="I34" s="118" t="s">
        <v>390</v>
      </c>
      <c r="J34" s="119">
        <v>3917.4</v>
      </c>
      <c r="K34" s="43"/>
      <c r="L34" s="43">
        <f t="shared" si="0"/>
        <v>0</v>
      </c>
      <c r="M34" s="44">
        <f t="shared" si="1"/>
        <v>0</v>
      </c>
      <c r="O34" s="61">
        <v>13</v>
      </c>
      <c r="P34" s="61">
        <v>14</v>
      </c>
      <c r="Q34" s="62">
        <f t="shared" si="2"/>
        <v>0</v>
      </c>
      <c r="R34" s="62">
        <f t="shared" si="3"/>
        <v>0</v>
      </c>
      <c r="T34" s="35">
        <f t="shared" si="4"/>
        <v>40</v>
      </c>
      <c r="U34" s="35">
        <f t="shared" si="13"/>
        <v>400</v>
      </c>
      <c r="V34" s="54">
        <f t="shared" si="14"/>
        <v>484.00000000000006</v>
      </c>
      <c r="W34" s="35">
        <f t="shared" si="15"/>
        <v>0</v>
      </c>
      <c r="X34" s="35">
        <v>144</v>
      </c>
      <c r="Y34" s="43">
        <f t="shared" si="16"/>
        <v>0</v>
      </c>
      <c r="AA34" s="49">
        <v>7.1</v>
      </c>
      <c r="AB34" s="50">
        <f t="shared" si="9"/>
        <v>0</v>
      </c>
      <c r="AD34" s="120">
        <v>12</v>
      </c>
      <c r="AE34" s="120">
        <f t="shared" si="12"/>
        <v>0</v>
      </c>
      <c r="AF34" s="52" t="e">
        <f t="shared" si="10"/>
        <v>#DIV/0!</v>
      </c>
      <c r="AG34" s="50">
        <f t="shared" si="11"/>
        <v>0</v>
      </c>
    </row>
    <row r="35" spans="1:33" ht="25" x14ac:dyDescent="0.35">
      <c r="A35" s="82">
        <v>90443100</v>
      </c>
      <c r="B35" s="132" t="s">
        <v>391</v>
      </c>
      <c r="C35" s="21" t="s">
        <v>86</v>
      </c>
      <c r="D35" s="21" t="s">
        <v>325</v>
      </c>
      <c r="E35" s="21">
        <v>100</v>
      </c>
      <c r="F35" s="35">
        <v>10</v>
      </c>
      <c r="G35" s="35">
        <v>400</v>
      </c>
      <c r="H35" s="134" t="s">
        <v>392</v>
      </c>
      <c r="I35" s="118" t="s">
        <v>393</v>
      </c>
      <c r="J35" s="119">
        <v>3917.4</v>
      </c>
      <c r="K35" s="43"/>
      <c r="L35" s="43">
        <f t="shared" si="0"/>
        <v>0</v>
      </c>
      <c r="M35" s="44">
        <f t="shared" si="1"/>
        <v>0</v>
      </c>
      <c r="O35" s="61">
        <v>13</v>
      </c>
      <c r="P35" s="61">
        <v>14</v>
      </c>
      <c r="Q35" s="62">
        <f t="shared" si="2"/>
        <v>0</v>
      </c>
      <c r="R35" s="62">
        <f t="shared" si="3"/>
        <v>0</v>
      </c>
      <c r="T35" s="35">
        <f t="shared" si="4"/>
        <v>40</v>
      </c>
      <c r="U35" s="35">
        <f t="shared" si="13"/>
        <v>400</v>
      </c>
      <c r="V35" s="54">
        <f t="shared" si="14"/>
        <v>484.00000000000006</v>
      </c>
      <c r="W35" s="35">
        <f t="shared" si="15"/>
        <v>0</v>
      </c>
      <c r="X35" s="35">
        <v>144</v>
      </c>
      <c r="Y35" s="43">
        <f t="shared" si="16"/>
        <v>0</v>
      </c>
      <c r="AA35" s="49">
        <v>6.7</v>
      </c>
      <c r="AB35" s="50">
        <f t="shared" si="9"/>
        <v>0</v>
      </c>
      <c r="AD35" s="120">
        <v>13.2</v>
      </c>
      <c r="AE35" s="120">
        <f t="shared" si="12"/>
        <v>0</v>
      </c>
      <c r="AF35" s="52" t="e">
        <f t="shared" si="10"/>
        <v>#DIV/0!</v>
      </c>
      <c r="AG35" s="50">
        <f t="shared" si="11"/>
        <v>0</v>
      </c>
    </row>
    <row r="36" spans="1:33" ht="25" x14ac:dyDescent="0.35">
      <c r="A36" s="117" t="s">
        <v>394</v>
      </c>
      <c r="B36" s="132" t="s">
        <v>394</v>
      </c>
      <c r="C36" s="58" t="s">
        <v>86</v>
      </c>
      <c r="D36" s="21">
        <v>25</v>
      </c>
      <c r="E36" s="21">
        <v>150</v>
      </c>
      <c r="F36" s="35">
        <v>10</v>
      </c>
      <c r="G36" s="35">
        <v>300</v>
      </c>
      <c r="H36" s="133" t="s">
        <v>395</v>
      </c>
      <c r="I36" s="135" t="s">
        <v>396</v>
      </c>
      <c r="J36" s="119">
        <v>3917.4</v>
      </c>
      <c r="K36" s="43"/>
      <c r="L36" s="43">
        <f t="shared" si="0"/>
        <v>0</v>
      </c>
      <c r="M36" s="44">
        <f t="shared" si="1"/>
        <v>0</v>
      </c>
      <c r="O36" s="61">
        <v>13</v>
      </c>
      <c r="P36" s="61">
        <v>14</v>
      </c>
      <c r="Q36" s="62">
        <f t="shared" si="2"/>
        <v>0</v>
      </c>
      <c r="R36" s="62">
        <f t="shared" si="3"/>
        <v>0</v>
      </c>
      <c r="T36" s="35">
        <f t="shared" si="4"/>
        <v>30</v>
      </c>
      <c r="U36" s="35">
        <f t="shared" si="13"/>
        <v>300</v>
      </c>
      <c r="V36" s="54">
        <f t="shared" si="14"/>
        <v>363.00000000000006</v>
      </c>
      <c r="W36" s="35">
        <f t="shared" si="15"/>
        <v>0</v>
      </c>
      <c r="X36" s="35">
        <v>144</v>
      </c>
      <c r="Y36" s="43">
        <f t="shared" si="16"/>
        <v>0</v>
      </c>
      <c r="AA36" s="49">
        <v>8.15</v>
      </c>
      <c r="AB36" s="50">
        <f t="shared" si="9"/>
        <v>0</v>
      </c>
      <c r="AD36" s="120">
        <v>13.2</v>
      </c>
      <c r="AE36" s="120">
        <f t="shared" si="12"/>
        <v>0</v>
      </c>
      <c r="AF36" s="52" t="e">
        <f t="shared" si="10"/>
        <v>#DIV/0!</v>
      </c>
      <c r="AG36" s="50">
        <f t="shared" si="11"/>
        <v>0</v>
      </c>
    </row>
    <row r="37" spans="1:33" ht="25" x14ac:dyDescent="0.35">
      <c r="A37" s="82">
        <v>90443200</v>
      </c>
      <c r="B37" s="132" t="s">
        <v>397</v>
      </c>
      <c r="C37" s="21" t="s">
        <v>86</v>
      </c>
      <c r="D37" s="21" t="s">
        <v>325</v>
      </c>
      <c r="E37" s="21">
        <v>150</v>
      </c>
      <c r="F37" s="35">
        <v>10</v>
      </c>
      <c r="G37" s="35">
        <v>300</v>
      </c>
      <c r="H37" s="134" t="s">
        <v>398</v>
      </c>
      <c r="I37" s="135" t="s">
        <v>399</v>
      </c>
      <c r="J37" s="119">
        <v>3917.4</v>
      </c>
      <c r="K37" s="43"/>
      <c r="L37" s="43">
        <f t="shared" si="0"/>
        <v>0</v>
      </c>
      <c r="M37" s="44">
        <f t="shared" si="1"/>
        <v>0</v>
      </c>
      <c r="O37" s="61">
        <v>13</v>
      </c>
      <c r="P37" s="61">
        <v>14</v>
      </c>
      <c r="Q37" s="62">
        <f t="shared" si="2"/>
        <v>0</v>
      </c>
      <c r="R37" s="62">
        <f t="shared" si="3"/>
        <v>0</v>
      </c>
      <c r="T37" s="35">
        <f t="shared" si="4"/>
        <v>30</v>
      </c>
      <c r="U37" s="35">
        <f t="shared" si="13"/>
        <v>300</v>
      </c>
      <c r="V37" s="54">
        <f t="shared" si="14"/>
        <v>363.00000000000006</v>
      </c>
      <c r="W37" s="35">
        <f t="shared" si="15"/>
        <v>0</v>
      </c>
      <c r="X37" s="35">
        <v>144</v>
      </c>
      <c r="Y37" s="43">
        <f t="shared" si="16"/>
        <v>0</v>
      </c>
      <c r="AA37" s="49">
        <v>7.65</v>
      </c>
      <c r="AB37" s="50">
        <f t="shared" si="9"/>
        <v>0</v>
      </c>
      <c r="AD37" s="120">
        <v>14.4</v>
      </c>
      <c r="AE37" s="120">
        <f t="shared" si="12"/>
        <v>0</v>
      </c>
      <c r="AF37" s="52" t="e">
        <f t="shared" si="10"/>
        <v>#DIV/0!</v>
      </c>
      <c r="AG37" s="50">
        <f t="shared" si="11"/>
        <v>0</v>
      </c>
    </row>
    <row r="38" spans="1:33" ht="25" x14ac:dyDescent="0.35">
      <c r="A38" s="117" t="s">
        <v>321</v>
      </c>
      <c r="B38" s="117" t="s">
        <v>321</v>
      </c>
      <c r="C38" s="58" t="s">
        <v>161</v>
      </c>
      <c r="D38" s="21">
        <v>25</v>
      </c>
      <c r="E38" s="21">
        <v>300</v>
      </c>
      <c r="F38" s="35">
        <v>10</v>
      </c>
      <c r="G38" s="35">
        <v>160</v>
      </c>
      <c r="H38" s="53" t="s">
        <v>322</v>
      </c>
      <c r="I38" s="135" t="s">
        <v>323</v>
      </c>
      <c r="J38" s="119">
        <v>3917.4</v>
      </c>
      <c r="K38" s="43"/>
      <c r="L38" s="43">
        <f t="shared" si="0"/>
        <v>0</v>
      </c>
      <c r="M38" s="44">
        <f t="shared" si="1"/>
        <v>0</v>
      </c>
      <c r="O38" s="61">
        <v>16</v>
      </c>
      <c r="P38" s="61">
        <f>O38+1</f>
        <v>17</v>
      </c>
      <c r="Q38" s="62">
        <f t="shared" si="2"/>
        <v>0</v>
      </c>
      <c r="R38" s="62">
        <f t="shared" si="3"/>
        <v>0</v>
      </c>
      <c r="T38" s="35">
        <f t="shared" si="4"/>
        <v>16</v>
      </c>
      <c r="U38" s="35">
        <f t="shared" si="13"/>
        <v>160</v>
      </c>
      <c r="V38" s="54">
        <f t="shared" si="14"/>
        <v>193.60000000000002</v>
      </c>
      <c r="W38" s="35">
        <f t="shared" si="15"/>
        <v>0</v>
      </c>
      <c r="X38" s="35">
        <v>144</v>
      </c>
      <c r="Y38" s="43">
        <f t="shared" si="16"/>
        <v>0</v>
      </c>
      <c r="AA38" s="49"/>
      <c r="AB38" s="50">
        <f t="shared" si="9"/>
        <v>0</v>
      </c>
      <c r="AD38" s="120"/>
      <c r="AE38" s="120">
        <f t="shared" si="12"/>
        <v>0</v>
      </c>
      <c r="AF38" s="52" t="e">
        <f t="shared" si="10"/>
        <v>#DIV/0!</v>
      </c>
      <c r="AG38" s="50">
        <f t="shared" si="11"/>
        <v>0</v>
      </c>
    </row>
    <row r="39" spans="1:33" ht="25" x14ac:dyDescent="0.35">
      <c r="A39" s="82">
        <v>90443300</v>
      </c>
      <c r="B39" s="82" t="s">
        <v>324</v>
      </c>
      <c r="C39" s="21" t="s">
        <v>161</v>
      </c>
      <c r="D39" s="21" t="s">
        <v>325</v>
      </c>
      <c r="E39" s="21">
        <v>300</v>
      </c>
      <c r="F39" s="35">
        <v>10</v>
      </c>
      <c r="G39" s="35">
        <v>160</v>
      </c>
      <c r="H39" s="53" t="s">
        <v>400</v>
      </c>
      <c r="I39" s="135" t="s">
        <v>327</v>
      </c>
      <c r="J39" s="119">
        <v>3917.4</v>
      </c>
      <c r="K39" s="43"/>
      <c r="L39" s="43">
        <f t="shared" si="0"/>
        <v>0</v>
      </c>
      <c r="M39" s="44">
        <f t="shared" si="1"/>
        <v>0</v>
      </c>
      <c r="O39" s="61">
        <v>16</v>
      </c>
      <c r="P39" s="61">
        <f>O39+1</f>
        <v>17</v>
      </c>
      <c r="Q39" s="62">
        <f t="shared" si="2"/>
        <v>0</v>
      </c>
      <c r="R39" s="62">
        <f t="shared" si="3"/>
        <v>0</v>
      </c>
      <c r="T39" s="35">
        <f t="shared" si="4"/>
        <v>16</v>
      </c>
      <c r="U39" s="35">
        <f t="shared" si="13"/>
        <v>160</v>
      </c>
      <c r="V39" s="54">
        <f t="shared" si="14"/>
        <v>193.60000000000002</v>
      </c>
      <c r="W39" s="35">
        <f t="shared" si="15"/>
        <v>0</v>
      </c>
      <c r="X39" s="35">
        <v>144</v>
      </c>
      <c r="Y39" s="43">
        <f t="shared" si="16"/>
        <v>0</v>
      </c>
      <c r="AA39" s="49"/>
      <c r="AB39" s="50">
        <f t="shared" si="9"/>
        <v>0</v>
      </c>
      <c r="AD39" s="120"/>
      <c r="AE39" s="120">
        <f t="shared" si="12"/>
        <v>0</v>
      </c>
      <c r="AF39" s="52" t="e">
        <f t="shared" si="10"/>
        <v>#DIV/0!</v>
      </c>
      <c r="AG39" s="50">
        <f t="shared" si="11"/>
        <v>0</v>
      </c>
    </row>
    <row r="40" spans="1:33" ht="25" x14ac:dyDescent="0.35">
      <c r="A40" s="117" t="s">
        <v>401</v>
      </c>
      <c r="B40" s="117" t="s">
        <v>401</v>
      </c>
      <c r="C40" s="58" t="s">
        <v>329</v>
      </c>
      <c r="D40" s="21">
        <v>15</v>
      </c>
      <c r="E40" s="21">
        <v>150</v>
      </c>
      <c r="F40" s="136">
        <v>10</v>
      </c>
      <c r="G40" s="35">
        <v>130</v>
      </c>
      <c r="H40" s="53" t="s">
        <v>402</v>
      </c>
      <c r="I40" s="135" t="s">
        <v>403</v>
      </c>
      <c r="J40" s="119">
        <v>3917.4</v>
      </c>
      <c r="K40" s="43"/>
      <c r="L40" s="43">
        <f t="shared" si="0"/>
        <v>0</v>
      </c>
      <c r="M40" s="44">
        <f t="shared" si="1"/>
        <v>0</v>
      </c>
      <c r="O40" s="61">
        <v>8.5</v>
      </c>
      <c r="P40" s="61">
        <f>O40+1</f>
        <v>9.5</v>
      </c>
      <c r="Q40" s="62">
        <f t="shared" si="2"/>
        <v>0</v>
      </c>
      <c r="R40" s="62">
        <f t="shared" si="3"/>
        <v>0</v>
      </c>
      <c r="T40" s="35">
        <f t="shared" si="4"/>
        <v>13</v>
      </c>
      <c r="U40" s="35">
        <f t="shared" si="13"/>
        <v>130</v>
      </c>
      <c r="V40" s="54">
        <f t="shared" si="14"/>
        <v>157.30000000000001</v>
      </c>
      <c r="W40" s="35">
        <f t="shared" si="15"/>
        <v>0</v>
      </c>
      <c r="X40" s="35">
        <v>144</v>
      </c>
      <c r="Y40" s="43">
        <f t="shared" si="16"/>
        <v>0</v>
      </c>
      <c r="AA40" s="49">
        <v>9.6999999999999993</v>
      </c>
      <c r="AB40" s="50">
        <f t="shared" si="9"/>
        <v>0</v>
      </c>
      <c r="AD40" s="120">
        <v>16.8</v>
      </c>
      <c r="AE40" s="120">
        <f t="shared" si="12"/>
        <v>0</v>
      </c>
      <c r="AF40" s="52" t="e">
        <f t="shared" si="10"/>
        <v>#DIV/0!</v>
      </c>
      <c r="AG40" s="50">
        <f t="shared" si="11"/>
        <v>0</v>
      </c>
    </row>
    <row r="41" spans="1:33" ht="25" x14ac:dyDescent="0.35">
      <c r="A41" s="117" t="s">
        <v>404</v>
      </c>
      <c r="B41" s="117" t="s">
        <v>404</v>
      </c>
      <c r="C41" s="58" t="s">
        <v>329</v>
      </c>
      <c r="D41" s="21">
        <v>15</v>
      </c>
      <c r="E41" s="21">
        <v>200</v>
      </c>
      <c r="F41" s="35">
        <v>10</v>
      </c>
      <c r="G41" s="35">
        <v>110</v>
      </c>
      <c r="H41" s="53" t="s">
        <v>405</v>
      </c>
      <c r="I41" s="135" t="s">
        <v>406</v>
      </c>
      <c r="J41" s="119">
        <v>3917.4</v>
      </c>
      <c r="K41" s="43"/>
      <c r="L41" s="43">
        <f t="shared" si="0"/>
        <v>0</v>
      </c>
      <c r="M41" s="44">
        <f t="shared" si="1"/>
        <v>0</v>
      </c>
      <c r="O41" s="61">
        <v>8.5</v>
      </c>
      <c r="P41" s="61">
        <f>O41+1</f>
        <v>9.5</v>
      </c>
      <c r="Q41" s="62">
        <f t="shared" si="2"/>
        <v>0</v>
      </c>
      <c r="R41" s="62">
        <f t="shared" si="3"/>
        <v>0</v>
      </c>
      <c r="T41" s="35">
        <f t="shared" si="4"/>
        <v>11</v>
      </c>
      <c r="U41" s="35">
        <f t="shared" si="13"/>
        <v>110</v>
      </c>
      <c r="V41" s="54">
        <f t="shared" si="14"/>
        <v>133.10000000000002</v>
      </c>
      <c r="W41" s="35">
        <f t="shared" si="15"/>
        <v>0</v>
      </c>
      <c r="X41" s="35">
        <v>144</v>
      </c>
      <c r="Y41" s="43">
        <f t="shared" si="16"/>
        <v>0</v>
      </c>
      <c r="AA41" s="49">
        <v>10.3</v>
      </c>
      <c r="AB41" s="50">
        <f t="shared" si="9"/>
        <v>0</v>
      </c>
      <c r="AD41" s="120">
        <v>18</v>
      </c>
      <c r="AE41" s="120">
        <f t="shared" si="12"/>
        <v>0</v>
      </c>
      <c r="AF41" s="52" t="e">
        <f t="shared" si="10"/>
        <v>#DIV/0!</v>
      </c>
      <c r="AG41" s="50">
        <f t="shared" si="11"/>
        <v>0</v>
      </c>
    </row>
    <row r="42" spans="1:33" ht="25" x14ac:dyDescent="0.35">
      <c r="A42" s="117" t="s">
        <v>328</v>
      </c>
      <c r="B42" s="117" t="s">
        <v>328</v>
      </c>
      <c r="C42" s="58" t="s">
        <v>329</v>
      </c>
      <c r="D42" s="21">
        <v>15</v>
      </c>
      <c r="E42" s="21">
        <v>300</v>
      </c>
      <c r="F42" s="35">
        <v>10</v>
      </c>
      <c r="G42" s="35">
        <v>80</v>
      </c>
      <c r="H42" s="53" t="s">
        <v>330</v>
      </c>
      <c r="I42" s="135" t="s">
        <v>331</v>
      </c>
      <c r="J42" s="119">
        <v>3917.4</v>
      </c>
      <c r="K42" s="43"/>
      <c r="L42" s="43">
        <f t="shared" si="0"/>
        <v>0</v>
      </c>
      <c r="M42" s="44">
        <f t="shared" si="1"/>
        <v>0</v>
      </c>
      <c r="O42" s="61">
        <v>7.5</v>
      </c>
      <c r="P42" s="61">
        <f>O42+1</f>
        <v>8.5</v>
      </c>
      <c r="Q42" s="62">
        <f t="shared" si="2"/>
        <v>0</v>
      </c>
      <c r="R42" s="62">
        <f t="shared" si="3"/>
        <v>0</v>
      </c>
      <c r="T42" s="35">
        <f t="shared" si="4"/>
        <v>8</v>
      </c>
      <c r="U42" s="35">
        <f t="shared" si="13"/>
        <v>80</v>
      </c>
      <c r="V42" s="54">
        <f t="shared" si="14"/>
        <v>96.800000000000011</v>
      </c>
      <c r="W42" s="35">
        <f t="shared" si="15"/>
        <v>0</v>
      </c>
      <c r="X42" s="35">
        <v>144</v>
      </c>
      <c r="Y42" s="43">
        <f t="shared" si="16"/>
        <v>0</v>
      </c>
      <c r="AA42" s="49"/>
      <c r="AB42" s="50">
        <f t="shared" si="9"/>
        <v>0</v>
      </c>
      <c r="AD42" s="120"/>
      <c r="AE42" s="120">
        <f t="shared" si="12"/>
        <v>0</v>
      </c>
      <c r="AF42" s="52" t="e">
        <f t="shared" si="10"/>
        <v>#DIV/0!</v>
      </c>
      <c r="AG42" s="50">
        <f t="shared" si="11"/>
        <v>0</v>
      </c>
    </row>
    <row r="43" spans="1:33" ht="25" x14ac:dyDescent="0.35">
      <c r="A43" s="117" t="s">
        <v>407</v>
      </c>
      <c r="B43" s="117" t="s">
        <v>407</v>
      </c>
      <c r="C43" s="58" t="s">
        <v>329</v>
      </c>
      <c r="D43" s="21">
        <v>20</v>
      </c>
      <c r="E43" s="21">
        <v>200</v>
      </c>
      <c r="F43" s="35">
        <v>5</v>
      </c>
      <c r="G43" s="35">
        <v>75</v>
      </c>
      <c r="H43" s="53" t="s">
        <v>408</v>
      </c>
      <c r="I43" s="135" t="s">
        <v>409</v>
      </c>
      <c r="J43" s="119">
        <v>3917.4</v>
      </c>
      <c r="K43" s="43"/>
      <c r="L43" s="43">
        <f t="shared" si="0"/>
        <v>0</v>
      </c>
      <c r="M43" s="44">
        <f t="shared" si="1"/>
        <v>0</v>
      </c>
      <c r="O43" s="61">
        <v>8.1999999999999993</v>
      </c>
      <c r="P43" s="61">
        <v>9.1999999999999993</v>
      </c>
      <c r="Q43" s="62">
        <f t="shared" si="2"/>
        <v>0</v>
      </c>
      <c r="R43" s="62">
        <f t="shared" si="3"/>
        <v>0</v>
      </c>
      <c r="T43" s="35">
        <f t="shared" si="4"/>
        <v>15</v>
      </c>
      <c r="U43" s="35">
        <f t="shared" si="13"/>
        <v>75</v>
      </c>
      <c r="V43" s="54">
        <f t="shared" si="14"/>
        <v>99.000000000000014</v>
      </c>
      <c r="W43" s="35">
        <f t="shared" si="15"/>
        <v>0</v>
      </c>
      <c r="X43" s="35">
        <v>144</v>
      </c>
      <c r="Y43" s="43">
        <f t="shared" si="16"/>
        <v>0</v>
      </c>
      <c r="AA43" s="49">
        <v>18.3</v>
      </c>
      <c r="AB43" s="50">
        <f t="shared" si="9"/>
        <v>0</v>
      </c>
      <c r="AD43" s="120">
        <v>32.4</v>
      </c>
      <c r="AE43" s="120">
        <f t="shared" si="12"/>
        <v>0</v>
      </c>
      <c r="AF43" s="52" t="e">
        <f t="shared" si="10"/>
        <v>#DIV/0!</v>
      </c>
      <c r="AG43" s="50">
        <f t="shared" si="11"/>
        <v>0</v>
      </c>
    </row>
    <row r="44" spans="1:33" ht="25" x14ac:dyDescent="0.35">
      <c r="A44" s="117" t="s">
        <v>332</v>
      </c>
      <c r="B44" s="117" t="s">
        <v>332</v>
      </c>
      <c r="C44" s="58" t="s">
        <v>329</v>
      </c>
      <c r="D44" s="21">
        <v>20</v>
      </c>
      <c r="E44" s="21">
        <v>300</v>
      </c>
      <c r="F44" s="35">
        <v>5</v>
      </c>
      <c r="G44" s="35">
        <v>50</v>
      </c>
      <c r="H44" s="53" t="s">
        <v>333</v>
      </c>
      <c r="I44" s="135" t="s">
        <v>334</v>
      </c>
      <c r="J44" s="119">
        <v>3917.4</v>
      </c>
      <c r="K44" s="43"/>
      <c r="L44" s="43">
        <f t="shared" si="0"/>
        <v>0</v>
      </c>
      <c r="M44" s="44">
        <f t="shared" si="1"/>
        <v>0</v>
      </c>
      <c r="O44" s="61">
        <v>6.2</v>
      </c>
      <c r="P44" s="61">
        <v>7.2</v>
      </c>
      <c r="Q44" s="62">
        <f t="shared" si="2"/>
        <v>0</v>
      </c>
      <c r="R44" s="62">
        <f t="shared" si="3"/>
        <v>0</v>
      </c>
      <c r="T44" s="35">
        <f t="shared" si="4"/>
        <v>10</v>
      </c>
      <c r="U44" s="35">
        <f t="shared" si="13"/>
        <v>50</v>
      </c>
      <c r="V44" s="54">
        <f t="shared" si="14"/>
        <v>66</v>
      </c>
      <c r="W44" s="35">
        <f t="shared" si="15"/>
        <v>0</v>
      </c>
      <c r="X44" s="35">
        <v>144</v>
      </c>
      <c r="Y44" s="43">
        <f t="shared" si="16"/>
        <v>0</v>
      </c>
      <c r="AA44" s="49"/>
      <c r="AB44" s="50">
        <f t="shared" si="9"/>
        <v>0</v>
      </c>
      <c r="AD44" s="120"/>
      <c r="AE44" s="120">
        <f t="shared" si="12"/>
        <v>0</v>
      </c>
      <c r="AF44" s="52" t="e">
        <f t="shared" si="10"/>
        <v>#DIV/0!</v>
      </c>
      <c r="AG44" s="50">
        <f t="shared" si="11"/>
        <v>0</v>
      </c>
    </row>
    <row r="45" spans="1:33" ht="25" x14ac:dyDescent="0.35">
      <c r="A45" s="117" t="s">
        <v>335</v>
      </c>
      <c r="B45" s="117" t="s">
        <v>335</v>
      </c>
      <c r="C45" s="58" t="s">
        <v>329</v>
      </c>
      <c r="D45" s="21">
        <v>25</v>
      </c>
      <c r="E45" s="21">
        <v>300</v>
      </c>
      <c r="F45" s="35">
        <v>5</v>
      </c>
      <c r="G45" s="35">
        <v>35</v>
      </c>
      <c r="H45" s="53" t="s">
        <v>336</v>
      </c>
      <c r="I45" s="118" t="s">
        <v>337</v>
      </c>
      <c r="J45" s="119">
        <v>3917.4</v>
      </c>
      <c r="K45" s="43"/>
      <c r="L45" s="43">
        <f t="shared" si="0"/>
        <v>0</v>
      </c>
      <c r="M45" s="44">
        <f t="shared" si="1"/>
        <v>0</v>
      </c>
      <c r="O45" s="61">
        <v>13.7</v>
      </c>
      <c r="P45" s="61">
        <v>14.7</v>
      </c>
      <c r="Q45" s="62">
        <f t="shared" si="2"/>
        <v>0</v>
      </c>
      <c r="R45" s="62">
        <f t="shared" si="3"/>
        <v>0</v>
      </c>
      <c r="T45" s="35">
        <f t="shared" si="4"/>
        <v>7</v>
      </c>
      <c r="U45" s="35">
        <f t="shared" si="13"/>
        <v>35</v>
      </c>
      <c r="V45" s="54">
        <f t="shared" si="14"/>
        <v>46.2</v>
      </c>
      <c r="W45" s="35">
        <f t="shared" si="15"/>
        <v>0</v>
      </c>
      <c r="X45" s="35">
        <v>144</v>
      </c>
      <c r="Y45" s="43">
        <f t="shared" si="16"/>
        <v>0</v>
      </c>
      <c r="AA45" s="49"/>
      <c r="AB45" s="50">
        <f t="shared" si="9"/>
        <v>0</v>
      </c>
      <c r="AD45" s="120"/>
      <c r="AE45" s="120">
        <f t="shared" si="12"/>
        <v>0</v>
      </c>
      <c r="AF45" s="52" t="e">
        <f t="shared" si="10"/>
        <v>#DIV/0!</v>
      </c>
      <c r="AG45" s="50">
        <f t="shared" si="11"/>
        <v>0</v>
      </c>
    </row>
    <row r="46" spans="1:33" ht="13" x14ac:dyDescent="0.35">
      <c r="A46" s="93"/>
      <c r="B46" s="93"/>
      <c r="C46" s="93"/>
      <c r="D46" s="94"/>
      <c r="E46" s="94"/>
      <c r="F46" s="95"/>
      <c r="G46" s="95"/>
      <c r="H46" s="96"/>
      <c r="I46" s="20" t="s">
        <v>78</v>
      </c>
      <c r="J46" s="20"/>
      <c r="K46" s="20">
        <f>SUBTOTAL(9,K3:K45)</f>
        <v>0</v>
      </c>
      <c r="L46" s="20">
        <f>SUBTOTAL(9,L3:L45)</f>
        <v>0</v>
      </c>
      <c r="M46" s="66">
        <f>SUBTOTAL(9,M3:M45)</f>
        <v>0</v>
      </c>
      <c r="Q46" s="97">
        <f>SUBTOTAL(9,Q3:Q45)</f>
        <v>0</v>
      </c>
      <c r="R46" s="97">
        <f>SUBTOTAL(9,R3:R45)</f>
        <v>0</v>
      </c>
      <c r="T46" s="122" t="s">
        <v>78</v>
      </c>
      <c r="U46" s="123"/>
      <c r="V46" s="124"/>
      <c r="W46" s="21">
        <f>SUBTOTAL(9,W3:W45)</f>
        <v>0</v>
      </c>
      <c r="X46" s="82"/>
      <c r="Y46" s="20">
        <f>SUM(Y3:Y45)</f>
        <v>0</v>
      </c>
      <c r="AA46" s="37"/>
      <c r="AB46" s="37">
        <f>SUBTOTAL(9,AB3:AB45)</f>
        <v>0</v>
      </c>
      <c r="AD46" s="120"/>
      <c r="AE46" s="125">
        <f>SUBTOTAL(9,AE3:AE45)</f>
        <v>0</v>
      </c>
      <c r="AF46" s="137"/>
      <c r="AG46" s="100">
        <f>SUBTOTAL(9,AG3:AG45)</f>
        <v>0</v>
      </c>
    </row>
  </sheetData>
  <mergeCells count="11">
    <mergeCell ref="AD1:AE1"/>
    <mergeCell ref="AF1:AG1"/>
    <mergeCell ref="T46:V46"/>
    <mergeCell ref="F1:G1"/>
    <mergeCell ref="K1:L1"/>
    <mergeCell ref="O1:O2"/>
    <mergeCell ref="P1:P2"/>
    <mergeCell ref="Q1:Q2"/>
    <mergeCell ref="R1:R2"/>
    <mergeCell ref="T1:V1"/>
    <mergeCell ref="AA1:AB1"/>
  </mergeCells>
  <pageMargins left="0.5" right="0.5" top="0.5" bottom="0.5" header="0" footer="0"/>
  <pageSetup paperSize="9" scale="1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20669-A138-4ECA-B806-6C48A6E149F5}">
  <sheetPr>
    <pageSetUpPr fitToPage="1"/>
  </sheetPr>
  <dimension ref="A1:AI40"/>
  <sheetViews>
    <sheetView workbookViewId="0"/>
  </sheetViews>
  <sheetFormatPr defaultColWidth="9.1796875" defaultRowHeight="12.5" x14ac:dyDescent="0.35"/>
  <cols>
    <col min="1" max="1" width="11.26953125" style="18" bestFit="1" customWidth="1"/>
    <col min="2" max="2" width="11.26953125" style="18" customWidth="1"/>
    <col min="3" max="3" width="5.1796875" style="18" bestFit="1" customWidth="1"/>
    <col min="4" max="4" width="6" style="80" bestFit="1" customWidth="1"/>
    <col min="5" max="5" width="6.26953125" style="80" bestFit="1" customWidth="1"/>
    <col min="6" max="6" width="32.7265625" style="18" bestFit="1" customWidth="1"/>
    <col min="7" max="7" width="14.1796875" style="18" bestFit="1" customWidth="1"/>
    <col min="8" max="8" width="14.1796875" style="18" customWidth="1"/>
    <col min="9" max="9" width="9.1796875" style="18"/>
    <col min="10" max="11" width="9.26953125" style="18" bestFit="1" customWidth="1"/>
    <col min="12" max="24" width="9.1796875" style="18"/>
    <col min="25" max="25" width="10" style="18" bestFit="1" customWidth="1"/>
    <col min="26" max="26" width="9.26953125" style="18" bestFit="1" customWidth="1"/>
    <col min="27" max="16384" width="9.1796875" style="18"/>
  </cols>
  <sheetData>
    <row r="1" spans="1:31" ht="20.25" customHeight="1" x14ac:dyDescent="0.35">
      <c r="A1" s="21" t="s">
        <v>164</v>
      </c>
      <c r="B1" s="21" t="s">
        <v>56</v>
      </c>
      <c r="C1" s="21" t="s">
        <v>165</v>
      </c>
      <c r="D1" s="22" t="s">
        <v>166</v>
      </c>
      <c r="E1" s="23"/>
      <c r="F1" s="21" t="s">
        <v>59</v>
      </c>
      <c r="G1" s="21" t="s">
        <v>167</v>
      </c>
      <c r="H1" s="21" t="s">
        <v>61</v>
      </c>
      <c r="I1" s="29" t="s">
        <v>168</v>
      </c>
      <c r="J1" s="29"/>
      <c r="K1" s="21" t="s">
        <v>169</v>
      </c>
      <c r="M1" s="26" t="s">
        <v>64</v>
      </c>
      <c r="N1" s="26" t="s">
        <v>65</v>
      </c>
      <c r="O1" s="27" t="s">
        <v>66</v>
      </c>
      <c r="P1" s="27" t="s">
        <v>67</v>
      </c>
      <c r="R1" s="22" t="s">
        <v>170</v>
      </c>
      <c r="S1" s="81"/>
      <c r="T1" s="23"/>
      <c r="U1" s="21" t="s">
        <v>171</v>
      </c>
      <c r="V1" s="21" t="s">
        <v>69</v>
      </c>
      <c r="W1" s="21" t="s">
        <v>172</v>
      </c>
      <c r="Y1" s="29" t="s">
        <v>71</v>
      </c>
      <c r="Z1" s="29"/>
      <c r="AB1" s="29" t="s">
        <v>72</v>
      </c>
      <c r="AC1" s="29"/>
      <c r="AD1" s="29" t="s">
        <v>73</v>
      </c>
      <c r="AE1" s="29"/>
    </row>
    <row r="2" spans="1:31" ht="20.25" customHeight="1" x14ac:dyDescent="0.35">
      <c r="A2" s="43"/>
      <c r="B2" s="35"/>
      <c r="C2" s="21" t="s">
        <v>74</v>
      </c>
      <c r="D2" s="21" t="s">
        <v>173</v>
      </c>
      <c r="E2" s="21" t="s">
        <v>76</v>
      </c>
      <c r="F2" s="82"/>
      <c r="G2" s="21"/>
      <c r="H2" s="21"/>
      <c r="I2" s="21" t="s">
        <v>174</v>
      </c>
      <c r="J2" s="21" t="s">
        <v>175</v>
      </c>
      <c r="K2" s="43"/>
      <c r="M2" s="26"/>
      <c r="N2" s="26"/>
      <c r="O2" s="27"/>
      <c r="P2" s="27"/>
      <c r="R2" s="21" t="s">
        <v>176</v>
      </c>
      <c r="S2" s="21" t="s">
        <v>177</v>
      </c>
      <c r="T2" s="21" t="s">
        <v>178</v>
      </c>
      <c r="U2" s="35"/>
      <c r="V2" s="35"/>
      <c r="W2" s="21" t="s">
        <v>179</v>
      </c>
      <c r="Y2" s="21" t="s">
        <v>75</v>
      </c>
      <c r="Z2" s="21" t="s">
        <v>178</v>
      </c>
      <c r="AB2" s="21" t="s">
        <v>180</v>
      </c>
      <c r="AC2" s="21" t="s">
        <v>178</v>
      </c>
      <c r="AD2" s="83" t="s">
        <v>84</v>
      </c>
      <c r="AE2" s="84"/>
    </row>
    <row r="3" spans="1:31" x14ac:dyDescent="0.25">
      <c r="A3" s="38" t="s">
        <v>181</v>
      </c>
      <c r="B3" s="39" t="s">
        <v>86</v>
      </c>
      <c r="C3" s="48">
        <v>40</v>
      </c>
      <c r="D3" s="35">
        <v>10</v>
      </c>
      <c r="E3" s="35">
        <v>400</v>
      </c>
      <c r="F3" s="53" t="s">
        <v>182</v>
      </c>
      <c r="G3" s="41">
        <v>9319696100408</v>
      </c>
      <c r="H3" s="42">
        <v>3917.4</v>
      </c>
      <c r="I3" s="43"/>
      <c r="J3" s="43">
        <f t="shared" ref="J3:J39" si="0">I3/E3</f>
        <v>0</v>
      </c>
      <c r="K3" s="44">
        <f t="shared" ref="K3:K39" si="1">J3*0.06</f>
        <v>0</v>
      </c>
      <c r="M3" s="46">
        <v>17.100000000000001</v>
      </c>
      <c r="N3" s="46">
        <v>18.2</v>
      </c>
      <c r="O3" s="47">
        <f t="shared" ref="O3:O39" si="2">M3*J3</f>
        <v>0</v>
      </c>
      <c r="P3" s="47">
        <f t="shared" ref="P3:P39" si="3">N3*J3</f>
        <v>0</v>
      </c>
      <c r="R3" s="35">
        <f t="shared" ref="R3:R39" si="4">$E3/$D3</f>
        <v>40</v>
      </c>
      <c r="S3" s="35">
        <f t="shared" ref="S3:S39" si="5">$E3</f>
        <v>400</v>
      </c>
      <c r="T3" s="54">
        <f t="shared" ref="T3:T39" si="6">ROUND(SUM(R3:S3)*1.1,)</f>
        <v>484</v>
      </c>
      <c r="U3" s="43">
        <f t="shared" ref="U3:U39" si="7">$J3*T3</f>
        <v>0</v>
      </c>
      <c r="V3" s="48">
        <v>184</v>
      </c>
      <c r="W3" s="43">
        <f t="shared" ref="W3:W39" si="8">ROUNDUP(U3/V3,)</f>
        <v>0</v>
      </c>
      <c r="Y3" s="49">
        <v>19.399999999999999</v>
      </c>
      <c r="Z3" s="50">
        <f t="shared" ref="Z3:Z39" si="9">$I3*Y3</f>
        <v>0</v>
      </c>
      <c r="AB3" s="51">
        <v>31.2</v>
      </c>
      <c r="AC3" s="51">
        <f>I3*AB3/100</f>
        <v>0</v>
      </c>
      <c r="AD3" s="52" t="e">
        <f t="shared" ref="AD3:AD39" si="10">AE3/I3</f>
        <v>#DIV/0!</v>
      </c>
      <c r="AE3" s="50">
        <f t="shared" ref="AE3:AE39" si="11">AC3*$AE$2</f>
        <v>0</v>
      </c>
    </row>
    <row r="4" spans="1:31" x14ac:dyDescent="0.25">
      <c r="A4" s="38" t="s">
        <v>183</v>
      </c>
      <c r="B4" s="39" t="s">
        <v>86</v>
      </c>
      <c r="C4" s="48">
        <v>15</v>
      </c>
      <c r="D4" s="35">
        <v>10</v>
      </c>
      <c r="E4" s="35">
        <v>800</v>
      </c>
      <c r="F4" s="53" t="s">
        <v>184</v>
      </c>
      <c r="G4" s="41">
        <v>9319696300150</v>
      </c>
      <c r="H4" s="42">
        <v>3917.4</v>
      </c>
      <c r="I4" s="43"/>
      <c r="J4" s="43">
        <f t="shared" si="0"/>
        <v>0</v>
      </c>
      <c r="K4" s="44">
        <f t="shared" si="1"/>
        <v>0</v>
      </c>
      <c r="M4" s="46">
        <v>16.8</v>
      </c>
      <c r="N4" s="46">
        <v>18.5</v>
      </c>
      <c r="O4" s="47">
        <f t="shared" si="2"/>
        <v>0</v>
      </c>
      <c r="P4" s="47">
        <f t="shared" si="3"/>
        <v>0</v>
      </c>
      <c r="R4" s="35">
        <f t="shared" si="4"/>
        <v>80</v>
      </c>
      <c r="S4" s="35">
        <f t="shared" si="5"/>
        <v>800</v>
      </c>
      <c r="T4" s="54">
        <f t="shared" ref="T4" si="12">ROUND(SUM(R4:S4)*1.1,)</f>
        <v>968</v>
      </c>
      <c r="U4" s="43">
        <f t="shared" si="7"/>
        <v>0</v>
      </c>
      <c r="V4" s="48">
        <v>184</v>
      </c>
      <c r="W4" s="43">
        <f t="shared" si="8"/>
        <v>0</v>
      </c>
      <c r="Y4" s="49">
        <v>10.35</v>
      </c>
      <c r="Z4" s="50">
        <f t="shared" si="9"/>
        <v>0</v>
      </c>
      <c r="AB4" s="51">
        <v>14.4</v>
      </c>
      <c r="AC4" s="51">
        <f t="shared" ref="AC4:AC39" si="13">I4*AB4/100</f>
        <v>0</v>
      </c>
      <c r="AD4" s="52" t="e">
        <f t="shared" si="10"/>
        <v>#DIV/0!</v>
      </c>
      <c r="AE4" s="50">
        <f t="shared" si="11"/>
        <v>0</v>
      </c>
    </row>
    <row r="5" spans="1:31" x14ac:dyDescent="0.25">
      <c r="A5" s="38" t="s">
        <v>185</v>
      </c>
      <c r="B5" s="39" t="s">
        <v>86</v>
      </c>
      <c r="C5" s="48">
        <v>20</v>
      </c>
      <c r="D5" s="35">
        <v>10</v>
      </c>
      <c r="E5" s="35">
        <v>550</v>
      </c>
      <c r="F5" s="53" t="s">
        <v>186</v>
      </c>
      <c r="G5" s="41">
        <v>9319696300204</v>
      </c>
      <c r="H5" s="42">
        <v>3917.4</v>
      </c>
      <c r="I5" s="43"/>
      <c r="J5" s="43">
        <f t="shared" si="0"/>
        <v>0</v>
      </c>
      <c r="K5" s="44">
        <f t="shared" si="1"/>
        <v>0</v>
      </c>
      <c r="M5" s="46">
        <v>19.25</v>
      </c>
      <c r="N5" s="46">
        <v>20.5</v>
      </c>
      <c r="O5" s="47">
        <f t="shared" si="2"/>
        <v>0</v>
      </c>
      <c r="P5" s="47">
        <f t="shared" si="3"/>
        <v>0</v>
      </c>
      <c r="R5" s="35">
        <f t="shared" si="4"/>
        <v>55</v>
      </c>
      <c r="S5" s="35">
        <f t="shared" si="5"/>
        <v>550</v>
      </c>
      <c r="T5" s="54">
        <f t="shared" si="6"/>
        <v>666</v>
      </c>
      <c r="U5" s="43">
        <f t="shared" si="7"/>
        <v>0</v>
      </c>
      <c r="V5" s="48">
        <v>184</v>
      </c>
      <c r="W5" s="43">
        <f t="shared" si="8"/>
        <v>0</v>
      </c>
      <c r="Y5" s="49">
        <v>17.850000000000001</v>
      </c>
      <c r="Z5" s="50">
        <f t="shared" si="9"/>
        <v>0</v>
      </c>
      <c r="AB5" s="51">
        <v>25.2</v>
      </c>
      <c r="AC5" s="51">
        <f t="shared" si="13"/>
        <v>0</v>
      </c>
      <c r="AD5" s="52" t="e">
        <f t="shared" si="10"/>
        <v>#DIV/0!</v>
      </c>
      <c r="AE5" s="50">
        <f t="shared" si="11"/>
        <v>0</v>
      </c>
    </row>
    <row r="6" spans="1:31" x14ac:dyDescent="0.25">
      <c r="A6" s="38" t="s">
        <v>187</v>
      </c>
      <c r="B6" s="39" t="s">
        <v>86</v>
      </c>
      <c r="C6" s="48">
        <v>25</v>
      </c>
      <c r="D6" s="35">
        <v>10</v>
      </c>
      <c r="E6" s="35">
        <v>300</v>
      </c>
      <c r="F6" s="53" t="s">
        <v>188</v>
      </c>
      <c r="G6" s="41">
        <v>9319696300259</v>
      </c>
      <c r="H6" s="42">
        <v>3917.4</v>
      </c>
      <c r="I6" s="43"/>
      <c r="J6" s="43">
        <f t="shared" si="0"/>
        <v>0</v>
      </c>
      <c r="K6" s="44">
        <f t="shared" si="1"/>
        <v>0</v>
      </c>
      <c r="M6" s="46">
        <v>16.5</v>
      </c>
      <c r="N6" s="46">
        <v>17.7</v>
      </c>
      <c r="O6" s="47">
        <f t="shared" si="2"/>
        <v>0</v>
      </c>
      <c r="P6" s="47">
        <f t="shared" si="3"/>
        <v>0</v>
      </c>
      <c r="R6" s="35">
        <f t="shared" si="4"/>
        <v>30</v>
      </c>
      <c r="S6" s="35">
        <f t="shared" si="5"/>
        <v>300</v>
      </c>
      <c r="T6" s="54">
        <f t="shared" si="6"/>
        <v>363</v>
      </c>
      <c r="U6" s="43">
        <f t="shared" si="7"/>
        <v>0</v>
      </c>
      <c r="V6" s="35">
        <v>276</v>
      </c>
      <c r="W6" s="43">
        <f t="shared" si="8"/>
        <v>0</v>
      </c>
      <c r="Y6" s="49">
        <v>27.55</v>
      </c>
      <c r="Z6" s="50">
        <f t="shared" si="9"/>
        <v>0</v>
      </c>
      <c r="AB6" s="51">
        <v>38.4</v>
      </c>
      <c r="AC6" s="51">
        <f t="shared" si="13"/>
        <v>0</v>
      </c>
      <c r="AD6" s="52" t="e">
        <f t="shared" si="10"/>
        <v>#DIV/0!</v>
      </c>
      <c r="AE6" s="50">
        <f t="shared" si="11"/>
        <v>0</v>
      </c>
    </row>
    <row r="7" spans="1:31" x14ac:dyDescent="0.25">
      <c r="A7" s="38" t="s">
        <v>189</v>
      </c>
      <c r="B7" s="39" t="s">
        <v>86</v>
      </c>
      <c r="C7" s="48">
        <v>32</v>
      </c>
      <c r="D7" s="35">
        <v>10</v>
      </c>
      <c r="E7" s="35">
        <v>180</v>
      </c>
      <c r="F7" s="53" t="s">
        <v>190</v>
      </c>
      <c r="G7" s="41">
        <v>9319696300327</v>
      </c>
      <c r="H7" s="42">
        <v>3917.4</v>
      </c>
      <c r="I7" s="43"/>
      <c r="J7" s="43">
        <f t="shared" si="0"/>
        <v>0</v>
      </c>
      <c r="K7" s="44">
        <f t="shared" si="1"/>
        <v>0</v>
      </c>
      <c r="M7" s="46">
        <v>10.8</v>
      </c>
      <c r="N7" s="46">
        <v>11.8</v>
      </c>
      <c r="O7" s="47">
        <f t="shared" si="2"/>
        <v>0</v>
      </c>
      <c r="P7" s="47">
        <f t="shared" si="3"/>
        <v>0</v>
      </c>
      <c r="R7" s="35">
        <f t="shared" si="4"/>
        <v>18</v>
      </c>
      <c r="S7" s="35">
        <f t="shared" si="5"/>
        <v>180</v>
      </c>
      <c r="T7" s="54">
        <f t="shared" ref="T7" si="14">ROUND(SUM(R7:S7)*1.1,)</f>
        <v>218</v>
      </c>
      <c r="U7" s="43">
        <f t="shared" si="7"/>
        <v>0</v>
      </c>
      <c r="V7" s="35">
        <v>144</v>
      </c>
      <c r="W7" s="43">
        <f t="shared" si="8"/>
        <v>0</v>
      </c>
      <c r="Y7" s="49">
        <v>29.85</v>
      </c>
      <c r="Z7" s="50">
        <f t="shared" si="9"/>
        <v>0</v>
      </c>
      <c r="AB7" s="51">
        <v>49.2</v>
      </c>
      <c r="AC7" s="51">
        <f t="shared" si="13"/>
        <v>0</v>
      </c>
      <c r="AD7" s="52" t="e">
        <f t="shared" si="10"/>
        <v>#DIV/0!</v>
      </c>
      <c r="AE7" s="50">
        <f t="shared" si="11"/>
        <v>0</v>
      </c>
    </row>
    <row r="8" spans="1:31" x14ac:dyDescent="0.25">
      <c r="A8" s="38" t="s">
        <v>191</v>
      </c>
      <c r="B8" s="39" t="s">
        <v>86</v>
      </c>
      <c r="C8" s="48">
        <v>40</v>
      </c>
      <c r="D8" s="35">
        <v>10</v>
      </c>
      <c r="E8" s="35">
        <v>160</v>
      </c>
      <c r="F8" s="53" t="s">
        <v>192</v>
      </c>
      <c r="G8" s="41">
        <v>9319696300402</v>
      </c>
      <c r="H8" s="42">
        <v>3917.4</v>
      </c>
      <c r="I8" s="43"/>
      <c r="J8" s="43">
        <f t="shared" si="0"/>
        <v>0</v>
      </c>
      <c r="K8" s="44">
        <f t="shared" si="1"/>
        <v>0</v>
      </c>
      <c r="M8" s="46">
        <v>14.6</v>
      </c>
      <c r="N8" s="46">
        <v>15.5</v>
      </c>
      <c r="O8" s="47">
        <f t="shared" si="2"/>
        <v>0</v>
      </c>
      <c r="P8" s="47">
        <f t="shared" si="3"/>
        <v>0</v>
      </c>
      <c r="R8" s="35">
        <f t="shared" si="4"/>
        <v>16</v>
      </c>
      <c r="S8" s="35">
        <f t="shared" si="5"/>
        <v>160</v>
      </c>
      <c r="T8" s="54">
        <f t="shared" si="6"/>
        <v>194</v>
      </c>
      <c r="U8" s="43">
        <f t="shared" si="7"/>
        <v>0</v>
      </c>
      <c r="V8" s="35">
        <v>144</v>
      </c>
      <c r="W8" s="43">
        <f t="shared" si="8"/>
        <v>0</v>
      </c>
      <c r="Y8" s="49">
        <v>41.2</v>
      </c>
      <c r="Z8" s="50">
        <f t="shared" si="9"/>
        <v>0</v>
      </c>
      <c r="AB8" s="51">
        <v>57.6</v>
      </c>
      <c r="AC8" s="51">
        <f t="shared" si="13"/>
        <v>0</v>
      </c>
      <c r="AD8" s="52" t="e">
        <f t="shared" si="10"/>
        <v>#DIV/0!</v>
      </c>
      <c r="AE8" s="50">
        <f t="shared" si="11"/>
        <v>0</v>
      </c>
    </row>
    <row r="9" spans="1:31" x14ac:dyDescent="0.25">
      <c r="A9" s="38" t="s">
        <v>193</v>
      </c>
      <c r="B9" s="39" t="s">
        <v>86</v>
      </c>
      <c r="C9" s="48">
        <v>50</v>
      </c>
      <c r="D9" s="35">
        <v>10</v>
      </c>
      <c r="E9" s="35">
        <v>80</v>
      </c>
      <c r="F9" s="53" t="s">
        <v>194</v>
      </c>
      <c r="G9" s="41">
        <v>9319696300501</v>
      </c>
      <c r="H9" s="42">
        <v>3917.4</v>
      </c>
      <c r="I9" s="43"/>
      <c r="J9" s="43">
        <f t="shared" si="0"/>
        <v>0</v>
      </c>
      <c r="K9" s="44">
        <f t="shared" si="1"/>
        <v>0</v>
      </c>
      <c r="M9" s="46">
        <v>10.7</v>
      </c>
      <c r="N9" s="46">
        <v>11.7</v>
      </c>
      <c r="O9" s="47">
        <f t="shared" si="2"/>
        <v>0</v>
      </c>
      <c r="P9" s="47">
        <f t="shared" si="3"/>
        <v>0</v>
      </c>
      <c r="R9" s="35">
        <f t="shared" si="4"/>
        <v>8</v>
      </c>
      <c r="S9" s="35">
        <f t="shared" si="5"/>
        <v>80</v>
      </c>
      <c r="T9" s="54">
        <f t="shared" si="6"/>
        <v>97</v>
      </c>
      <c r="U9" s="43">
        <f t="shared" si="7"/>
        <v>0</v>
      </c>
      <c r="V9" s="35">
        <v>144</v>
      </c>
      <c r="W9" s="43">
        <f t="shared" si="8"/>
        <v>0</v>
      </c>
      <c r="Y9" s="49">
        <v>54.45</v>
      </c>
      <c r="Z9" s="50">
        <f t="shared" si="9"/>
        <v>0</v>
      </c>
      <c r="AB9" s="51">
        <v>90</v>
      </c>
      <c r="AC9" s="51">
        <f t="shared" si="13"/>
        <v>0</v>
      </c>
      <c r="AD9" s="52" t="e">
        <f t="shared" si="10"/>
        <v>#DIV/0!</v>
      </c>
      <c r="AE9" s="50">
        <f t="shared" si="11"/>
        <v>0</v>
      </c>
    </row>
    <row r="10" spans="1:31" x14ac:dyDescent="0.25">
      <c r="A10" s="38" t="s">
        <v>195</v>
      </c>
      <c r="B10" s="39" t="s">
        <v>86</v>
      </c>
      <c r="C10" s="48">
        <v>15</v>
      </c>
      <c r="D10" s="35">
        <v>5</v>
      </c>
      <c r="E10" s="35">
        <v>200</v>
      </c>
      <c r="F10" s="85" t="s">
        <v>196</v>
      </c>
      <c r="G10" s="86" t="s">
        <v>197</v>
      </c>
      <c r="H10" s="42">
        <v>3917.4</v>
      </c>
      <c r="I10" s="43"/>
      <c r="J10" s="43">
        <f t="shared" si="0"/>
        <v>0</v>
      </c>
      <c r="K10" s="44">
        <f t="shared" si="1"/>
        <v>0</v>
      </c>
      <c r="M10" s="46">
        <v>15</v>
      </c>
      <c r="N10" s="46">
        <v>16</v>
      </c>
      <c r="O10" s="47">
        <f t="shared" si="2"/>
        <v>0</v>
      </c>
      <c r="P10" s="47">
        <f t="shared" si="3"/>
        <v>0</v>
      </c>
      <c r="R10" s="35">
        <f t="shared" si="4"/>
        <v>40</v>
      </c>
      <c r="S10" s="35">
        <f t="shared" si="5"/>
        <v>200</v>
      </c>
      <c r="T10" s="54">
        <f t="shared" si="6"/>
        <v>264</v>
      </c>
      <c r="U10" s="43">
        <f t="shared" si="7"/>
        <v>0</v>
      </c>
      <c r="V10" s="48">
        <v>184</v>
      </c>
      <c r="W10" s="43">
        <f t="shared" si="8"/>
        <v>0</v>
      </c>
      <c r="Y10" s="49">
        <v>21.7</v>
      </c>
      <c r="Z10" s="50">
        <f t="shared" si="9"/>
        <v>0</v>
      </c>
      <c r="AB10" s="51">
        <v>34.799999999999997</v>
      </c>
      <c r="AC10" s="51">
        <f t="shared" si="13"/>
        <v>0</v>
      </c>
      <c r="AD10" s="52" t="e">
        <f t="shared" si="10"/>
        <v>#DIV/0!</v>
      </c>
      <c r="AE10" s="50">
        <f t="shared" si="11"/>
        <v>0</v>
      </c>
    </row>
    <row r="11" spans="1:31" x14ac:dyDescent="0.25">
      <c r="A11" s="38" t="s">
        <v>198</v>
      </c>
      <c r="B11" s="39" t="s">
        <v>86</v>
      </c>
      <c r="C11" s="48">
        <v>20</v>
      </c>
      <c r="D11" s="35">
        <v>5</v>
      </c>
      <c r="E11" s="35">
        <v>150</v>
      </c>
      <c r="F11" s="85" t="s">
        <v>199</v>
      </c>
      <c r="G11" s="86" t="s">
        <v>200</v>
      </c>
      <c r="H11" s="42">
        <v>3917.4</v>
      </c>
      <c r="I11" s="43"/>
      <c r="J11" s="43">
        <f t="shared" si="0"/>
        <v>0</v>
      </c>
      <c r="K11" s="44">
        <f t="shared" si="1"/>
        <v>0</v>
      </c>
      <c r="M11" s="46">
        <v>15.8</v>
      </c>
      <c r="N11" s="46">
        <v>16.8</v>
      </c>
      <c r="O11" s="47">
        <f t="shared" si="2"/>
        <v>0</v>
      </c>
      <c r="P11" s="47">
        <f t="shared" si="3"/>
        <v>0</v>
      </c>
      <c r="R11" s="35">
        <f t="shared" si="4"/>
        <v>30</v>
      </c>
      <c r="S11" s="35">
        <f t="shared" si="5"/>
        <v>150</v>
      </c>
      <c r="T11" s="54">
        <f t="shared" si="6"/>
        <v>198</v>
      </c>
      <c r="U11" s="43">
        <f t="shared" si="7"/>
        <v>0</v>
      </c>
      <c r="V11" s="35">
        <v>276</v>
      </c>
      <c r="W11" s="43">
        <f t="shared" si="8"/>
        <v>0</v>
      </c>
      <c r="Y11" s="49">
        <v>28.9</v>
      </c>
      <c r="Z11" s="50">
        <f t="shared" si="9"/>
        <v>0</v>
      </c>
      <c r="AB11" s="51">
        <v>44.4</v>
      </c>
      <c r="AC11" s="51">
        <f t="shared" si="13"/>
        <v>0</v>
      </c>
      <c r="AD11" s="52" t="e">
        <f t="shared" si="10"/>
        <v>#DIV/0!</v>
      </c>
      <c r="AE11" s="50">
        <f t="shared" si="11"/>
        <v>0</v>
      </c>
    </row>
    <row r="12" spans="1:31" x14ac:dyDescent="0.25">
      <c r="A12" s="38" t="s">
        <v>201</v>
      </c>
      <c r="B12" s="39" t="s">
        <v>86</v>
      </c>
      <c r="C12" s="48">
        <v>25</v>
      </c>
      <c r="D12" s="35">
        <v>5</v>
      </c>
      <c r="E12" s="35">
        <v>125</v>
      </c>
      <c r="F12" s="85" t="s">
        <v>202</v>
      </c>
      <c r="G12" s="86" t="s">
        <v>203</v>
      </c>
      <c r="H12" s="42">
        <v>3917.4</v>
      </c>
      <c r="I12" s="43"/>
      <c r="J12" s="43">
        <f t="shared" si="0"/>
        <v>0</v>
      </c>
      <c r="K12" s="44">
        <f t="shared" si="1"/>
        <v>0</v>
      </c>
      <c r="M12" s="46">
        <v>15.6</v>
      </c>
      <c r="N12" s="46">
        <v>16.600000000000001</v>
      </c>
      <c r="O12" s="47">
        <f t="shared" si="2"/>
        <v>0</v>
      </c>
      <c r="P12" s="47">
        <f t="shared" si="3"/>
        <v>0</v>
      </c>
      <c r="R12" s="35">
        <f t="shared" si="4"/>
        <v>25</v>
      </c>
      <c r="S12" s="35">
        <f t="shared" si="5"/>
        <v>125</v>
      </c>
      <c r="T12" s="54">
        <f t="shared" si="6"/>
        <v>165</v>
      </c>
      <c r="U12" s="43">
        <f t="shared" si="7"/>
        <v>0</v>
      </c>
      <c r="V12" s="35">
        <v>276</v>
      </c>
      <c r="W12" s="43">
        <f t="shared" si="8"/>
        <v>0</v>
      </c>
      <c r="Y12" s="49">
        <v>40.5</v>
      </c>
      <c r="Z12" s="50">
        <f t="shared" si="9"/>
        <v>0</v>
      </c>
      <c r="AB12" s="51">
        <v>62.4</v>
      </c>
      <c r="AC12" s="51">
        <f t="shared" si="13"/>
        <v>0</v>
      </c>
      <c r="AD12" s="52" t="e">
        <f t="shared" si="10"/>
        <v>#DIV/0!</v>
      </c>
      <c r="AE12" s="50">
        <f t="shared" si="11"/>
        <v>0</v>
      </c>
    </row>
    <row r="13" spans="1:31" x14ac:dyDescent="0.25">
      <c r="A13" s="38" t="s">
        <v>204</v>
      </c>
      <c r="B13" s="39" t="s">
        <v>86</v>
      </c>
      <c r="C13" s="48">
        <v>32</v>
      </c>
      <c r="D13" s="35">
        <v>5</v>
      </c>
      <c r="E13" s="35">
        <v>90</v>
      </c>
      <c r="F13" s="85" t="s">
        <v>205</v>
      </c>
      <c r="G13" s="86" t="s">
        <v>206</v>
      </c>
      <c r="H13" s="42">
        <v>3917.4</v>
      </c>
      <c r="I13" s="43"/>
      <c r="J13" s="43">
        <f t="shared" si="0"/>
        <v>0</v>
      </c>
      <c r="K13" s="44">
        <f t="shared" si="1"/>
        <v>0</v>
      </c>
      <c r="M13" s="46">
        <v>15</v>
      </c>
      <c r="N13" s="46">
        <v>16</v>
      </c>
      <c r="O13" s="47">
        <f t="shared" si="2"/>
        <v>0</v>
      </c>
      <c r="P13" s="47">
        <f t="shared" si="3"/>
        <v>0</v>
      </c>
      <c r="R13" s="35">
        <f t="shared" si="4"/>
        <v>18</v>
      </c>
      <c r="S13" s="35">
        <f t="shared" si="5"/>
        <v>90</v>
      </c>
      <c r="T13" s="54">
        <f t="shared" si="6"/>
        <v>119</v>
      </c>
      <c r="U13" s="43">
        <f t="shared" si="7"/>
        <v>0</v>
      </c>
      <c r="V13" s="35">
        <v>276</v>
      </c>
      <c r="W13" s="43">
        <f t="shared" si="8"/>
        <v>0</v>
      </c>
      <c r="Y13" s="49">
        <v>80.5</v>
      </c>
      <c r="Z13" s="50">
        <f t="shared" si="9"/>
        <v>0</v>
      </c>
      <c r="AB13" s="51">
        <v>129.6</v>
      </c>
      <c r="AC13" s="51">
        <f t="shared" si="13"/>
        <v>0</v>
      </c>
      <c r="AD13" s="52" t="e">
        <f t="shared" si="10"/>
        <v>#DIV/0!</v>
      </c>
      <c r="AE13" s="50">
        <f t="shared" si="11"/>
        <v>0</v>
      </c>
    </row>
    <row r="14" spans="1:31" x14ac:dyDescent="0.25">
      <c r="A14" s="38" t="s">
        <v>207</v>
      </c>
      <c r="B14" s="39" t="s">
        <v>86</v>
      </c>
      <c r="C14" s="48">
        <v>40</v>
      </c>
      <c r="D14" s="35">
        <v>5</v>
      </c>
      <c r="E14" s="35">
        <v>70</v>
      </c>
      <c r="F14" s="85" t="s">
        <v>208</v>
      </c>
      <c r="G14" s="86" t="s">
        <v>209</v>
      </c>
      <c r="H14" s="42">
        <v>3917.4</v>
      </c>
      <c r="I14" s="43"/>
      <c r="J14" s="43">
        <f t="shared" si="0"/>
        <v>0</v>
      </c>
      <c r="K14" s="44">
        <f t="shared" si="1"/>
        <v>0</v>
      </c>
      <c r="M14" s="46">
        <v>15</v>
      </c>
      <c r="N14" s="46">
        <v>16</v>
      </c>
      <c r="O14" s="47">
        <f t="shared" si="2"/>
        <v>0</v>
      </c>
      <c r="P14" s="47">
        <f t="shared" si="3"/>
        <v>0</v>
      </c>
      <c r="R14" s="35">
        <f t="shared" si="4"/>
        <v>14</v>
      </c>
      <c r="S14" s="35">
        <f t="shared" si="5"/>
        <v>70</v>
      </c>
      <c r="T14" s="54">
        <f t="shared" si="6"/>
        <v>92</v>
      </c>
      <c r="U14" s="43">
        <f t="shared" si="7"/>
        <v>0</v>
      </c>
      <c r="V14" s="35">
        <v>276</v>
      </c>
      <c r="W14" s="43">
        <f t="shared" si="8"/>
        <v>0</v>
      </c>
      <c r="Y14" s="49">
        <v>103.5</v>
      </c>
      <c r="Z14" s="50">
        <f t="shared" si="9"/>
        <v>0</v>
      </c>
      <c r="AB14" s="51">
        <v>165.6</v>
      </c>
      <c r="AC14" s="51">
        <f t="shared" si="13"/>
        <v>0</v>
      </c>
      <c r="AD14" s="52" t="e">
        <f t="shared" si="10"/>
        <v>#DIV/0!</v>
      </c>
      <c r="AE14" s="50">
        <f t="shared" si="11"/>
        <v>0</v>
      </c>
    </row>
    <row r="15" spans="1:31" x14ac:dyDescent="0.25">
      <c r="A15" s="38" t="s">
        <v>210</v>
      </c>
      <c r="B15" s="39" t="s">
        <v>86</v>
      </c>
      <c r="C15" s="48">
        <v>50</v>
      </c>
      <c r="D15" s="35">
        <v>5</v>
      </c>
      <c r="E15" s="35">
        <v>50</v>
      </c>
      <c r="F15" s="85" t="s">
        <v>211</v>
      </c>
      <c r="G15" s="86" t="s">
        <v>212</v>
      </c>
      <c r="H15" s="42">
        <v>3917.4</v>
      </c>
      <c r="I15" s="43"/>
      <c r="J15" s="43">
        <f t="shared" si="0"/>
        <v>0</v>
      </c>
      <c r="K15" s="44">
        <f t="shared" si="1"/>
        <v>0</v>
      </c>
      <c r="M15" s="46">
        <v>14.5</v>
      </c>
      <c r="N15" s="46">
        <v>15.5</v>
      </c>
      <c r="O15" s="47">
        <f t="shared" si="2"/>
        <v>0</v>
      </c>
      <c r="P15" s="47">
        <f t="shared" si="3"/>
        <v>0</v>
      </c>
      <c r="R15" s="35">
        <f t="shared" si="4"/>
        <v>10</v>
      </c>
      <c r="S15" s="35">
        <f t="shared" si="5"/>
        <v>50</v>
      </c>
      <c r="T15" s="54">
        <f t="shared" si="6"/>
        <v>66</v>
      </c>
      <c r="U15" s="43">
        <f t="shared" si="7"/>
        <v>0</v>
      </c>
      <c r="V15" s="35">
        <v>276</v>
      </c>
      <c r="W15" s="43">
        <f t="shared" si="8"/>
        <v>0</v>
      </c>
      <c r="Y15" s="49">
        <v>137.4</v>
      </c>
      <c r="Z15" s="50">
        <f t="shared" si="9"/>
        <v>0</v>
      </c>
      <c r="AB15" s="51">
        <v>214.8</v>
      </c>
      <c r="AC15" s="51">
        <f t="shared" si="13"/>
        <v>0</v>
      </c>
      <c r="AD15" s="52" t="e">
        <f t="shared" si="10"/>
        <v>#DIV/0!</v>
      </c>
      <c r="AE15" s="50">
        <f t="shared" si="11"/>
        <v>0</v>
      </c>
    </row>
    <row r="16" spans="1:31" x14ac:dyDescent="0.25">
      <c r="A16" s="38" t="s">
        <v>96</v>
      </c>
      <c r="B16" s="39" t="s">
        <v>86</v>
      </c>
      <c r="C16" s="48">
        <v>15</v>
      </c>
      <c r="D16" s="35">
        <v>10</v>
      </c>
      <c r="E16" s="35">
        <v>1000</v>
      </c>
      <c r="F16" s="53" t="s">
        <v>97</v>
      </c>
      <c r="G16" s="41">
        <v>9319696110155</v>
      </c>
      <c r="H16" s="42">
        <v>3917.4</v>
      </c>
      <c r="I16" s="43"/>
      <c r="J16" s="43">
        <f t="shared" si="0"/>
        <v>0</v>
      </c>
      <c r="K16" s="44">
        <f t="shared" si="1"/>
        <v>0</v>
      </c>
      <c r="M16" s="46">
        <v>17.100000000000001</v>
      </c>
      <c r="N16" s="46">
        <v>18.5</v>
      </c>
      <c r="O16" s="47">
        <f t="shared" si="2"/>
        <v>0</v>
      </c>
      <c r="P16" s="47">
        <f t="shared" si="3"/>
        <v>0</v>
      </c>
      <c r="R16" s="35">
        <f t="shared" si="4"/>
        <v>100</v>
      </c>
      <c r="S16" s="35">
        <f t="shared" si="5"/>
        <v>1000</v>
      </c>
      <c r="T16" s="54">
        <f t="shared" si="6"/>
        <v>1210</v>
      </c>
      <c r="U16" s="43">
        <f t="shared" si="7"/>
        <v>0</v>
      </c>
      <c r="V16" s="48">
        <v>184</v>
      </c>
      <c r="W16" s="43">
        <f t="shared" si="8"/>
        <v>0</v>
      </c>
      <c r="Y16" s="49">
        <v>17.2</v>
      </c>
      <c r="Z16" s="50">
        <f t="shared" si="9"/>
        <v>0</v>
      </c>
      <c r="AB16" s="51">
        <v>24</v>
      </c>
      <c r="AC16" s="51">
        <f t="shared" si="13"/>
        <v>0</v>
      </c>
      <c r="AD16" s="52" t="e">
        <f t="shared" si="10"/>
        <v>#DIV/0!</v>
      </c>
      <c r="AE16" s="50">
        <f t="shared" si="11"/>
        <v>0</v>
      </c>
    </row>
    <row r="17" spans="1:35" x14ac:dyDescent="0.25">
      <c r="A17" s="38" t="s">
        <v>100</v>
      </c>
      <c r="B17" s="39" t="s">
        <v>86</v>
      </c>
      <c r="C17" s="48">
        <v>25</v>
      </c>
      <c r="D17" s="35">
        <v>10</v>
      </c>
      <c r="E17" s="35">
        <v>350</v>
      </c>
      <c r="F17" s="53" t="s">
        <v>101</v>
      </c>
      <c r="G17" s="41">
        <v>9319696110254</v>
      </c>
      <c r="H17" s="42">
        <v>3917.4</v>
      </c>
      <c r="I17" s="43"/>
      <c r="J17" s="43">
        <f t="shared" si="0"/>
        <v>0</v>
      </c>
      <c r="K17" s="44">
        <f t="shared" si="1"/>
        <v>0</v>
      </c>
      <c r="M17" s="46">
        <v>12.9</v>
      </c>
      <c r="N17" s="46">
        <v>14</v>
      </c>
      <c r="O17" s="47">
        <f t="shared" si="2"/>
        <v>0</v>
      </c>
      <c r="P17" s="47">
        <f t="shared" si="3"/>
        <v>0</v>
      </c>
      <c r="R17" s="35">
        <f t="shared" si="4"/>
        <v>35</v>
      </c>
      <c r="S17" s="35">
        <f t="shared" si="5"/>
        <v>350</v>
      </c>
      <c r="T17" s="54">
        <f t="shared" si="6"/>
        <v>424</v>
      </c>
      <c r="U17" s="43">
        <f t="shared" si="7"/>
        <v>0</v>
      </c>
      <c r="V17" s="35">
        <v>144</v>
      </c>
      <c r="W17" s="43">
        <f t="shared" si="8"/>
        <v>0</v>
      </c>
      <c r="Y17" s="49">
        <v>22.95</v>
      </c>
      <c r="Z17" s="50">
        <f t="shared" si="9"/>
        <v>0</v>
      </c>
      <c r="AB17" s="51">
        <v>33.6</v>
      </c>
      <c r="AC17" s="51">
        <f t="shared" si="13"/>
        <v>0</v>
      </c>
      <c r="AD17" s="52" t="e">
        <f t="shared" si="10"/>
        <v>#DIV/0!</v>
      </c>
      <c r="AE17" s="50">
        <f t="shared" si="11"/>
        <v>0</v>
      </c>
    </row>
    <row r="18" spans="1:35" x14ac:dyDescent="0.25">
      <c r="A18" s="38" t="s">
        <v>213</v>
      </c>
      <c r="B18" s="39" t="s">
        <v>86</v>
      </c>
      <c r="C18" s="48">
        <v>15</v>
      </c>
      <c r="D18" s="35">
        <v>10</v>
      </c>
      <c r="E18" s="35">
        <v>1500</v>
      </c>
      <c r="F18" s="40" t="s">
        <v>214</v>
      </c>
      <c r="G18" s="41">
        <v>9319696120154</v>
      </c>
      <c r="H18" s="42">
        <v>3917.4</v>
      </c>
      <c r="I18" s="43"/>
      <c r="J18" s="43">
        <f t="shared" si="0"/>
        <v>0</v>
      </c>
      <c r="K18" s="44">
        <f t="shared" si="1"/>
        <v>0</v>
      </c>
      <c r="M18" s="46">
        <v>13.5</v>
      </c>
      <c r="N18" s="46">
        <v>15.2</v>
      </c>
      <c r="O18" s="47">
        <f t="shared" si="2"/>
        <v>0</v>
      </c>
      <c r="P18" s="47">
        <f t="shared" si="3"/>
        <v>0</v>
      </c>
      <c r="R18" s="35">
        <f t="shared" si="4"/>
        <v>150</v>
      </c>
      <c r="S18" s="35">
        <f t="shared" si="5"/>
        <v>1500</v>
      </c>
      <c r="T18" s="54">
        <f t="shared" si="6"/>
        <v>1815</v>
      </c>
      <c r="U18" s="43">
        <f t="shared" si="7"/>
        <v>0</v>
      </c>
      <c r="V18" s="48">
        <v>276</v>
      </c>
      <c r="W18" s="43">
        <f t="shared" si="8"/>
        <v>0</v>
      </c>
      <c r="Y18" s="49">
        <v>6.3</v>
      </c>
      <c r="Z18" s="50">
        <f t="shared" si="9"/>
        <v>0</v>
      </c>
      <c r="AB18" s="51">
        <v>9.6</v>
      </c>
      <c r="AC18" s="51">
        <f t="shared" si="13"/>
        <v>0</v>
      </c>
      <c r="AD18" s="52" t="e">
        <f t="shared" si="10"/>
        <v>#DIV/0!</v>
      </c>
      <c r="AE18" s="50">
        <f t="shared" si="11"/>
        <v>0</v>
      </c>
    </row>
    <row r="19" spans="1:35" x14ac:dyDescent="0.25">
      <c r="A19" s="38" t="s">
        <v>215</v>
      </c>
      <c r="B19" s="39" t="s">
        <v>86</v>
      </c>
      <c r="C19" s="48">
        <v>20</v>
      </c>
      <c r="D19" s="35">
        <v>10</v>
      </c>
      <c r="E19" s="35">
        <v>780</v>
      </c>
      <c r="F19" s="53" t="s">
        <v>216</v>
      </c>
      <c r="G19" s="41">
        <v>9319696120208</v>
      </c>
      <c r="H19" s="42">
        <v>3917.4</v>
      </c>
      <c r="I19" s="43"/>
      <c r="J19" s="43">
        <f t="shared" si="0"/>
        <v>0</v>
      </c>
      <c r="K19" s="44">
        <f t="shared" si="1"/>
        <v>0</v>
      </c>
      <c r="M19" s="46">
        <v>12.48</v>
      </c>
      <c r="N19" s="46">
        <v>13.8</v>
      </c>
      <c r="O19" s="47">
        <f t="shared" si="2"/>
        <v>0</v>
      </c>
      <c r="P19" s="47">
        <f t="shared" si="3"/>
        <v>0</v>
      </c>
      <c r="R19" s="35">
        <f t="shared" si="4"/>
        <v>78</v>
      </c>
      <c r="S19" s="35">
        <f t="shared" si="5"/>
        <v>780</v>
      </c>
      <c r="T19" s="54">
        <f t="shared" si="6"/>
        <v>944</v>
      </c>
      <c r="U19" s="43">
        <f t="shared" si="7"/>
        <v>0</v>
      </c>
      <c r="V19" s="35">
        <v>276</v>
      </c>
      <c r="W19" s="43">
        <f t="shared" si="8"/>
        <v>0</v>
      </c>
      <c r="Y19" s="49">
        <v>9.1999999999999993</v>
      </c>
      <c r="Z19" s="50">
        <f t="shared" si="9"/>
        <v>0</v>
      </c>
      <c r="AB19" s="51">
        <v>13.2</v>
      </c>
      <c r="AC19" s="51">
        <f t="shared" si="13"/>
        <v>0</v>
      </c>
      <c r="AD19" s="52" t="e">
        <f t="shared" si="10"/>
        <v>#DIV/0!</v>
      </c>
      <c r="AE19" s="50">
        <f t="shared" si="11"/>
        <v>0</v>
      </c>
    </row>
    <row r="20" spans="1:35" x14ac:dyDescent="0.25">
      <c r="A20" s="38" t="s">
        <v>217</v>
      </c>
      <c r="B20" s="39" t="s">
        <v>86</v>
      </c>
      <c r="C20" s="48">
        <v>25</v>
      </c>
      <c r="D20" s="35">
        <v>10</v>
      </c>
      <c r="E20" s="35">
        <v>550</v>
      </c>
      <c r="F20" s="53" t="s">
        <v>218</v>
      </c>
      <c r="G20" s="41">
        <v>9319696120253</v>
      </c>
      <c r="H20" s="42">
        <v>3917.4</v>
      </c>
      <c r="I20" s="43"/>
      <c r="J20" s="43">
        <f t="shared" si="0"/>
        <v>0</v>
      </c>
      <c r="K20" s="44">
        <f t="shared" si="1"/>
        <v>0</v>
      </c>
      <c r="M20" s="46">
        <v>12.8</v>
      </c>
      <c r="N20" s="46">
        <v>14</v>
      </c>
      <c r="O20" s="47">
        <f t="shared" si="2"/>
        <v>0</v>
      </c>
      <c r="P20" s="47">
        <f t="shared" si="3"/>
        <v>0</v>
      </c>
      <c r="R20" s="35">
        <f t="shared" si="4"/>
        <v>55</v>
      </c>
      <c r="S20" s="35">
        <f t="shared" si="5"/>
        <v>550</v>
      </c>
      <c r="T20" s="54">
        <f t="shared" si="6"/>
        <v>666</v>
      </c>
      <c r="U20" s="43">
        <f t="shared" si="7"/>
        <v>0</v>
      </c>
      <c r="V20" s="35">
        <v>276</v>
      </c>
      <c r="W20" s="43">
        <f t="shared" si="8"/>
        <v>0</v>
      </c>
      <c r="Y20" s="49">
        <v>11.45</v>
      </c>
      <c r="Z20" s="50">
        <f t="shared" si="9"/>
        <v>0</v>
      </c>
      <c r="AB20" s="51">
        <v>15.6</v>
      </c>
      <c r="AC20" s="51">
        <f t="shared" si="13"/>
        <v>0</v>
      </c>
      <c r="AD20" s="52" t="e">
        <f t="shared" si="10"/>
        <v>#DIV/0!</v>
      </c>
      <c r="AE20" s="50">
        <f t="shared" si="11"/>
        <v>0</v>
      </c>
    </row>
    <row r="21" spans="1:35" x14ac:dyDescent="0.25">
      <c r="A21" s="38" t="s">
        <v>219</v>
      </c>
      <c r="B21" s="39" t="s">
        <v>86</v>
      </c>
      <c r="C21" s="48">
        <v>32</v>
      </c>
      <c r="D21" s="35">
        <v>10</v>
      </c>
      <c r="E21" s="35">
        <v>400</v>
      </c>
      <c r="F21" s="53" t="s">
        <v>220</v>
      </c>
      <c r="G21" s="41">
        <v>9319696120321</v>
      </c>
      <c r="H21" s="42">
        <v>3917.4</v>
      </c>
      <c r="I21" s="43"/>
      <c r="J21" s="43">
        <f t="shared" si="0"/>
        <v>0</v>
      </c>
      <c r="K21" s="44">
        <f t="shared" si="1"/>
        <v>0</v>
      </c>
      <c r="M21" s="46">
        <v>13.2</v>
      </c>
      <c r="N21" s="46">
        <v>14.5</v>
      </c>
      <c r="O21" s="47">
        <f t="shared" si="2"/>
        <v>0</v>
      </c>
      <c r="P21" s="47">
        <f t="shared" si="3"/>
        <v>0</v>
      </c>
      <c r="R21" s="35">
        <f t="shared" si="4"/>
        <v>40</v>
      </c>
      <c r="S21" s="35">
        <f t="shared" si="5"/>
        <v>400</v>
      </c>
      <c r="T21" s="54">
        <f t="shared" ref="T21:T22" si="15">ROUND(SUM(R21:S21)*1.1,)</f>
        <v>484</v>
      </c>
      <c r="U21" s="43">
        <f t="shared" si="7"/>
        <v>0</v>
      </c>
      <c r="V21" s="35">
        <v>125</v>
      </c>
      <c r="W21" s="43">
        <f t="shared" si="8"/>
        <v>0</v>
      </c>
      <c r="Y21" s="49">
        <v>17.2</v>
      </c>
      <c r="Z21" s="50">
        <f t="shared" si="9"/>
        <v>0</v>
      </c>
      <c r="AB21" s="51">
        <v>24</v>
      </c>
      <c r="AC21" s="51">
        <f t="shared" si="13"/>
        <v>0</v>
      </c>
      <c r="AD21" s="52" t="e">
        <f t="shared" si="10"/>
        <v>#DIV/0!</v>
      </c>
      <c r="AE21" s="50">
        <f t="shared" si="11"/>
        <v>0</v>
      </c>
    </row>
    <row r="22" spans="1:35" x14ac:dyDescent="0.25">
      <c r="A22" s="38" t="s">
        <v>221</v>
      </c>
      <c r="B22" s="39" t="s">
        <v>86</v>
      </c>
      <c r="C22" s="48">
        <v>40</v>
      </c>
      <c r="D22" s="87">
        <v>10</v>
      </c>
      <c r="E22" s="87">
        <v>230</v>
      </c>
      <c r="F22" s="88" t="s">
        <v>222</v>
      </c>
      <c r="G22" s="89">
        <v>9319696120406</v>
      </c>
      <c r="H22" s="42">
        <v>3917.4</v>
      </c>
      <c r="I22" s="43"/>
      <c r="J22" s="43">
        <f t="shared" si="0"/>
        <v>0</v>
      </c>
      <c r="K22" s="44">
        <f t="shared" si="1"/>
        <v>0</v>
      </c>
      <c r="M22" s="46">
        <v>10.7</v>
      </c>
      <c r="N22" s="46">
        <v>11.7</v>
      </c>
      <c r="O22" s="47">
        <f t="shared" si="2"/>
        <v>0</v>
      </c>
      <c r="P22" s="47">
        <f t="shared" si="3"/>
        <v>0</v>
      </c>
      <c r="R22" s="35">
        <f t="shared" si="4"/>
        <v>23</v>
      </c>
      <c r="S22" s="35">
        <f t="shared" si="5"/>
        <v>230</v>
      </c>
      <c r="T22" s="54">
        <f t="shared" si="15"/>
        <v>278</v>
      </c>
      <c r="U22" s="43">
        <f t="shared" si="7"/>
        <v>0</v>
      </c>
      <c r="V22" s="35">
        <v>276</v>
      </c>
      <c r="W22" s="43">
        <f t="shared" si="8"/>
        <v>0</v>
      </c>
      <c r="Y22" s="49">
        <v>22.95</v>
      </c>
      <c r="Z22" s="50">
        <f t="shared" si="9"/>
        <v>0</v>
      </c>
      <c r="AB22" s="51">
        <v>34.799999999999997</v>
      </c>
      <c r="AC22" s="51">
        <f t="shared" si="13"/>
        <v>0</v>
      </c>
      <c r="AD22" s="52" t="e">
        <f t="shared" si="10"/>
        <v>#DIV/0!</v>
      </c>
      <c r="AE22" s="50">
        <f t="shared" si="11"/>
        <v>0</v>
      </c>
    </row>
    <row r="23" spans="1:35" x14ac:dyDescent="0.25">
      <c r="A23" s="38" t="s">
        <v>223</v>
      </c>
      <c r="B23" s="39" t="s">
        <v>86</v>
      </c>
      <c r="C23" s="48">
        <v>50</v>
      </c>
      <c r="D23" s="35">
        <v>10</v>
      </c>
      <c r="E23" s="35">
        <v>130</v>
      </c>
      <c r="F23" s="53" t="s">
        <v>224</v>
      </c>
      <c r="G23" s="41">
        <v>9319696120505</v>
      </c>
      <c r="H23" s="42">
        <v>3917.4</v>
      </c>
      <c r="I23" s="43"/>
      <c r="J23" s="43">
        <f t="shared" si="0"/>
        <v>0</v>
      </c>
      <c r="K23" s="44">
        <f t="shared" si="1"/>
        <v>0</v>
      </c>
      <c r="M23" s="46">
        <v>9.5</v>
      </c>
      <c r="N23" s="46">
        <v>10.5</v>
      </c>
      <c r="O23" s="47">
        <f t="shared" si="2"/>
        <v>0</v>
      </c>
      <c r="P23" s="47">
        <f t="shared" si="3"/>
        <v>0</v>
      </c>
      <c r="R23" s="35">
        <f t="shared" si="4"/>
        <v>13</v>
      </c>
      <c r="S23" s="35">
        <f t="shared" si="5"/>
        <v>130</v>
      </c>
      <c r="T23" s="54">
        <f t="shared" si="6"/>
        <v>157</v>
      </c>
      <c r="U23" s="43">
        <f t="shared" si="7"/>
        <v>0</v>
      </c>
      <c r="V23" s="35">
        <v>144</v>
      </c>
      <c r="W23" s="43">
        <f t="shared" si="8"/>
        <v>0</v>
      </c>
      <c r="Y23" s="49">
        <v>34.450000000000003</v>
      </c>
      <c r="Z23" s="50">
        <f t="shared" si="9"/>
        <v>0</v>
      </c>
      <c r="AB23" s="51">
        <v>51.6</v>
      </c>
      <c r="AC23" s="51">
        <f t="shared" si="13"/>
        <v>0</v>
      </c>
      <c r="AD23" s="52" t="e">
        <f t="shared" si="10"/>
        <v>#DIV/0!</v>
      </c>
      <c r="AE23" s="50">
        <f t="shared" si="11"/>
        <v>0</v>
      </c>
    </row>
    <row r="24" spans="1:35" x14ac:dyDescent="0.25">
      <c r="A24" s="38" t="s">
        <v>225</v>
      </c>
      <c r="B24" s="39" t="s">
        <v>86</v>
      </c>
      <c r="C24" s="48">
        <v>15</v>
      </c>
      <c r="D24" s="35">
        <v>10</v>
      </c>
      <c r="E24" s="35">
        <v>1900</v>
      </c>
      <c r="F24" s="53" t="s">
        <v>226</v>
      </c>
      <c r="G24" s="41">
        <v>9319696400157</v>
      </c>
      <c r="H24" s="42">
        <v>3917.4</v>
      </c>
      <c r="I24" s="43"/>
      <c r="J24" s="43">
        <f t="shared" si="0"/>
        <v>0</v>
      </c>
      <c r="K24" s="44">
        <f t="shared" si="1"/>
        <v>0</v>
      </c>
      <c r="M24" s="46">
        <v>17.100000000000001</v>
      </c>
      <c r="N24" s="46">
        <v>18.2</v>
      </c>
      <c r="O24" s="47">
        <f t="shared" si="2"/>
        <v>0</v>
      </c>
      <c r="P24" s="47">
        <f t="shared" si="3"/>
        <v>0</v>
      </c>
      <c r="R24" s="35">
        <f t="shared" si="4"/>
        <v>190</v>
      </c>
      <c r="S24" s="35">
        <f t="shared" si="5"/>
        <v>1900</v>
      </c>
      <c r="T24" s="54">
        <f t="shared" si="6"/>
        <v>2299</v>
      </c>
      <c r="U24" s="43">
        <f t="shared" si="7"/>
        <v>0</v>
      </c>
      <c r="V24" s="48">
        <v>184</v>
      </c>
      <c r="W24" s="43">
        <f t="shared" si="8"/>
        <v>0</v>
      </c>
      <c r="Y24" s="49">
        <v>6.3</v>
      </c>
      <c r="Z24" s="50">
        <f t="shared" si="9"/>
        <v>0</v>
      </c>
      <c r="AB24" s="51">
        <v>10.8</v>
      </c>
      <c r="AC24" s="51">
        <f t="shared" si="13"/>
        <v>0</v>
      </c>
      <c r="AD24" s="52" t="e">
        <f t="shared" si="10"/>
        <v>#DIV/0!</v>
      </c>
      <c r="AE24" s="50">
        <f t="shared" si="11"/>
        <v>0</v>
      </c>
      <c r="AH24" s="90"/>
      <c r="AI24" s="91"/>
    </row>
    <row r="25" spans="1:35" x14ac:dyDescent="0.25">
      <c r="A25" s="38" t="s">
        <v>227</v>
      </c>
      <c r="B25" s="39" t="s">
        <v>86</v>
      </c>
      <c r="C25" s="48">
        <v>20</v>
      </c>
      <c r="D25" s="35">
        <v>10</v>
      </c>
      <c r="E25" s="35">
        <v>890</v>
      </c>
      <c r="F25" s="53" t="s">
        <v>228</v>
      </c>
      <c r="G25" s="41">
        <v>9319696400201</v>
      </c>
      <c r="H25" s="42">
        <v>3917.4</v>
      </c>
      <c r="I25" s="43"/>
      <c r="J25" s="43">
        <f t="shared" si="0"/>
        <v>0</v>
      </c>
      <c r="K25" s="44">
        <f t="shared" si="1"/>
        <v>0</v>
      </c>
      <c r="M25" s="46">
        <v>11.9</v>
      </c>
      <c r="N25" s="46">
        <v>13.3</v>
      </c>
      <c r="O25" s="47">
        <f t="shared" si="2"/>
        <v>0</v>
      </c>
      <c r="P25" s="47">
        <f t="shared" si="3"/>
        <v>0</v>
      </c>
      <c r="R25" s="35">
        <f t="shared" si="4"/>
        <v>89</v>
      </c>
      <c r="S25" s="35">
        <f t="shared" si="5"/>
        <v>890</v>
      </c>
      <c r="T25" s="54">
        <f t="shared" si="6"/>
        <v>1077</v>
      </c>
      <c r="U25" s="43">
        <f t="shared" si="7"/>
        <v>0</v>
      </c>
      <c r="V25" s="48">
        <v>184</v>
      </c>
      <c r="W25" s="43">
        <f t="shared" si="8"/>
        <v>0</v>
      </c>
      <c r="Y25" s="49">
        <v>7.5</v>
      </c>
      <c r="Z25" s="50">
        <f t="shared" si="9"/>
        <v>0</v>
      </c>
      <c r="AB25" s="51">
        <v>12</v>
      </c>
      <c r="AC25" s="51">
        <f t="shared" si="13"/>
        <v>0</v>
      </c>
      <c r="AD25" s="52" t="e">
        <f t="shared" si="10"/>
        <v>#DIV/0!</v>
      </c>
      <c r="AE25" s="50">
        <f t="shared" si="11"/>
        <v>0</v>
      </c>
      <c r="AH25" s="90"/>
      <c r="AI25" s="91"/>
    </row>
    <row r="26" spans="1:35" x14ac:dyDescent="0.25">
      <c r="A26" s="38" t="s">
        <v>229</v>
      </c>
      <c r="B26" s="39" t="s">
        <v>86</v>
      </c>
      <c r="C26" s="48">
        <v>25</v>
      </c>
      <c r="D26" s="35">
        <v>10</v>
      </c>
      <c r="E26" s="35">
        <v>600</v>
      </c>
      <c r="F26" s="53" t="s">
        <v>230</v>
      </c>
      <c r="G26" s="41">
        <v>9319696400256</v>
      </c>
      <c r="H26" s="42">
        <v>3917.4</v>
      </c>
      <c r="I26" s="43"/>
      <c r="J26" s="43">
        <f t="shared" si="0"/>
        <v>0</v>
      </c>
      <c r="K26" s="44">
        <f t="shared" si="1"/>
        <v>0</v>
      </c>
      <c r="M26" s="46">
        <v>15.6</v>
      </c>
      <c r="N26" s="46">
        <v>17</v>
      </c>
      <c r="O26" s="47">
        <f t="shared" si="2"/>
        <v>0</v>
      </c>
      <c r="P26" s="47">
        <f t="shared" si="3"/>
        <v>0</v>
      </c>
      <c r="R26" s="35">
        <f t="shared" si="4"/>
        <v>60</v>
      </c>
      <c r="S26" s="35">
        <f t="shared" si="5"/>
        <v>600</v>
      </c>
      <c r="T26" s="54">
        <f t="shared" si="6"/>
        <v>726</v>
      </c>
      <c r="U26" s="43">
        <f t="shared" si="7"/>
        <v>0</v>
      </c>
      <c r="V26" s="48">
        <v>184</v>
      </c>
      <c r="W26" s="43">
        <f t="shared" si="8"/>
        <v>0</v>
      </c>
      <c r="Y26" s="49">
        <v>11.5</v>
      </c>
      <c r="Z26" s="50">
        <f t="shared" si="9"/>
        <v>0</v>
      </c>
      <c r="AB26" s="51">
        <v>19.2</v>
      </c>
      <c r="AC26" s="51">
        <f t="shared" si="13"/>
        <v>0</v>
      </c>
      <c r="AD26" s="52" t="e">
        <f t="shared" si="10"/>
        <v>#DIV/0!</v>
      </c>
      <c r="AE26" s="50">
        <f t="shared" si="11"/>
        <v>0</v>
      </c>
      <c r="AH26" s="90"/>
      <c r="AI26" s="91"/>
    </row>
    <row r="27" spans="1:35" x14ac:dyDescent="0.25">
      <c r="A27" s="38" t="s">
        <v>231</v>
      </c>
      <c r="B27" s="39" t="s">
        <v>86</v>
      </c>
      <c r="C27" s="48">
        <v>32</v>
      </c>
      <c r="D27" s="35">
        <v>10</v>
      </c>
      <c r="E27" s="35">
        <v>400</v>
      </c>
      <c r="F27" s="53" t="s">
        <v>232</v>
      </c>
      <c r="G27" s="41">
        <v>9319696400324</v>
      </c>
      <c r="H27" s="42">
        <v>3917.4</v>
      </c>
      <c r="I27" s="43"/>
      <c r="J27" s="43">
        <f t="shared" si="0"/>
        <v>0</v>
      </c>
      <c r="K27" s="44">
        <f t="shared" si="1"/>
        <v>0</v>
      </c>
      <c r="M27" s="46">
        <v>12.8</v>
      </c>
      <c r="N27" s="46">
        <v>14</v>
      </c>
      <c r="O27" s="47">
        <f t="shared" si="2"/>
        <v>0</v>
      </c>
      <c r="P27" s="47">
        <f t="shared" si="3"/>
        <v>0</v>
      </c>
      <c r="R27" s="35">
        <f t="shared" si="4"/>
        <v>40</v>
      </c>
      <c r="S27" s="35">
        <f t="shared" si="5"/>
        <v>400</v>
      </c>
      <c r="T27" s="54">
        <f t="shared" si="6"/>
        <v>484</v>
      </c>
      <c r="U27" s="43">
        <f t="shared" si="7"/>
        <v>0</v>
      </c>
      <c r="V27" s="35">
        <v>144</v>
      </c>
      <c r="W27" s="43">
        <f t="shared" si="8"/>
        <v>0</v>
      </c>
      <c r="Y27" s="49">
        <v>13.75</v>
      </c>
      <c r="Z27" s="50">
        <f t="shared" si="9"/>
        <v>0</v>
      </c>
      <c r="AB27" s="51">
        <v>22.8</v>
      </c>
      <c r="AC27" s="51">
        <f t="shared" si="13"/>
        <v>0</v>
      </c>
      <c r="AD27" s="52" t="e">
        <f t="shared" si="10"/>
        <v>#DIV/0!</v>
      </c>
      <c r="AE27" s="50">
        <f t="shared" si="11"/>
        <v>0</v>
      </c>
      <c r="AH27" s="90"/>
      <c r="AI27" s="91"/>
    </row>
    <row r="28" spans="1:35" x14ac:dyDescent="0.25">
      <c r="A28" s="38" t="s">
        <v>233</v>
      </c>
      <c r="B28" s="39" t="s">
        <v>86</v>
      </c>
      <c r="C28" s="48">
        <v>40</v>
      </c>
      <c r="D28" s="35">
        <v>10</v>
      </c>
      <c r="E28" s="35">
        <v>300</v>
      </c>
      <c r="F28" s="53" t="s">
        <v>234</v>
      </c>
      <c r="G28" s="41">
        <v>9319696400409</v>
      </c>
      <c r="H28" s="42">
        <v>3917.4</v>
      </c>
      <c r="I28" s="43"/>
      <c r="J28" s="43">
        <f t="shared" si="0"/>
        <v>0</v>
      </c>
      <c r="K28" s="44">
        <f t="shared" si="1"/>
        <v>0</v>
      </c>
      <c r="M28" s="46">
        <v>12.9</v>
      </c>
      <c r="N28" s="46">
        <v>14</v>
      </c>
      <c r="O28" s="47">
        <f t="shared" si="2"/>
        <v>0</v>
      </c>
      <c r="P28" s="47">
        <f t="shared" si="3"/>
        <v>0</v>
      </c>
      <c r="R28" s="35">
        <f t="shared" si="4"/>
        <v>30</v>
      </c>
      <c r="S28" s="35">
        <f t="shared" si="5"/>
        <v>300</v>
      </c>
      <c r="T28" s="54">
        <f t="shared" si="6"/>
        <v>363</v>
      </c>
      <c r="U28" s="43">
        <f t="shared" si="7"/>
        <v>0</v>
      </c>
      <c r="V28" s="35">
        <v>144</v>
      </c>
      <c r="W28" s="43">
        <f t="shared" si="8"/>
        <v>0</v>
      </c>
      <c r="Y28" s="49">
        <v>18.350000000000001</v>
      </c>
      <c r="Z28" s="50">
        <f t="shared" si="9"/>
        <v>0</v>
      </c>
      <c r="AB28" s="51">
        <v>30</v>
      </c>
      <c r="AC28" s="51">
        <f t="shared" si="13"/>
        <v>0</v>
      </c>
      <c r="AD28" s="52" t="e">
        <f t="shared" si="10"/>
        <v>#DIV/0!</v>
      </c>
      <c r="AE28" s="50">
        <f t="shared" si="11"/>
        <v>0</v>
      </c>
      <c r="AH28" s="90"/>
      <c r="AI28" s="91"/>
    </row>
    <row r="29" spans="1:35" x14ac:dyDescent="0.25">
      <c r="A29" s="38" t="s">
        <v>235</v>
      </c>
      <c r="B29" s="39" t="s">
        <v>86</v>
      </c>
      <c r="C29" s="48">
        <v>50</v>
      </c>
      <c r="D29" s="35">
        <v>10</v>
      </c>
      <c r="E29" s="35">
        <v>160</v>
      </c>
      <c r="F29" s="53" t="s">
        <v>236</v>
      </c>
      <c r="G29" s="41">
        <v>9319696400508</v>
      </c>
      <c r="H29" s="42">
        <v>3917.4</v>
      </c>
      <c r="I29" s="43"/>
      <c r="J29" s="43">
        <f t="shared" si="0"/>
        <v>0</v>
      </c>
      <c r="K29" s="44">
        <f t="shared" si="1"/>
        <v>0</v>
      </c>
      <c r="M29" s="46">
        <v>9</v>
      </c>
      <c r="N29" s="46">
        <v>10</v>
      </c>
      <c r="O29" s="47">
        <f t="shared" si="2"/>
        <v>0</v>
      </c>
      <c r="P29" s="47">
        <f t="shared" si="3"/>
        <v>0</v>
      </c>
      <c r="R29" s="35">
        <f t="shared" si="4"/>
        <v>16</v>
      </c>
      <c r="S29" s="35">
        <f t="shared" si="5"/>
        <v>160</v>
      </c>
      <c r="T29" s="54">
        <f t="shared" si="6"/>
        <v>194</v>
      </c>
      <c r="U29" s="43">
        <f t="shared" si="7"/>
        <v>0</v>
      </c>
      <c r="V29" s="35">
        <v>144</v>
      </c>
      <c r="W29" s="43">
        <f t="shared" si="8"/>
        <v>0</v>
      </c>
      <c r="Y29" s="49">
        <v>25.25</v>
      </c>
      <c r="Z29" s="50">
        <f t="shared" si="9"/>
        <v>0</v>
      </c>
      <c r="AB29" s="51">
        <v>42</v>
      </c>
      <c r="AC29" s="51">
        <f t="shared" si="13"/>
        <v>0</v>
      </c>
      <c r="AD29" s="52" t="e">
        <f t="shared" si="10"/>
        <v>#DIV/0!</v>
      </c>
      <c r="AE29" s="50">
        <f t="shared" si="11"/>
        <v>0</v>
      </c>
      <c r="AH29" s="90"/>
      <c r="AI29" s="91"/>
    </row>
    <row r="30" spans="1:35" x14ac:dyDescent="0.25">
      <c r="A30" s="38" t="s">
        <v>237</v>
      </c>
      <c r="B30" s="39" t="s">
        <v>86</v>
      </c>
      <c r="C30" s="48" t="s">
        <v>121</v>
      </c>
      <c r="D30" s="35">
        <v>10</v>
      </c>
      <c r="E30" s="35">
        <v>2000</v>
      </c>
      <c r="F30" s="53" t="s">
        <v>238</v>
      </c>
      <c r="G30" s="41">
        <v>9319696720156</v>
      </c>
      <c r="H30" s="42">
        <v>3917.4</v>
      </c>
      <c r="I30" s="43"/>
      <c r="J30" s="43">
        <f t="shared" si="0"/>
        <v>0</v>
      </c>
      <c r="K30" s="44">
        <f t="shared" si="1"/>
        <v>0</v>
      </c>
      <c r="M30" s="46">
        <v>16.8</v>
      </c>
      <c r="N30" s="46">
        <v>18.8</v>
      </c>
      <c r="O30" s="47">
        <f t="shared" si="2"/>
        <v>0</v>
      </c>
      <c r="P30" s="47">
        <f t="shared" si="3"/>
        <v>0</v>
      </c>
      <c r="R30" s="35">
        <f t="shared" si="4"/>
        <v>200</v>
      </c>
      <c r="S30" s="35">
        <f t="shared" si="5"/>
        <v>2000</v>
      </c>
      <c r="T30" s="54">
        <f t="shared" si="6"/>
        <v>2420</v>
      </c>
      <c r="U30" s="43">
        <f t="shared" si="7"/>
        <v>0</v>
      </c>
      <c r="V30" s="48">
        <v>184</v>
      </c>
      <c r="W30" s="43">
        <f t="shared" si="8"/>
        <v>0</v>
      </c>
      <c r="Y30" s="49">
        <v>6.9</v>
      </c>
      <c r="Z30" s="50">
        <f t="shared" si="9"/>
        <v>0</v>
      </c>
      <c r="AB30" s="51">
        <v>9.6</v>
      </c>
      <c r="AC30" s="51">
        <f t="shared" si="13"/>
        <v>0</v>
      </c>
      <c r="AD30" s="52" t="e">
        <f t="shared" si="10"/>
        <v>#DIV/0!</v>
      </c>
      <c r="AE30" s="50">
        <f t="shared" si="11"/>
        <v>0</v>
      </c>
    </row>
    <row r="31" spans="1:35" x14ac:dyDescent="0.25">
      <c r="A31" s="38" t="s">
        <v>239</v>
      </c>
      <c r="B31" s="39" t="s">
        <v>86</v>
      </c>
      <c r="C31" s="48" t="s">
        <v>124</v>
      </c>
      <c r="D31" s="35">
        <v>10</v>
      </c>
      <c r="E31" s="35">
        <v>1200</v>
      </c>
      <c r="F31" s="53" t="s">
        <v>240</v>
      </c>
      <c r="G31" s="41">
        <v>9319696725151</v>
      </c>
      <c r="H31" s="42">
        <v>3917.4</v>
      </c>
      <c r="I31" s="43"/>
      <c r="J31" s="43">
        <f t="shared" si="0"/>
        <v>0</v>
      </c>
      <c r="K31" s="44">
        <f t="shared" si="1"/>
        <v>0</v>
      </c>
      <c r="M31" s="46">
        <v>20.9</v>
      </c>
      <c r="N31" s="46">
        <v>22.4</v>
      </c>
      <c r="O31" s="47">
        <f t="shared" si="2"/>
        <v>0</v>
      </c>
      <c r="P31" s="47">
        <f t="shared" si="3"/>
        <v>0</v>
      </c>
      <c r="R31" s="35">
        <f t="shared" si="4"/>
        <v>120</v>
      </c>
      <c r="S31" s="35">
        <f t="shared" si="5"/>
        <v>1200</v>
      </c>
      <c r="T31" s="54">
        <f t="shared" si="6"/>
        <v>1452</v>
      </c>
      <c r="U31" s="43">
        <f t="shared" si="7"/>
        <v>0</v>
      </c>
      <c r="V31" s="48">
        <v>184</v>
      </c>
      <c r="W31" s="43">
        <f t="shared" si="8"/>
        <v>0</v>
      </c>
      <c r="Y31" s="49">
        <v>11.45</v>
      </c>
      <c r="Z31" s="50">
        <f t="shared" si="9"/>
        <v>0</v>
      </c>
      <c r="AB31" s="51">
        <v>15.6</v>
      </c>
      <c r="AC31" s="51">
        <f t="shared" si="13"/>
        <v>0</v>
      </c>
      <c r="AD31" s="52" t="e">
        <f t="shared" si="10"/>
        <v>#DIV/0!</v>
      </c>
      <c r="AE31" s="50">
        <f t="shared" si="11"/>
        <v>0</v>
      </c>
    </row>
    <row r="32" spans="1:35" x14ac:dyDescent="0.25">
      <c r="A32" s="38" t="s">
        <v>241</v>
      </c>
      <c r="B32" s="39" t="s">
        <v>86</v>
      </c>
      <c r="C32" s="48" t="s">
        <v>127</v>
      </c>
      <c r="D32" s="35">
        <v>10</v>
      </c>
      <c r="E32" s="35">
        <v>1100</v>
      </c>
      <c r="F32" s="53" t="s">
        <v>242</v>
      </c>
      <c r="G32" s="41">
        <v>9319696725205</v>
      </c>
      <c r="H32" s="42">
        <v>3917.4</v>
      </c>
      <c r="I32" s="43"/>
      <c r="J32" s="43">
        <f t="shared" si="0"/>
        <v>0</v>
      </c>
      <c r="K32" s="44">
        <f t="shared" si="1"/>
        <v>0</v>
      </c>
      <c r="M32" s="46">
        <v>14.9</v>
      </c>
      <c r="N32" s="46">
        <v>16.3</v>
      </c>
      <c r="O32" s="47">
        <f t="shared" si="2"/>
        <v>0</v>
      </c>
      <c r="P32" s="47">
        <f t="shared" si="3"/>
        <v>0</v>
      </c>
      <c r="R32" s="35">
        <f t="shared" si="4"/>
        <v>110</v>
      </c>
      <c r="S32" s="35">
        <f t="shared" si="5"/>
        <v>1100</v>
      </c>
      <c r="T32" s="54">
        <f t="shared" si="6"/>
        <v>1331</v>
      </c>
      <c r="U32" s="43">
        <f t="shared" si="7"/>
        <v>0</v>
      </c>
      <c r="V32" s="48">
        <v>184</v>
      </c>
      <c r="W32" s="43">
        <f t="shared" si="8"/>
        <v>0</v>
      </c>
      <c r="Y32" s="49">
        <v>10.35</v>
      </c>
      <c r="Z32" s="50">
        <f t="shared" si="9"/>
        <v>0</v>
      </c>
      <c r="AB32" s="51">
        <v>14.4</v>
      </c>
      <c r="AC32" s="51">
        <f t="shared" si="13"/>
        <v>0</v>
      </c>
      <c r="AD32" s="52" t="e">
        <f t="shared" si="10"/>
        <v>#DIV/0!</v>
      </c>
      <c r="AE32" s="50">
        <f t="shared" si="11"/>
        <v>0</v>
      </c>
    </row>
    <row r="33" spans="1:31" x14ac:dyDescent="0.25">
      <c r="A33" s="38" t="s">
        <v>243</v>
      </c>
      <c r="B33" s="39" t="s">
        <v>86</v>
      </c>
      <c r="C33" s="48" t="s">
        <v>244</v>
      </c>
      <c r="D33" s="35">
        <v>10</v>
      </c>
      <c r="E33" s="35">
        <v>580</v>
      </c>
      <c r="F33" s="53" t="s">
        <v>245</v>
      </c>
      <c r="G33" s="41">
        <v>9319696732258</v>
      </c>
      <c r="H33" s="42">
        <v>3917.4</v>
      </c>
      <c r="I33" s="43"/>
      <c r="J33" s="43">
        <f t="shared" si="0"/>
        <v>0</v>
      </c>
      <c r="K33" s="44">
        <f t="shared" si="1"/>
        <v>0</v>
      </c>
      <c r="M33" s="46">
        <v>14.1</v>
      </c>
      <c r="N33" s="46">
        <v>15.3</v>
      </c>
      <c r="O33" s="47">
        <f t="shared" si="2"/>
        <v>0</v>
      </c>
      <c r="P33" s="47">
        <f t="shared" si="3"/>
        <v>0</v>
      </c>
      <c r="R33" s="35">
        <f t="shared" si="4"/>
        <v>58</v>
      </c>
      <c r="S33" s="35">
        <f t="shared" si="5"/>
        <v>580</v>
      </c>
      <c r="T33" s="54">
        <f t="shared" si="6"/>
        <v>702</v>
      </c>
      <c r="U33" s="43">
        <f t="shared" si="7"/>
        <v>0</v>
      </c>
      <c r="V33" s="35">
        <v>184</v>
      </c>
      <c r="W33" s="43">
        <f t="shared" si="8"/>
        <v>0</v>
      </c>
      <c r="Y33" s="49">
        <v>13.75</v>
      </c>
      <c r="Z33" s="50">
        <f t="shared" si="9"/>
        <v>0</v>
      </c>
      <c r="AB33" s="51">
        <v>19.2</v>
      </c>
      <c r="AC33" s="51">
        <f t="shared" si="13"/>
        <v>0</v>
      </c>
      <c r="AD33" s="52" t="e">
        <f t="shared" si="10"/>
        <v>#DIV/0!</v>
      </c>
      <c r="AE33" s="50">
        <f t="shared" si="11"/>
        <v>0</v>
      </c>
    </row>
    <row r="34" spans="1:31" x14ac:dyDescent="0.25">
      <c r="A34" s="38" t="s">
        <v>246</v>
      </c>
      <c r="B34" s="39" t="s">
        <v>86</v>
      </c>
      <c r="C34" s="48" t="s">
        <v>247</v>
      </c>
      <c r="D34" s="35">
        <v>10</v>
      </c>
      <c r="E34" s="35">
        <v>500</v>
      </c>
      <c r="F34" s="53" t="s">
        <v>248</v>
      </c>
      <c r="G34" s="92">
        <v>9319696740208</v>
      </c>
      <c r="H34" s="42">
        <v>3917.4</v>
      </c>
      <c r="I34" s="43"/>
      <c r="J34" s="43">
        <f t="shared" si="0"/>
        <v>0</v>
      </c>
      <c r="K34" s="44">
        <f t="shared" si="1"/>
        <v>0</v>
      </c>
      <c r="M34" s="46">
        <v>21.7</v>
      </c>
      <c r="N34" s="46">
        <v>22.8</v>
      </c>
      <c r="O34" s="47">
        <f t="shared" si="2"/>
        <v>0</v>
      </c>
      <c r="P34" s="47">
        <f t="shared" si="3"/>
        <v>0</v>
      </c>
      <c r="R34" s="35">
        <f t="shared" si="4"/>
        <v>50</v>
      </c>
      <c r="S34" s="35">
        <f t="shared" si="5"/>
        <v>500</v>
      </c>
      <c r="T34" s="54">
        <f t="shared" si="6"/>
        <v>605</v>
      </c>
      <c r="U34" s="43">
        <f t="shared" si="7"/>
        <v>0</v>
      </c>
      <c r="V34" s="35">
        <v>184</v>
      </c>
      <c r="W34" s="43">
        <f t="shared" si="8"/>
        <v>0</v>
      </c>
      <c r="Y34" s="49">
        <v>18.350000000000001</v>
      </c>
      <c r="Z34" s="50">
        <f t="shared" si="9"/>
        <v>0</v>
      </c>
      <c r="AB34" s="51">
        <v>30</v>
      </c>
      <c r="AC34" s="51">
        <f t="shared" si="13"/>
        <v>0</v>
      </c>
      <c r="AD34" s="52" t="e">
        <f t="shared" si="10"/>
        <v>#DIV/0!</v>
      </c>
      <c r="AE34" s="50">
        <f t="shared" si="11"/>
        <v>0</v>
      </c>
    </row>
    <row r="35" spans="1:31" x14ac:dyDescent="0.25">
      <c r="A35" s="38" t="s">
        <v>249</v>
      </c>
      <c r="B35" s="39" t="s">
        <v>86</v>
      </c>
      <c r="C35" s="48" t="s">
        <v>250</v>
      </c>
      <c r="D35" s="35">
        <v>10</v>
      </c>
      <c r="E35" s="35">
        <v>500</v>
      </c>
      <c r="F35" s="53" t="s">
        <v>251</v>
      </c>
      <c r="G35" s="41">
        <v>9319696740253</v>
      </c>
      <c r="H35" s="42">
        <v>3917.4</v>
      </c>
      <c r="I35" s="43"/>
      <c r="J35" s="43">
        <f t="shared" si="0"/>
        <v>0</v>
      </c>
      <c r="K35" s="44">
        <f t="shared" si="1"/>
        <v>0</v>
      </c>
      <c r="M35" s="46">
        <v>20.8</v>
      </c>
      <c r="N35" s="46">
        <v>21.9</v>
      </c>
      <c r="O35" s="47">
        <f t="shared" si="2"/>
        <v>0</v>
      </c>
      <c r="P35" s="47">
        <f t="shared" si="3"/>
        <v>0</v>
      </c>
      <c r="R35" s="35">
        <f t="shared" si="4"/>
        <v>50</v>
      </c>
      <c r="S35" s="35">
        <f t="shared" si="5"/>
        <v>500</v>
      </c>
      <c r="T35" s="54">
        <f t="shared" si="6"/>
        <v>605</v>
      </c>
      <c r="U35" s="43">
        <f t="shared" si="7"/>
        <v>0</v>
      </c>
      <c r="V35" s="48">
        <v>184</v>
      </c>
      <c r="W35" s="43">
        <f t="shared" si="8"/>
        <v>0</v>
      </c>
      <c r="Y35" s="50">
        <v>18.350000000000001</v>
      </c>
      <c r="Z35" s="50">
        <f t="shared" si="9"/>
        <v>0</v>
      </c>
      <c r="AB35" s="51">
        <v>25.2</v>
      </c>
      <c r="AC35" s="51">
        <f t="shared" si="13"/>
        <v>0</v>
      </c>
      <c r="AD35" s="52" t="e">
        <f t="shared" si="10"/>
        <v>#DIV/0!</v>
      </c>
      <c r="AE35" s="50">
        <f t="shared" si="11"/>
        <v>0</v>
      </c>
    </row>
    <row r="36" spans="1:31" x14ac:dyDescent="0.25">
      <c r="A36" s="38" t="s">
        <v>252</v>
      </c>
      <c r="B36" s="39" t="s">
        <v>86</v>
      </c>
      <c r="C36" s="48" t="s">
        <v>134</v>
      </c>
      <c r="D36" s="35">
        <v>10</v>
      </c>
      <c r="E36" s="35">
        <v>300</v>
      </c>
      <c r="F36" s="53" t="s">
        <v>253</v>
      </c>
      <c r="G36" s="41">
        <v>9319696740321</v>
      </c>
      <c r="H36" s="42">
        <v>3917.4</v>
      </c>
      <c r="I36" s="43"/>
      <c r="J36" s="43">
        <f t="shared" si="0"/>
        <v>0</v>
      </c>
      <c r="K36" s="44">
        <f t="shared" si="1"/>
        <v>0</v>
      </c>
      <c r="M36" s="46">
        <v>12.2</v>
      </c>
      <c r="N36" s="46">
        <v>13.3</v>
      </c>
      <c r="O36" s="47">
        <f t="shared" si="2"/>
        <v>0</v>
      </c>
      <c r="P36" s="47">
        <f t="shared" si="3"/>
        <v>0</v>
      </c>
      <c r="R36" s="35">
        <f t="shared" si="4"/>
        <v>30</v>
      </c>
      <c r="S36" s="35">
        <f t="shared" si="5"/>
        <v>300</v>
      </c>
      <c r="T36" s="54">
        <f t="shared" ref="T36:T38" si="16">ROUND(SUM(R36:S36)*1.1,)</f>
        <v>363</v>
      </c>
      <c r="U36" s="43">
        <f t="shared" si="7"/>
        <v>0</v>
      </c>
      <c r="V36" s="48">
        <v>184</v>
      </c>
      <c r="W36" s="43">
        <f t="shared" si="8"/>
        <v>0</v>
      </c>
      <c r="Y36" s="50">
        <v>18.350000000000001</v>
      </c>
      <c r="Z36" s="50">
        <f t="shared" si="9"/>
        <v>0</v>
      </c>
      <c r="AB36" s="51">
        <v>30</v>
      </c>
      <c r="AC36" s="51">
        <f t="shared" si="13"/>
        <v>0</v>
      </c>
      <c r="AD36" s="52" t="e">
        <f t="shared" si="10"/>
        <v>#DIV/0!</v>
      </c>
      <c r="AE36" s="50">
        <f t="shared" si="11"/>
        <v>0</v>
      </c>
    </row>
    <row r="37" spans="1:31" x14ac:dyDescent="0.25">
      <c r="A37" s="38" t="s">
        <v>254</v>
      </c>
      <c r="B37" s="39" t="s">
        <v>86</v>
      </c>
      <c r="C37" s="48" t="s">
        <v>255</v>
      </c>
      <c r="D37" s="35">
        <v>10</v>
      </c>
      <c r="E37" s="35">
        <v>300</v>
      </c>
      <c r="F37" s="53" t="s">
        <v>256</v>
      </c>
      <c r="G37" s="41">
        <v>9319696750320</v>
      </c>
      <c r="H37" s="42">
        <v>3917.4</v>
      </c>
      <c r="I37" s="43"/>
      <c r="J37" s="43">
        <f t="shared" si="0"/>
        <v>0</v>
      </c>
      <c r="K37" s="44">
        <f t="shared" si="1"/>
        <v>0</v>
      </c>
      <c r="M37" s="46">
        <v>17.600000000000001</v>
      </c>
      <c r="N37" s="46">
        <v>18.7</v>
      </c>
      <c r="O37" s="47">
        <f t="shared" si="2"/>
        <v>0</v>
      </c>
      <c r="P37" s="47">
        <f t="shared" si="3"/>
        <v>0</v>
      </c>
      <c r="R37" s="35">
        <f t="shared" si="4"/>
        <v>30</v>
      </c>
      <c r="S37" s="35">
        <f t="shared" si="5"/>
        <v>300</v>
      </c>
      <c r="T37" s="54">
        <f t="shared" si="16"/>
        <v>363</v>
      </c>
      <c r="U37" s="43">
        <f t="shared" si="7"/>
        <v>0</v>
      </c>
      <c r="V37" s="48">
        <v>184</v>
      </c>
      <c r="W37" s="43">
        <f t="shared" si="8"/>
        <v>0</v>
      </c>
      <c r="Y37" s="50">
        <v>21.8</v>
      </c>
      <c r="Z37" s="50">
        <f t="shared" si="9"/>
        <v>0</v>
      </c>
      <c r="AB37" s="51">
        <v>36</v>
      </c>
      <c r="AC37" s="51">
        <f t="shared" si="13"/>
        <v>0</v>
      </c>
      <c r="AD37" s="52" t="e">
        <f t="shared" si="10"/>
        <v>#DIV/0!</v>
      </c>
      <c r="AE37" s="50">
        <f t="shared" si="11"/>
        <v>0</v>
      </c>
    </row>
    <row r="38" spans="1:31" x14ac:dyDescent="0.25">
      <c r="A38" s="38" t="s">
        <v>257</v>
      </c>
      <c r="B38" s="39" t="s">
        <v>86</v>
      </c>
      <c r="C38" s="48" t="s">
        <v>258</v>
      </c>
      <c r="D38" s="35">
        <v>10</v>
      </c>
      <c r="E38" s="35">
        <v>300</v>
      </c>
      <c r="F38" s="53" t="s">
        <v>259</v>
      </c>
      <c r="G38" s="41">
        <v>9319696750405</v>
      </c>
      <c r="H38" s="42">
        <v>3917.4</v>
      </c>
      <c r="I38" s="43"/>
      <c r="J38" s="43">
        <f t="shared" si="0"/>
        <v>0</v>
      </c>
      <c r="K38" s="44">
        <f t="shared" si="1"/>
        <v>0</v>
      </c>
      <c r="M38" s="46">
        <v>14</v>
      </c>
      <c r="N38" s="46">
        <v>15.2</v>
      </c>
      <c r="O38" s="47">
        <f t="shared" si="2"/>
        <v>0</v>
      </c>
      <c r="P38" s="47">
        <f t="shared" si="3"/>
        <v>0</v>
      </c>
      <c r="R38" s="35">
        <f t="shared" si="4"/>
        <v>30</v>
      </c>
      <c r="S38" s="35">
        <f t="shared" si="5"/>
        <v>300</v>
      </c>
      <c r="T38" s="54">
        <f t="shared" si="16"/>
        <v>363</v>
      </c>
      <c r="U38" s="43">
        <f t="shared" si="7"/>
        <v>0</v>
      </c>
      <c r="V38" s="48">
        <v>184</v>
      </c>
      <c r="W38" s="43">
        <f t="shared" si="8"/>
        <v>0</v>
      </c>
      <c r="Y38" s="50">
        <v>19.5</v>
      </c>
      <c r="Z38" s="50">
        <f t="shared" si="9"/>
        <v>0</v>
      </c>
      <c r="AB38" s="51">
        <v>36</v>
      </c>
      <c r="AC38" s="51">
        <f t="shared" si="13"/>
        <v>0</v>
      </c>
      <c r="AD38" s="52" t="e">
        <f t="shared" si="10"/>
        <v>#DIV/0!</v>
      </c>
      <c r="AE38" s="50">
        <f t="shared" si="11"/>
        <v>0</v>
      </c>
    </row>
    <row r="39" spans="1:31" x14ac:dyDescent="0.25">
      <c r="A39" s="38" t="s">
        <v>138</v>
      </c>
      <c r="B39" s="39" t="s">
        <v>86</v>
      </c>
      <c r="C39" s="35">
        <v>20</v>
      </c>
      <c r="D39" s="35">
        <v>10</v>
      </c>
      <c r="E39" s="35">
        <v>750</v>
      </c>
      <c r="F39" s="40" t="s">
        <v>139</v>
      </c>
      <c r="G39" s="41">
        <v>9319696502004</v>
      </c>
      <c r="H39" s="42">
        <v>3917.4</v>
      </c>
      <c r="I39" s="43"/>
      <c r="J39" s="43">
        <f t="shared" si="0"/>
        <v>0</v>
      </c>
      <c r="K39" s="44">
        <f t="shared" si="1"/>
        <v>0</v>
      </c>
      <c r="M39" s="46">
        <v>19.8</v>
      </c>
      <c r="N39" s="46">
        <v>21.5</v>
      </c>
      <c r="O39" s="47">
        <f t="shared" si="2"/>
        <v>0</v>
      </c>
      <c r="P39" s="47">
        <f t="shared" si="3"/>
        <v>0</v>
      </c>
      <c r="R39" s="48">
        <f t="shared" si="4"/>
        <v>75</v>
      </c>
      <c r="S39" s="48">
        <f t="shared" si="5"/>
        <v>750</v>
      </c>
      <c r="T39" s="35">
        <f t="shared" si="6"/>
        <v>908</v>
      </c>
      <c r="U39" s="43">
        <f t="shared" si="7"/>
        <v>0</v>
      </c>
      <c r="V39" s="48">
        <v>184</v>
      </c>
      <c r="W39" s="43">
        <f t="shared" si="8"/>
        <v>0</v>
      </c>
      <c r="Y39" s="50">
        <v>13.65</v>
      </c>
      <c r="Z39" s="50">
        <f t="shared" si="9"/>
        <v>0</v>
      </c>
      <c r="AB39" s="51">
        <v>19.2</v>
      </c>
      <c r="AC39" s="51">
        <f t="shared" si="13"/>
        <v>0</v>
      </c>
      <c r="AD39" s="52" t="e">
        <f t="shared" si="10"/>
        <v>#DIV/0!</v>
      </c>
      <c r="AE39" s="50">
        <f t="shared" si="11"/>
        <v>0</v>
      </c>
    </row>
    <row r="40" spans="1:31" ht="13" x14ac:dyDescent="0.35">
      <c r="A40" s="93"/>
      <c r="B40" s="93"/>
      <c r="C40" s="94"/>
      <c r="D40" s="95"/>
      <c r="E40" s="95"/>
      <c r="F40" s="96"/>
      <c r="G40" s="20" t="s">
        <v>78</v>
      </c>
      <c r="H40" s="20"/>
      <c r="I40" s="20">
        <f>SUBTOTAL(9,I3:I39)</f>
        <v>0</v>
      </c>
      <c r="J40" s="20">
        <f>SUBTOTAL(9,J3:J39)</f>
        <v>0</v>
      </c>
      <c r="K40" s="66">
        <f>SUBTOTAL(9,K3:K39)</f>
        <v>0</v>
      </c>
      <c r="O40" s="97">
        <f>SUBTOTAL(9,O3:O39)</f>
        <v>0</v>
      </c>
      <c r="P40" s="97">
        <f>SUBTOTAL(9,P3:P39)</f>
        <v>0</v>
      </c>
      <c r="R40" s="98" t="s">
        <v>78</v>
      </c>
      <c r="S40" s="98"/>
      <c r="T40" s="98"/>
      <c r="U40" s="20">
        <f>SUBTOTAL(9,U3:U39)</f>
        <v>0</v>
      </c>
      <c r="W40" s="20">
        <f>SUBTOTAL(9,W3:W39)</f>
        <v>0</v>
      </c>
      <c r="Y40" s="37"/>
      <c r="Z40" s="37">
        <f>SUBTOTAL(9,Z3:Z39)</f>
        <v>0</v>
      </c>
      <c r="AB40" s="51"/>
      <c r="AC40" s="70">
        <f>SUBTOTAL(9,AC3:AC39)</f>
        <v>0</v>
      </c>
      <c r="AD40" s="99"/>
      <c r="AE40" s="100">
        <f>SUBTOTAL(9,AE3:AE39)</f>
        <v>0</v>
      </c>
    </row>
  </sheetData>
  <mergeCells count="11">
    <mergeCell ref="AB1:AC1"/>
    <mergeCell ref="AD1:AE1"/>
    <mergeCell ref="R40:T40"/>
    <mergeCell ref="D1:E1"/>
    <mergeCell ref="I1:J1"/>
    <mergeCell ref="M1:M2"/>
    <mergeCell ref="N1:N2"/>
    <mergeCell ref="O1:O2"/>
    <mergeCell ref="P1:P2"/>
    <mergeCell ref="R1:T1"/>
    <mergeCell ref="Y1:Z1"/>
  </mergeCells>
  <pageMargins left="0.51181102362204722" right="0.51181102362204722" top="0.51181102362204722" bottom="0.51181102362204722" header="0" footer="0"/>
  <pageSetup paperSize="9" scale="48"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Kiran</vt:lpstr>
      <vt:lpstr>Hansa-PP</vt:lpstr>
      <vt:lpstr>Hansa-GRN</vt:lpstr>
      <vt:lpstr>Oswin</vt:lpstr>
      <vt:lpstr>VP-PP</vt:lpstr>
      <vt:lpstr>VP-GRN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Jaikvin Enterprises</dc:creator>
  <cp:lastModifiedBy>Aalok Shah</cp:lastModifiedBy>
  <dcterms:created xsi:type="dcterms:W3CDTF">2026-07-25T11:17:29Z</dcterms:created>
  <dcterms:modified xsi:type="dcterms:W3CDTF">2026-07-25T11:35:10Z</dcterms:modified>
</cp:coreProperties>
</file>