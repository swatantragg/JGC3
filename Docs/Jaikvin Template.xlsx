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Enterprises\Desktop\"/>
    </mc:Choice>
  </mc:AlternateContent>
  <bookViews>
    <workbookView xWindow="-105" yWindow="-105" windowWidth="19425" windowHeight="10545"/>
  </bookViews>
  <sheets>
    <sheet name="Master" sheetId="2" r:id="rId1"/>
    <sheet name="Packing" sheetId="3" r:id="rId2"/>
    <sheet name="Barcode" sheetId="4" r:id="rId3"/>
    <sheet name="Purchase" sheetId="5" r:id="rId4"/>
    <sheet name="Sales" sheetId="6" r:id="rId5"/>
  </sheets>
  <definedNames>
    <definedName name="_xlnm._FilterDatabase" localSheetId="2" hidden="1">Barcode!$B$2:$H$15</definedName>
    <definedName name="_xlnm._FilterDatabase" localSheetId="0" hidden="1">Master!$B$3:$H$16</definedName>
    <definedName name="_xlnm._FilterDatabase" localSheetId="1" hidden="1">Packing!$B$2:$H$15</definedName>
    <definedName name="_xlnm._FilterDatabase" localSheetId="3" hidden="1">Purchase!$B$3:$H$16</definedName>
    <definedName name="_xlnm._FilterDatabase" localSheetId="4" hidden="1">Sales!$B$3:$H$16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6" l="1"/>
  <c r="N16" i="6"/>
  <c r="P16" i="6" s="1"/>
  <c r="O16" i="6" s="1"/>
  <c r="L16" i="6"/>
  <c r="N15" i="6"/>
  <c r="P15" i="6" s="1"/>
  <c r="O15" i="6" s="1"/>
  <c r="L15" i="6"/>
  <c r="N14" i="6"/>
  <c r="P14" i="6" s="1"/>
  <c r="O14" i="6" s="1"/>
  <c r="L14" i="6"/>
  <c r="N13" i="6"/>
  <c r="P13" i="6" s="1"/>
  <c r="O13" i="6" s="1"/>
  <c r="L13" i="6"/>
  <c r="N12" i="6"/>
  <c r="P12" i="6" s="1"/>
  <c r="O12" i="6" s="1"/>
  <c r="L12" i="6"/>
  <c r="N11" i="6"/>
  <c r="P11" i="6" s="1"/>
  <c r="O11" i="6" s="1"/>
  <c r="L11" i="6"/>
  <c r="N10" i="6"/>
  <c r="P10" i="6" s="1"/>
  <c r="O10" i="6" s="1"/>
  <c r="L10" i="6"/>
  <c r="N9" i="6"/>
  <c r="P9" i="6" s="1"/>
  <c r="O9" i="6" s="1"/>
  <c r="L9" i="6"/>
  <c r="N8" i="6"/>
  <c r="P8" i="6" s="1"/>
  <c r="O8" i="6" s="1"/>
  <c r="L8" i="6"/>
  <c r="N7" i="6"/>
  <c r="P7" i="6" s="1"/>
  <c r="O7" i="6" s="1"/>
  <c r="L7" i="6"/>
  <c r="N6" i="6"/>
  <c r="P6" i="6" s="1"/>
  <c r="O6" i="6" s="1"/>
  <c r="L6" i="6"/>
  <c r="N5" i="6"/>
  <c r="P5" i="6" s="1"/>
  <c r="O5" i="6" s="1"/>
  <c r="L5" i="6"/>
  <c r="N4" i="6"/>
  <c r="N17" i="6" s="1"/>
  <c r="L4" i="6"/>
  <c r="K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N4" i="5"/>
  <c r="L4" i="5"/>
  <c r="K16" i="4"/>
  <c r="N15" i="4"/>
  <c r="M15" i="4"/>
  <c r="L15" i="4"/>
  <c r="N14" i="4"/>
  <c r="M14" i="4"/>
  <c r="L14" i="4"/>
  <c r="N13" i="4"/>
  <c r="M13" i="4"/>
  <c r="L13" i="4"/>
  <c r="N12" i="4"/>
  <c r="M12" i="4"/>
  <c r="L12" i="4"/>
  <c r="N11" i="4"/>
  <c r="M11" i="4"/>
  <c r="L11" i="4"/>
  <c r="N10" i="4"/>
  <c r="M10" i="4"/>
  <c r="L10" i="4"/>
  <c r="N9" i="4"/>
  <c r="M9" i="4"/>
  <c r="L9" i="4"/>
  <c r="N8" i="4"/>
  <c r="M8" i="4"/>
  <c r="L8" i="4"/>
  <c r="N7" i="4"/>
  <c r="M7" i="4"/>
  <c r="L7" i="4"/>
  <c r="N6" i="4"/>
  <c r="M6" i="4"/>
  <c r="L6" i="4"/>
  <c r="N5" i="4"/>
  <c r="M5" i="4"/>
  <c r="L5" i="4"/>
  <c r="N4" i="4"/>
  <c r="M4" i="4"/>
  <c r="L4" i="4"/>
  <c r="N3" i="4"/>
  <c r="M3" i="4"/>
  <c r="L3" i="4"/>
  <c r="K16" i="3"/>
  <c r="L15" i="3"/>
  <c r="P15" i="3" s="1"/>
  <c r="L14" i="3"/>
  <c r="Q14" i="3" s="1"/>
  <c r="O13" i="3"/>
  <c r="L13" i="3"/>
  <c r="L12" i="3"/>
  <c r="Q12" i="3" s="1"/>
  <c r="L11" i="3"/>
  <c r="Q11" i="3" s="1"/>
  <c r="O10" i="3"/>
  <c r="Q10" i="3" s="1"/>
  <c r="L10" i="3"/>
  <c r="P10" i="3" s="1"/>
  <c r="O9" i="3"/>
  <c r="L9" i="3"/>
  <c r="O8" i="3"/>
  <c r="L8" i="3"/>
  <c r="M8" i="3" s="1"/>
  <c r="O7" i="3"/>
  <c r="L7" i="3"/>
  <c r="P7" i="3" s="1"/>
  <c r="L6" i="3"/>
  <c r="Q6" i="3" s="1"/>
  <c r="L5" i="3"/>
  <c r="M5" i="3" s="1"/>
  <c r="L4" i="3"/>
  <c r="M4" i="3" s="1"/>
  <c r="P3" i="3"/>
  <c r="O3" i="3"/>
  <c r="L3" i="3"/>
  <c r="M3" i="3" s="1"/>
  <c r="Q9" i="3" l="1"/>
  <c r="Q13" i="3"/>
  <c r="O3" i="4"/>
  <c r="L17" i="5"/>
  <c r="N17" i="5"/>
  <c r="M12" i="3"/>
  <c r="P12" i="3"/>
  <c r="Q3" i="3"/>
  <c r="Q4" i="3"/>
  <c r="P14" i="3"/>
  <c r="P3" i="4"/>
  <c r="R3" i="4" s="1"/>
  <c r="O4" i="4"/>
  <c r="P4" i="4" s="1"/>
  <c r="R4" i="4" s="1"/>
  <c r="O6" i="4"/>
  <c r="P6" i="4" s="1"/>
  <c r="R6" i="4" s="1"/>
  <c r="O11" i="4"/>
  <c r="P11" i="4" s="1"/>
  <c r="R11" i="4" s="1"/>
  <c r="O15" i="4"/>
  <c r="P15" i="4" s="1"/>
  <c r="R15" i="4" s="1"/>
  <c r="O5" i="4"/>
  <c r="P5" i="4" s="1"/>
  <c r="R5" i="4" s="1"/>
  <c r="O8" i="4"/>
  <c r="P8" i="4" s="1"/>
  <c r="R8" i="4" s="1"/>
  <c r="O10" i="4"/>
  <c r="P10" i="4" s="1"/>
  <c r="R10" i="4" s="1"/>
  <c r="O12" i="4"/>
  <c r="P12" i="4" s="1"/>
  <c r="R12" i="4" s="1"/>
  <c r="O14" i="4"/>
  <c r="P14" i="4" s="1"/>
  <c r="R14" i="4" s="1"/>
  <c r="O7" i="4"/>
  <c r="P7" i="4" s="1"/>
  <c r="R7" i="4" s="1"/>
  <c r="O9" i="4"/>
  <c r="P9" i="4" s="1"/>
  <c r="R9" i="4" s="1"/>
  <c r="O13" i="4"/>
  <c r="P13" i="4" s="1"/>
  <c r="R13" i="4" s="1"/>
  <c r="P4" i="6"/>
  <c r="L17" i="6"/>
  <c r="L16" i="4"/>
  <c r="Q8" i="3"/>
  <c r="M15" i="3"/>
  <c r="P4" i="3"/>
  <c r="Q7" i="3"/>
  <c r="P8" i="3"/>
  <c r="P11" i="3"/>
  <c r="Q15" i="3"/>
  <c r="L16" i="3"/>
  <c r="M9" i="3"/>
  <c r="M13" i="3"/>
  <c r="P5" i="3"/>
  <c r="M6" i="3"/>
  <c r="Q5" i="3"/>
  <c r="P6" i="3"/>
  <c r="M7" i="3"/>
  <c r="P9" i="3"/>
  <c r="M10" i="3"/>
  <c r="P13" i="3"/>
  <c r="M14" i="3"/>
  <c r="M11" i="3"/>
  <c r="K17" i="2"/>
  <c r="AE16" i="2"/>
  <c r="AG16" i="2" s="1"/>
  <c r="AF16" i="2" s="1"/>
  <c r="AB16" i="2"/>
  <c r="U16" i="2"/>
  <c r="T16" i="2"/>
  <c r="L16" i="2"/>
  <c r="M16" i="2" s="1"/>
  <c r="AE15" i="2"/>
  <c r="AG15" i="2" s="1"/>
  <c r="AF15" i="2" s="1"/>
  <c r="AB15" i="2"/>
  <c r="U15" i="2"/>
  <c r="T15" i="2"/>
  <c r="V15" i="2" s="1"/>
  <c r="L15" i="2"/>
  <c r="R15" i="2" s="1"/>
  <c r="AE14" i="2"/>
  <c r="AG14" i="2" s="1"/>
  <c r="AF14" i="2" s="1"/>
  <c r="AB14" i="2"/>
  <c r="U14" i="2"/>
  <c r="V14" i="2" s="1"/>
  <c r="T14" i="2"/>
  <c r="P14" i="2"/>
  <c r="L14" i="2"/>
  <c r="M14" i="2" s="1"/>
  <c r="AE13" i="2"/>
  <c r="AG13" i="2" s="1"/>
  <c r="AF13" i="2" s="1"/>
  <c r="AB13" i="2"/>
  <c r="U13" i="2"/>
  <c r="T13" i="2"/>
  <c r="L13" i="2"/>
  <c r="Q13" i="2" s="1"/>
  <c r="AE12" i="2"/>
  <c r="AG12" i="2" s="1"/>
  <c r="AF12" i="2" s="1"/>
  <c r="AB12" i="2"/>
  <c r="U12" i="2"/>
  <c r="T12" i="2"/>
  <c r="L12" i="2"/>
  <c r="R12" i="2" s="1"/>
  <c r="AE11" i="2"/>
  <c r="AG11" i="2" s="1"/>
  <c r="AF11" i="2" s="1"/>
  <c r="AB11" i="2"/>
  <c r="U11" i="2"/>
  <c r="T11" i="2"/>
  <c r="P11" i="2"/>
  <c r="L11" i="2"/>
  <c r="AE10" i="2"/>
  <c r="AG10" i="2" s="1"/>
  <c r="AF10" i="2" s="1"/>
  <c r="AB10" i="2"/>
  <c r="U10" i="2"/>
  <c r="V10" i="2" s="1"/>
  <c r="T10" i="2"/>
  <c r="P10" i="2"/>
  <c r="L10" i="2"/>
  <c r="M10" i="2" s="1"/>
  <c r="AE9" i="2"/>
  <c r="AG9" i="2" s="1"/>
  <c r="AF9" i="2" s="1"/>
  <c r="AB9" i="2"/>
  <c r="U9" i="2"/>
  <c r="T9" i="2"/>
  <c r="P9" i="2"/>
  <c r="L9" i="2"/>
  <c r="Q9" i="2" s="1"/>
  <c r="AE8" i="2"/>
  <c r="AG8" i="2" s="1"/>
  <c r="AF8" i="2" s="1"/>
  <c r="AB8" i="2"/>
  <c r="U8" i="2"/>
  <c r="T8" i="2"/>
  <c r="P8" i="2"/>
  <c r="L8" i="2"/>
  <c r="AE7" i="2"/>
  <c r="AG7" i="2" s="1"/>
  <c r="AF7" i="2" s="1"/>
  <c r="AB7" i="2"/>
  <c r="U7" i="2"/>
  <c r="T7" i="2"/>
  <c r="L7" i="2"/>
  <c r="Q7" i="2" s="1"/>
  <c r="AE6" i="2"/>
  <c r="AG6" i="2" s="1"/>
  <c r="AF6" i="2" s="1"/>
  <c r="AB6" i="2"/>
  <c r="U6" i="2"/>
  <c r="T6" i="2"/>
  <c r="L6" i="2"/>
  <c r="Q6" i="2" s="1"/>
  <c r="AE5" i="2"/>
  <c r="AG5" i="2" s="1"/>
  <c r="AF5" i="2" s="1"/>
  <c r="AB5" i="2"/>
  <c r="U5" i="2"/>
  <c r="T5" i="2"/>
  <c r="V5" i="2" s="1"/>
  <c r="L5" i="2"/>
  <c r="Q5" i="2" s="1"/>
  <c r="AE4" i="2"/>
  <c r="AB4" i="2"/>
  <c r="U4" i="2"/>
  <c r="T4" i="2"/>
  <c r="P4" i="2"/>
  <c r="L4" i="2"/>
  <c r="Q4" i="2" s="1"/>
  <c r="V6" i="2" l="1"/>
  <c r="R8" i="2"/>
  <c r="R11" i="2"/>
  <c r="V13" i="2"/>
  <c r="W13" i="2" s="1"/>
  <c r="Y13" i="2" s="1"/>
  <c r="M16" i="3"/>
  <c r="P17" i="6"/>
  <c r="O4" i="6"/>
  <c r="R16" i="4"/>
  <c r="P16" i="4"/>
  <c r="P16" i="3"/>
  <c r="Q16" i="3"/>
  <c r="R14" i="2"/>
  <c r="Q16" i="2"/>
  <c r="M7" i="2"/>
  <c r="R9" i="2"/>
  <c r="V12" i="2"/>
  <c r="W12" i="2" s="1"/>
  <c r="Y12" i="2" s="1"/>
  <c r="R16" i="2"/>
  <c r="V9" i="2"/>
  <c r="W9" i="2" s="1"/>
  <c r="Y9" i="2" s="1"/>
  <c r="W14" i="2"/>
  <c r="Y14" i="2" s="1"/>
  <c r="V11" i="2"/>
  <c r="W11" i="2" s="1"/>
  <c r="Y11" i="2" s="1"/>
  <c r="AB17" i="2"/>
  <c r="V7" i="2"/>
  <c r="W7" i="2" s="1"/>
  <c r="Y7" i="2" s="1"/>
  <c r="R10" i="2"/>
  <c r="M12" i="2"/>
  <c r="R4" i="2"/>
  <c r="W6" i="2"/>
  <c r="Y6" i="2" s="1"/>
  <c r="Q12" i="2"/>
  <c r="R13" i="2"/>
  <c r="V16" i="2"/>
  <c r="W16" i="2" s="1"/>
  <c r="Y16" i="2" s="1"/>
  <c r="V8" i="2"/>
  <c r="W8" i="2" s="1"/>
  <c r="Y8" i="2" s="1"/>
  <c r="M4" i="2"/>
  <c r="W10" i="2"/>
  <c r="Y10" i="2" s="1"/>
  <c r="V4" i="2"/>
  <c r="W4" i="2" s="1"/>
  <c r="Y4" i="2" s="1"/>
  <c r="R7" i="2"/>
  <c r="M9" i="2"/>
  <c r="AE17" i="2"/>
  <c r="R5" i="2"/>
  <c r="R6" i="2"/>
  <c r="M8" i="2"/>
  <c r="Q10" i="2"/>
  <c r="M11" i="2"/>
  <c r="Q14" i="2"/>
  <c r="M15" i="2"/>
  <c r="W15" i="2"/>
  <c r="Y15" i="2" s="1"/>
  <c r="AG4" i="2"/>
  <c r="Q15" i="2"/>
  <c r="Q8" i="2"/>
  <c r="Q11" i="2"/>
  <c r="L17" i="2"/>
  <c r="M5" i="2"/>
  <c r="M13" i="2"/>
  <c r="W5" i="2"/>
  <c r="Y5" i="2" s="1"/>
  <c r="M6" i="2"/>
  <c r="R17" i="2" l="1"/>
  <c r="Q17" i="2"/>
  <c r="M17" i="2"/>
  <c r="W17" i="2"/>
  <c r="AG17" i="2"/>
  <c r="AF4" i="2"/>
  <c r="Y17" i="2"/>
</calcChain>
</file>

<file path=xl/sharedStrings.xml><?xml version="1.0" encoding="utf-8"?>
<sst xmlns="http://schemas.openxmlformats.org/spreadsheetml/2006/main" count="460" uniqueCount="81">
  <si>
    <t>15.04.2026</t>
  </si>
  <si>
    <t>CODE</t>
  </si>
  <si>
    <t xml:space="preserve">GD CODE </t>
  </si>
  <si>
    <t>GL CODE</t>
  </si>
  <si>
    <t>SIZE</t>
  </si>
  <si>
    <t>LENGTH</t>
  </si>
  <si>
    <t>PACKING</t>
  </si>
  <si>
    <t>DESCRIPTION</t>
  </si>
  <si>
    <t>Bar Codes</t>
  </si>
  <si>
    <t>HSN CODES</t>
  </si>
  <si>
    <t>Quantity</t>
  </si>
  <si>
    <t>Volumn</t>
  </si>
  <si>
    <t>Nett wt/
Box</t>
  </si>
  <si>
    <t>Gross Wt./
Box</t>
  </si>
  <si>
    <t>Total Nett
KGS</t>
  </si>
  <si>
    <t>Total Gross
Kgs</t>
  </si>
  <si>
    <t>Stickers/Box</t>
  </si>
  <si>
    <t>Lables</t>
  </si>
  <si>
    <t>TYPE</t>
  </si>
  <si>
    <t>SHEETS</t>
  </si>
  <si>
    <t>FOB/100 PCS US$</t>
  </si>
  <si>
    <t>RBI REFERENCE</t>
  </si>
  <si>
    <t>MM</t>
  </si>
  <si>
    <t xml:space="preserve">UNIT </t>
  </si>
  <si>
    <t>BOX</t>
  </si>
  <si>
    <t>Pcs</t>
  </si>
  <si>
    <t>Box</t>
  </si>
  <si>
    <t>Bg/Box</t>
  </si>
  <si>
    <t>P/Box</t>
  </si>
  <si>
    <t>Total</t>
  </si>
  <si>
    <t>UPS</t>
  </si>
  <si>
    <t>REQD</t>
  </si>
  <si>
    <t>UNIT</t>
  </si>
  <si>
    <t>Unit</t>
  </si>
  <si>
    <t>RATE @ Rs.</t>
  </si>
  <si>
    <t>MFE15</t>
  </si>
  <si>
    <t>8109-04</t>
  </si>
  <si>
    <t>MFE 15 M/F Elbow 
1/2" (15MM)</t>
  </si>
  <si>
    <t>9319696150120</t>
  </si>
  <si>
    <t>MFE20</t>
  </si>
  <si>
    <t>MFE 20 M/F Elbow
20MM</t>
  </si>
  <si>
    <t>9319696200122</t>
  </si>
  <si>
    <t>MFE25</t>
  </si>
  <si>
    <t>MFE 25 M/F Elbow
25MM</t>
  </si>
  <si>
    <t>9319696250127</t>
  </si>
  <si>
    <t>PP1502</t>
  </si>
  <si>
    <t>PP 1502 P/RISER M X M
50 x 15MM</t>
  </si>
  <si>
    <t>9319696015023</t>
  </si>
  <si>
    <t>PP1512</t>
  </si>
  <si>
    <t>PP 1512 P/RISER M X M
300 x 15MM</t>
  </si>
  <si>
    <t>9319696015122</t>
  </si>
  <si>
    <t>PP1512PH</t>
  </si>
  <si>
    <t>1/2"</t>
  </si>
  <si>
    <t>90441300 P/RISER M X M 
1/2" X 1/2" X 300MM</t>
  </si>
  <si>
    <t>9313146000355</t>
  </si>
  <si>
    <t>PP2012</t>
  </si>
  <si>
    <t>PP 2012 P/RISER M X M
300 X 20MM</t>
  </si>
  <si>
    <t>9319696020126</t>
  </si>
  <si>
    <t>PP2012PH</t>
  </si>
  <si>
    <t>3/4"</t>
  </si>
  <si>
    <t>90442300 P/RISER M X M
3/4" x 3/4" x 300MM</t>
  </si>
  <si>
    <t>9313146000409</t>
  </si>
  <si>
    <t>PP2512</t>
  </si>
  <si>
    <t>PP 2512 P/RISER M X M
300 X 25MM</t>
  </si>
  <si>
    <t>9319696025121</t>
  </si>
  <si>
    <t>PP2512PH</t>
  </si>
  <si>
    <t>1"</t>
  </si>
  <si>
    <t>90443300 P/RISER M X M
1" x 1" x 300MM</t>
  </si>
  <si>
    <t>9313146000461</t>
  </si>
  <si>
    <t>PPA1512</t>
  </si>
  <si>
    <t>8109-10</t>
  </si>
  <si>
    <t>PPA 1512 ARTIC. P/RISER
300 X 15MM</t>
  </si>
  <si>
    <t>9319696215126</t>
  </si>
  <si>
    <t>PPA2012</t>
  </si>
  <si>
    <t>PPA 2012 ARTIC. P/RISER
300 X 20MM</t>
  </si>
  <si>
    <t>9319696220120</t>
  </si>
  <si>
    <t>PPA2512</t>
  </si>
  <si>
    <t>PPA 2512 ARTIC. P/RISER
300 x 25MM</t>
  </si>
  <si>
    <t>9319696225125</t>
  </si>
  <si>
    <t>TOTAL</t>
  </si>
  <si>
    <t>PURCHASE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</si>
</sst>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&quot;$&quot;#,##0.00"/>
    <numFmt numFmtId="167" formatCode="&quot;Rs.&quot;\ #,##0.00"/>
    <numFmt numFmtId="168" formatCode="&quot;₹&quot;\ #,##0.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shrinkToFit="1"/>
    </xf>
    <xf numFmtId="166" fontId="2" fillId="0" borderId="1" xfId="1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8" fontId="1" fillId="0" borderId="1" xfId="1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/>
    </xf>
    <xf numFmtId="167" fontId="1" fillId="0" borderId="0" xfId="1" applyNumberFormat="1" applyFont="1" applyAlignment="1">
      <alignment vertical="center"/>
    </xf>
    <xf numFmtId="168" fontId="2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7"/>
  <sheetViews>
    <sheetView tabSelected="1" workbookViewId="0"/>
  </sheetViews>
  <sheetFormatPr defaultColWidth="9.140625" defaultRowHeight="12.75" x14ac:dyDescent="0.2"/>
  <cols>
    <col min="1" max="1" width="13.42578125" style="3" bestFit="1" customWidth="1"/>
    <col min="2" max="2" width="11.28515625" style="3" bestFit="1" customWidth="1"/>
    <col min="3" max="3" width="13.42578125" style="3" customWidth="1"/>
    <col min="4" max="4" width="5.140625" style="3" bestFit="1" customWidth="1"/>
    <col min="5" max="5" width="8.5703125" style="3" bestFit="1" customWidth="1"/>
    <col min="6" max="6" width="6" style="10" bestFit="1" customWidth="1"/>
    <col min="7" max="7" width="6.28515625" style="10" bestFit="1" customWidth="1"/>
    <col min="8" max="8" width="32.7109375" style="3" bestFit="1" customWidth="1"/>
    <col min="9" max="9" width="14.140625" style="3" bestFit="1" customWidth="1"/>
    <col min="10" max="10" width="14.140625" style="3" customWidth="1"/>
    <col min="11" max="11" width="7" style="3" bestFit="1" customWidth="1"/>
    <col min="12" max="12" width="7.28515625" style="3" bestFit="1" customWidth="1"/>
    <col min="13" max="13" width="8" style="3" bestFit="1" customWidth="1"/>
    <col min="14" max="14" width="9.140625" style="3" customWidth="1"/>
    <col min="15" max="19" width="9.140625" style="3"/>
    <col min="20" max="20" width="7.5703125" style="3" bestFit="1" customWidth="1"/>
    <col min="21" max="21" width="6.42578125" style="3" bestFit="1" customWidth="1"/>
    <col min="22" max="22" width="5.5703125" style="3" bestFit="1" customWidth="1"/>
    <col min="23" max="23" width="7" style="3" bestFit="1" customWidth="1"/>
    <col min="24" max="24" width="7" style="3" customWidth="1"/>
    <col min="25" max="25" width="8.28515625" style="3" bestFit="1" customWidth="1"/>
    <col min="26" max="16384" width="9.140625" style="3"/>
  </cols>
  <sheetData>
    <row r="1" spans="1:33" x14ac:dyDescent="0.2">
      <c r="B1" s="11"/>
      <c r="AA1" s="40" t="s">
        <v>0</v>
      </c>
      <c r="AB1" s="40"/>
      <c r="AD1" s="40" t="s">
        <v>0</v>
      </c>
      <c r="AE1" s="40"/>
    </row>
    <row r="2" spans="1:33" ht="19.5" customHeight="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41" t="s">
        <v>6</v>
      </c>
      <c r="G2" s="42"/>
      <c r="H2" s="13" t="s">
        <v>7</v>
      </c>
      <c r="I2" s="13" t="s">
        <v>8</v>
      </c>
      <c r="J2" s="13" t="s">
        <v>9</v>
      </c>
      <c r="K2" s="41" t="s">
        <v>10</v>
      </c>
      <c r="L2" s="42"/>
      <c r="M2" s="13" t="s">
        <v>11</v>
      </c>
      <c r="O2" s="43" t="s">
        <v>12</v>
      </c>
      <c r="P2" s="44" t="s">
        <v>13</v>
      </c>
      <c r="Q2" s="43" t="s">
        <v>14</v>
      </c>
      <c r="R2" s="43" t="s">
        <v>15</v>
      </c>
      <c r="T2" s="36" t="s">
        <v>16</v>
      </c>
      <c r="U2" s="36"/>
      <c r="V2" s="36"/>
      <c r="W2" s="13" t="s">
        <v>17</v>
      </c>
      <c r="X2" s="13" t="s">
        <v>18</v>
      </c>
      <c r="Y2" s="13" t="s">
        <v>19</v>
      </c>
      <c r="AA2" s="36" t="s">
        <v>80</v>
      </c>
      <c r="AB2" s="36"/>
      <c r="AD2" s="36" t="s">
        <v>20</v>
      </c>
      <c r="AE2" s="36"/>
      <c r="AF2" s="36" t="s">
        <v>21</v>
      </c>
      <c r="AG2" s="36"/>
    </row>
    <row r="3" spans="1:33" ht="19.5" customHeight="1" x14ac:dyDescent="0.2">
      <c r="A3" s="5"/>
      <c r="B3" s="5"/>
      <c r="C3" s="14"/>
      <c r="D3" s="13" t="s">
        <v>22</v>
      </c>
      <c r="E3" s="13" t="s">
        <v>22</v>
      </c>
      <c r="F3" s="13" t="s">
        <v>23</v>
      </c>
      <c r="G3" s="13" t="s">
        <v>24</v>
      </c>
      <c r="H3" s="1"/>
      <c r="I3" s="13"/>
      <c r="J3" s="13"/>
      <c r="K3" s="13" t="s">
        <v>25</v>
      </c>
      <c r="L3" s="13" t="s">
        <v>26</v>
      </c>
      <c r="M3" s="14"/>
      <c r="O3" s="43"/>
      <c r="P3" s="44"/>
      <c r="Q3" s="43"/>
      <c r="R3" s="43"/>
      <c r="T3" s="13" t="s">
        <v>27</v>
      </c>
      <c r="U3" s="13" t="s">
        <v>28</v>
      </c>
      <c r="V3" s="13" t="s">
        <v>29</v>
      </c>
      <c r="W3" s="14"/>
      <c r="X3" s="13" t="s">
        <v>30</v>
      </c>
      <c r="Y3" s="13" t="s">
        <v>31</v>
      </c>
      <c r="AA3" s="13" t="s">
        <v>32</v>
      </c>
      <c r="AB3" s="13" t="s">
        <v>29</v>
      </c>
      <c r="AD3" s="13" t="s">
        <v>33</v>
      </c>
      <c r="AE3" s="13" t="s">
        <v>29</v>
      </c>
      <c r="AF3" s="26" t="s">
        <v>34</v>
      </c>
      <c r="AG3" s="25"/>
    </row>
    <row r="4" spans="1:33" ht="25.5" x14ac:dyDescent="0.2">
      <c r="A4" s="6" t="s">
        <v>35</v>
      </c>
      <c r="B4" s="6" t="s">
        <v>35</v>
      </c>
      <c r="C4" s="15" t="s">
        <v>36</v>
      </c>
      <c r="D4" s="13">
        <v>15</v>
      </c>
      <c r="E4" s="13"/>
      <c r="F4" s="14">
        <v>50</v>
      </c>
      <c r="G4" s="14">
        <v>1000</v>
      </c>
      <c r="H4" s="2" t="s">
        <v>37</v>
      </c>
      <c r="I4" s="16" t="s">
        <v>38</v>
      </c>
      <c r="J4" s="12">
        <v>3917.4</v>
      </c>
      <c r="K4" s="5"/>
      <c r="L4" s="5">
        <f t="shared" ref="L4:L16" si="0">K4/G4</f>
        <v>0</v>
      </c>
      <c r="M4" s="18">
        <f t="shared" ref="M4:M16" si="1">L4*0.06</f>
        <v>0</v>
      </c>
      <c r="O4" s="22">
        <v>15.2</v>
      </c>
      <c r="P4" s="22">
        <f>O4+1</f>
        <v>16.2</v>
      </c>
      <c r="Q4" s="20">
        <f t="shared" ref="Q4:Q16" si="2">O4*L4</f>
        <v>0</v>
      </c>
      <c r="R4" s="20">
        <f t="shared" ref="R4:R16" si="3">P4*L4</f>
        <v>0</v>
      </c>
      <c r="T4" s="14">
        <f t="shared" ref="T4:T16" si="4">$G4/$F4</f>
        <v>20</v>
      </c>
      <c r="U4" s="14">
        <f t="shared" ref="U4:U16" si="5">$G4</f>
        <v>1000</v>
      </c>
      <c r="V4" s="23">
        <f>(U4+T4)*1.1</f>
        <v>1122</v>
      </c>
      <c r="W4" s="14">
        <f t="shared" ref="W4:W16" si="6">$L4*V4</f>
        <v>0</v>
      </c>
      <c r="X4" s="14">
        <v>276</v>
      </c>
      <c r="Y4" s="5">
        <f t="shared" ref="Y4:Y16" si="7">ROUNDUP(W4/X4,)</f>
        <v>0</v>
      </c>
      <c r="AA4" s="32"/>
      <c r="AB4" s="24">
        <f t="shared" ref="AB4:AB16" si="8">$K4*AA4</f>
        <v>0</v>
      </c>
      <c r="AD4" s="27"/>
      <c r="AE4" s="27">
        <f t="shared" ref="AE4:AE16" si="9">K4*AD4/100</f>
        <v>0</v>
      </c>
      <c r="AF4" s="28" t="e">
        <f t="shared" ref="AF4:AF16" si="10">AG4/K4</f>
        <v>#DIV/0!</v>
      </c>
      <c r="AG4" s="24">
        <f t="shared" ref="AG4:AG16" si="11">AE4*$AG$3</f>
        <v>0</v>
      </c>
    </row>
    <row r="5" spans="1:33" ht="25.5" x14ac:dyDescent="0.2">
      <c r="A5" s="6" t="s">
        <v>39</v>
      </c>
      <c r="B5" s="6" t="s">
        <v>39</v>
      </c>
      <c r="C5" s="15" t="s">
        <v>36</v>
      </c>
      <c r="D5" s="13">
        <v>20</v>
      </c>
      <c r="E5" s="13"/>
      <c r="F5" s="14">
        <v>50</v>
      </c>
      <c r="G5" s="14">
        <v>600</v>
      </c>
      <c r="H5" s="2" t="s">
        <v>40</v>
      </c>
      <c r="I5" s="16" t="s">
        <v>41</v>
      </c>
      <c r="J5" s="12">
        <v>3917.4</v>
      </c>
      <c r="K5" s="5"/>
      <c r="L5" s="5">
        <f t="shared" si="0"/>
        <v>0</v>
      </c>
      <c r="M5" s="18">
        <f t="shared" si="1"/>
        <v>0</v>
      </c>
      <c r="O5" s="22">
        <v>12</v>
      </c>
      <c r="P5" s="22">
        <v>13</v>
      </c>
      <c r="Q5" s="20">
        <f t="shared" si="2"/>
        <v>0</v>
      </c>
      <c r="R5" s="20">
        <f t="shared" si="3"/>
        <v>0</v>
      </c>
      <c r="T5" s="14">
        <f t="shared" si="4"/>
        <v>12</v>
      </c>
      <c r="U5" s="14">
        <f t="shared" si="5"/>
        <v>600</v>
      </c>
      <c r="V5" s="23">
        <f>(U5+T5)*1.1</f>
        <v>673.2</v>
      </c>
      <c r="W5" s="14">
        <f t="shared" si="6"/>
        <v>0</v>
      </c>
      <c r="X5" s="14">
        <v>276</v>
      </c>
      <c r="Y5" s="5">
        <f t="shared" si="7"/>
        <v>0</v>
      </c>
      <c r="AA5" s="32"/>
      <c r="AB5" s="24">
        <f t="shared" si="8"/>
        <v>0</v>
      </c>
      <c r="AD5" s="27"/>
      <c r="AE5" s="27">
        <f t="shared" si="9"/>
        <v>0</v>
      </c>
      <c r="AF5" s="28" t="e">
        <f t="shared" si="10"/>
        <v>#DIV/0!</v>
      </c>
      <c r="AG5" s="24">
        <f t="shared" si="11"/>
        <v>0</v>
      </c>
    </row>
    <row r="6" spans="1:33" ht="25.5" x14ac:dyDescent="0.2">
      <c r="A6" s="6" t="s">
        <v>42</v>
      </c>
      <c r="B6" s="6" t="s">
        <v>42</v>
      </c>
      <c r="C6" s="15" t="s">
        <v>36</v>
      </c>
      <c r="D6" s="13">
        <v>25</v>
      </c>
      <c r="E6" s="13"/>
      <c r="F6" s="14">
        <v>50</v>
      </c>
      <c r="G6" s="14">
        <v>350</v>
      </c>
      <c r="H6" s="2" t="s">
        <v>43</v>
      </c>
      <c r="I6" s="16" t="s">
        <v>44</v>
      </c>
      <c r="J6" s="12">
        <v>3917.4</v>
      </c>
      <c r="K6" s="5"/>
      <c r="L6" s="5">
        <f t="shared" si="0"/>
        <v>0</v>
      </c>
      <c r="M6" s="18">
        <f t="shared" si="1"/>
        <v>0</v>
      </c>
      <c r="O6" s="22">
        <v>7.8</v>
      </c>
      <c r="P6" s="22">
        <v>8.8000000000000007</v>
      </c>
      <c r="Q6" s="20">
        <f t="shared" si="2"/>
        <v>0</v>
      </c>
      <c r="R6" s="20">
        <f t="shared" si="3"/>
        <v>0</v>
      </c>
      <c r="T6" s="14">
        <f t="shared" si="4"/>
        <v>7</v>
      </c>
      <c r="U6" s="14">
        <f t="shared" si="5"/>
        <v>350</v>
      </c>
      <c r="V6" s="23">
        <f>(U6+T6)*1.1</f>
        <v>392.70000000000005</v>
      </c>
      <c r="W6" s="14">
        <f t="shared" si="6"/>
        <v>0</v>
      </c>
      <c r="X6" s="14">
        <v>276</v>
      </c>
      <c r="Y6" s="5">
        <f t="shared" si="7"/>
        <v>0</v>
      </c>
      <c r="AA6" s="32"/>
      <c r="AB6" s="24">
        <f t="shared" si="8"/>
        <v>0</v>
      </c>
      <c r="AD6" s="27"/>
      <c r="AE6" s="27">
        <f t="shared" si="9"/>
        <v>0</v>
      </c>
      <c r="AF6" s="28" t="e">
        <f t="shared" si="10"/>
        <v>#DIV/0!</v>
      </c>
      <c r="AG6" s="24">
        <f t="shared" si="11"/>
        <v>0</v>
      </c>
    </row>
    <row r="7" spans="1:33" ht="25.5" x14ac:dyDescent="0.2">
      <c r="A7" s="6" t="s">
        <v>45</v>
      </c>
      <c r="B7" s="6" t="s">
        <v>45</v>
      </c>
      <c r="C7" s="15" t="s">
        <v>36</v>
      </c>
      <c r="D7" s="13">
        <v>15</v>
      </c>
      <c r="E7" s="13">
        <v>50</v>
      </c>
      <c r="F7" s="14">
        <v>50</v>
      </c>
      <c r="G7" s="14">
        <v>1800</v>
      </c>
      <c r="H7" s="2" t="s">
        <v>46</v>
      </c>
      <c r="I7" s="16" t="s">
        <v>47</v>
      </c>
      <c r="J7" s="12">
        <v>3917.4</v>
      </c>
      <c r="K7" s="5"/>
      <c r="L7" s="5">
        <f t="shared" si="0"/>
        <v>0</v>
      </c>
      <c r="M7" s="18">
        <f t="shared" si="1"/>
        <v>0</v>
      </c>
      <c r="O7" s="22">
        <v>12.9</v>
      </c>
      <c r="P7" s="22">
        <v>14.2</v>
      </c>
      <c r="Q7" s="20">
        <f t="shared" si="2"/>
        <v>0</v>
      </c>
      <c r="R7" s="20">
        <f t="shared" si="3"/>
        <v>0</v>
      </c>
      <c r="T7" s="14">
        <f t="shared" si="4"/>
        <v>36</v>
      </c>
      <c r="U7" s="14">
        <f t="shared" si="5"/>
        <v>1800</v>
      </c>
      <c r="V7" s="23">
        <f t="shared" ref="V7:V16" si="12">(U7+T7)*1.1</f>
        <v>2019.6000000000001</v>
      </c>
      <c r="W7" s="14">
        <f t="shared" si="6"/>
        <v>0</v>
      </c>
      <c r="X7" s="14">
        <v>144</v>
      </c>
      <c r="Y7" s="5">
        <f t="shared" si="7"/>
        <v>0</v>
      </c>
      <c r="AA7" s="32"/>
      <c r="AB7" s="24">
        <f t="shared" si="8"/>
        <v>0</v>
      </c>
      <c r="AD7" s="27"/>
      <c r="AE7" s="27">
        <f t="shared" si="9"/>
        <v>0</v>
      </c>
      <c r="AF7" s="28" t="e">
        <f t="shared" si="10"/>
        <v>#DIV/0!</v>
      </c>
      <c r="AG7" s="24">
        <f t="shared" si="11"/>
        <v>0</v>
      </c>
    </row>
    <row r="8" spans="1:33" ht="25.5" x14ac:dyDescent="0.2">
      <c r="A8" s="6" t="s">
        <v>48</v>
      </c>
      <c r="B8" s="6" t="s">
        <v>48</v>
      </c>
      <c r="C8" s="15" t="s">
        <v>36</v>
      </c>
      <c r="D8" s="13">
        <v>15</v>
      </c>
      <c r="E8" s="13">
        <v>300</v>
      </c>
      <c r="F8" s="14">
        <v>10</v>
      </c>
      <c r="G8" s="14">
        <v>300</v>
      </c>
      <c r="H8" s="2" t="s">
        <v>49</v>
      </c>
      <c r="I8" s="16" t="s">
        <v>50</v>
      </c>
      <c r="J8" s="12">
        <v>3917.4</v>
      </c>
      <c r="K8" s="5"/>
      <c r="L8" s="5">
        <f t="shared" si="0"/>
        <v>0</v>
      </c>
      <c r="M8" s="18">
        <f t="shared" si="1"/>
        <v>0</v>
      </c>
      <c r="O8" s="22">
        <v>15.6</v>
      </c>
      <c r="P8" s="22">
        <f t="shared" ref="P8:P9" si="13">O8+1</f>
        <v>16.600000000000001</v>
      </c>
      <c r="Q8" s="20">
        <f t="shared" si="2"/>
        <v>0</v>
      </c>
      <c r="R8" s="20">
        <f t="shared" si="3"/>
        <v>0</v>
      </c>
      <c r="T8" s="14">
        <f t="shared" si="4"/>
        <v>30</v>
      </c>
      <c r="U8" s="14">
        <f t="shared" si="5"/>
        <v>300</v>
      </c>
      <c r="V8" s="23">
        <f t="shared" si="12"/>
        <v>363.00000000000006</v>
      </c>
      <c r="W8" s="14">
        <f t="shared" si="6"/>
        <v>0</v>
      </c>
      <c r="X8" s="14">
        <v>144</v>
      </c>
      <c r="Y8" s="5">
        <f t="shared" si="7"/>
        <v>0</v>
      </c>
      <c r="AA8" s="32"/>
      <c r="AB8" s="24">
        <f t="shared" si="8"/>
        <v>0</v>
      </c>
      <c r="AD8" s="27"/>
      <c r="AE8" s="27">
        <f t="shared" si="9"/>
        <v>0</v>
      </c>
      <c r="AF8" s="28" t="e">
        <f t="shared" si="10"/>
        <v>#DIV/0!</v>
      </c>
      <c r="AG8" s="24">
        <f t="shared" si="11"/>
        <v>0</v>
      </c>
    </row>
    <row r="9" spans="1:33" ht="25.5" x14ac:dyDescent="0.2">
      <c r="A9" s="1">
        <v>90441300</v>
      </c>
      <c r="B9" s="1" t="s">
        <v>51</v>
      </c>
      <c r="C9" s="13" t="s">
        <v>36</v>
      </c>
      <c r="D9" s="13" t="s">
        <v>52</v>
      </c>
      <c r="E9" s="13">
        <v>300</v>
      </c>
      <c r="F9" s="14">
        <v>10</v>
      </c>
      <c r="G9" s="14">
        <v>300</v>
      </c>
      <c r="H9" s="2" t="s">
        <v>53</v>
      </c>
      <c r="I9" s="16" t="s">
        <v>54</v>
      </c>
      <c r="J9" s="12">
        <v>3917.4</v>
      </c>
      <c r="K9" s="5"/>
      <c r="L9" s="5">
        <f t="shared" si="0"/>
        <v>0</v>
      </c>
      <c r="M9" s="18">
        <f t="shared" si="1"/>
        <v>0</v>
      </c>
      <c r="O9" s="22">
        <v>15.6</v>
      </c>
      <c r="P9" s="22">
        <f t="shared" si="13"/>
        <v>16.600000000000001</v>
      </c>
      <c r="Q9" s="20">
        <f t="shared" si="2"/>
        <v>0</v>
      </c>
      <c r="R9" s="20">
        <f t="shared" si="3"/>
        <v>0</v>
      </c>
      <c r="T9" s="14">
        <f t="shared" si="4"/>
        <v>30</v>
      </c>
      <c r="U9" s="14">
        <f t="shared" si="5"/>
        <v>300</v>
      </c>
      <c r="V9" s="23">
        <f t="shared" si="12"/>
        <v>363.00000000000006</v>
      </c>
      <c r="W9" s="14">
        <f t="shared" si="6"/>
        <v>0</v>
      </c>
      <c r="X9" s="14">
        <v>144</v>
      </c>
      <c r="Y9" s="5">
        <f t="shared" si="7"/>
        <v>0</v>
      </c>
      <c r="AA9" s="32"/>
      <c r="AB9" s="24">
        <f t="shared" si="8"/>
        <v>0</v>
      </c>
      <c r="AD9" s="27"/>
      <c r="AE9" s="27">
        <f t="shared" si="9"/>
        <v>0</v>
      </c>
      <c r="AF9" s="28" t="e">
        <f t="shared" si="10"/>
        <v>#DIV/0!</v>
      </c>
      <c r="AG9" s="24">
        <f t="shared" si="11"/>
        <v>0</v>
      </c>
    </row>
    <row r="10" spans="1:33" ht="25.5" x14ac:dyDescent="0.2">
      <c r="A10" s="6" t="s">
        <v>55</v>
      </c>
      <c r="B10" s="6" t="s">
        <v>55</v>
      </c>
      <c r="C10" s="15" t="s">
        <v>36</v>
      </c>
      <c r="D10" s="13">
        <v>20</v>
      </c>
      <c r="E10" s="13">
        <v>300</v>
      </c>
      <c r="F10" s="14">
        <v>10</v>
      </c>
      <c r="G10" s="14">
        <v>230</v>
      </c>
      <c r="H10" s="2" t="s">
        <v>56</v>
      </c>
      <c r="I10" s="16" t="s">
        <v>57</v>
      </c>
      <c r="J10" s="12">
        <v>3917.4</v>
      </c>
      <c r="K10" s="5"/>
      <c r="L10" s="5">
        <f t="shared" si="0"/>
        <v>0</v>
      </c>
      <c r="M10" s="18">
        <f t="shared" si="1"/>
        <v>0</v>
      </c>
      <c r="O10" s="22">
        <v>16.100000000000001</v>
      </c>
      <c r="P10" s="22">
        <f>O10+1</f>
        <v>17.100000000000001</v>
      </c>
      <c r="Q10" s="20">
        <f t="shared" si="2"/>
        <v>0</v>
      </c>
      <c r="R10" s="20">
        <f t="shared" si="3"/>
        <v>0</v>
      </c>
      <c r="T10" s="14">
        <f t="shared" si="4"/>
        <v>23</v>
      </c>
      <c r="U10" s="14">
        <f t="shared" si="5"/>
        <v>230</v>
      </c>
      <c r="V10" s="23">
        <f t="shared" si="12"/>
        <v>278.3</v>
      </c>
      <c r="W10" s="14">
        <f t="shared" si="6"/>
        <v>0</v>
      </c>
      <c r="X10" s="14">
        <v>144</v>
      </c>
      <c r="Y10" s="5">
        <f t="shared" si="7"/>
        <v>0</v>
      </c>
      <c r="AA10" s="32"/>
      <c r="AB10" s="24">
        <f t="shared" si="8"/>
        <v>0</v>
      </c>
      <c r="AD10" s="27"/>
      <c r="AE10" s="27">
        <f t="shared" si="9"/>
        <v>0</v>
      </c>
      <c r="AF10" s="28" t="e">
        <f t="shared" si="10"/>
        <v>#DIV/0!</v>
      </c>
      <c r="AG10" s="24">
        <f t="shared" si="11"/>
        <v>0</v>
      </c>
    </row>
    <row r="11" spans="1:33" ht="25.5" x14ac:dyDescent="0.2">
      <c r="A11" s="1">
        <v>90442300</v>
      </c>
      <c r="B11" s="1" t="s">
        <v>58</v>
      </c>
      <c r="C11" s="13" t="s">
        <v>36</v>
      </c>
      <c r="D11" s="13" t="s">
        <v>59</v>
      </c>
      <c r="E11" s="13">
        <v>300</v>
      </c>
      <c r="F11" s="14">
        <v>10</v>
      </c>
      <c r="G11" s="14">
        <v>230</v>
      </c>
      <c r="H11" s="2" t="s">
        <v>60</v>
      </c>
      <c r="I11" s="16" t="s">
        <v>61</v>
      </c>
      <c r="J11" s="12">
        <v>3917.4</v>
      </c>
      <c r="K11" s="5"/>
      <c r="L11" s="5">
        <f t="shared" si="0"/>
        <v>0</v>
      </c>
      <c r="M11" s="18">
        <f t="shared" si="1"/>
        <v>0</v>
      </c>
      <c r="O11" s="22">
        <v>16.100000000000001</v>
      </c>
      <c r="P11" s="22">
        <f>O11+1</f>
        <v>17.100000000000001</v>
      </c>
      <c r="Q11" s="20">
        <f t="shared" si="2"/>
        <v>0</v>
      </c>
      <c r="R11" s="20">
        <f t="shared" si="3"/>
        <v>0</v>
      </c>
      <c r="T11" s="14">
        <f t="shared" si="4"/>
        <v>23</v>
      </c>
      <c r="U11" s="14">
        <f t="shared" si="5"/>
        <v>230</v>
      </c>
      <c r="V11" s="23">
        <f t="shared" si="12"/>
        <v>278.3</v>
      </c>
      <c r="W11" s="14">
        <f t="shared" si="6"/>
        <v>0</v>
      </c>
      <c r="X11" s="14">
        <v>144</v>
      </c>
      <c r="Y11" s="5">
        <f t="shared" si="7"/>
        <v>0</v>
      </c>
      <c r="AA11" s="32"/>
      <c r="AB11" s="24">
        <f t="shared" si="8"/>
        <v>0</v>
      </c>
      <c r="AD11" s="27"/>
      <c r="AE11" s="27">
        <f t="shared" si="9"/>
        <v>0</v>
      </c>
      <c r="AF11" s="28" t="e">
        <f t="shared" si="10"/>
        <v>#DIV/0!</v>
      </c>
      <c r="AG11" s="24">
        <f t="shared" si="11"/>
        <v>0</v>
      </c>
    </row>
    <row r="12" spans="1:33" ht="25.5" x14ac:dyDescent="0.2">
      <c r="A12" s="6" t="s">
        <v>62</v>
      </c>
      <c r="B12" s="6" t="s">
        <v>62</v>
      </c>
      <c r="C12" s="15" t="s">
        <v>36</v>
      </c>
      <c r="D12" s="13">
        <v>25</v>
      </c>
      <c r="E12" s="13">
        <v>300</v>
      </c>
      <c r="F12" s="14">
        <v>10</v>
      </c>
      <c r="G12" s="14">
        <v>150</v>
      </c>
      <c r="H12" s="2" t="s">
        <v>63</v>
      </c>
      <c r="I12" s="17" t="s">
        <v>64</v>
      </c>
      <c r="J12" s="12">
        <v>3917.4</v>
      </c>
      <c r="K12" s="5"/>
      <c r="L12" s="5">
        <f t="shared" si="0"/>
        <v>0</v>
      </c>
      <c r="M12" s="18">
        <f t="shared" si="1"/>
        <v>0</v>
      </c>
      <c r="O12" s="22">
        <v>18.82</v>
      </c>
      <c r="P12" s="22">
        <v>19.82</v>
      </c>
      <c r="Q12" s="20">
        <f t="shared" si="2"/>
        <v>0</v>
      </c>
      <c r="R12" s="20">
        <f t="shared" si="3"/>
        <v>0</v>
      </c>
      <c r="T12" s="14">
        <f t="shared" si="4"/>
        <v>15</v>
      </c>
      <c r="U12" s="14">
        <f t="shared" si="5"/>
        <v>150</v>
      </c>
      <c r="V12" s="23">
        <f t="shared" si="12"/>
        <v>181.50000000000003</v>
      </c>
      <c r="W12" s="14">
        <f t="shared" si="6"/>
        <v>0</v>
      </c>
      <c r="X12" s="14">
        <v>144</v>
      </c>
      <c r="Y12" s="5">
        <f t="shared" si="7"/>
        <v>0</v>
      </c>
      <c r="AA12" s="32"/>
      <c r="AB12" s="24">
        <f t="shared" si="8"/>
        <v>0</v>
      </c>
      <c r="AD12" s="27"/>
      <c r="AE12" s="27">
        <f t="shared" si="9"/>
        <v>0</v>
      </c>
      <c r="AF12" s="28" t="e">
        <f t="shared" si="10"/>
        <v>#DIV/0!</v>
      </c>
      <c r="AG12" s="24">
        <f t="shared" si="11"/>
        <v>0</v>
      </c>
    </row>
    <row r="13" spans="1:33" ht="25.5" x14ac:dyDescent="0.2">
      <c r="A13" s="1">
        <v>90443300</v>
      </c>
      <c r="B13" s="1" t="s">
        <v>65</v>
      </c>
      <c r="C13" s="13" t="s">
        <v>36</v>
      </c>
      <c r="D13" s="13" t="s">
        <v>66</v>
      </c>
      <c r="E13" s="13">
        <v>300</v>
      </c>
      <c r="F13" s="14">
        <v>10</v>
      </c>
      <c r="G13" s="14">
        <v>150</v>
      </c>
      <c r="H13" s="2" t="s">
        <v>67</v>
      </c>
      <c r="I13" s="17" t="s">
        <v>68</v>
      </c>
      <c r="J13" s="12">
        <v>3917.4</v>
      </c>
      <c r="K13" s="5"/>
      <c r="L13" s="5">
        <f t="shared" si="0"/>
        <v>0</v>
      </c>
      <c r="M13" s="18">
        <f t="shared" si="1"/>
        <v>0</v>
      </c>
      <c r="O13" s="22">
        <v>18.82</v>
      </c>
      <c r="P13" s="22">
        <v>19.82</v>
      </c>
      <c r="Q13" s="20">
        <f t="shared" si="2"/>
        <v>0</v>
      </c>
      <c r="R13" s="20">
        <f t="shared" si="3"/>
        <v>0</v>
      </c>
      <c r="T13" s="14">
        <f t="shared" si="4"/>
        <v>15</v>
      </c>
      <c r="U13" s="14">
        <f t="shared" si="5"/>
        <v>150</v>
      </c>
      <c r="V13" s="23">
        <f t="shared" si="12"/>
        <v>181.50000000000003</v>
      </c>
      <c r="W13" s="14">
        <f t="shared" si="6"/>
        <v>0</v>
      </c>
      <c r="X13" s="14">
        <v>144</v>
      </c>
      <c r="Y13" s="5">
        <f t="shared" si="7"/>
        <v>0</v>
      </c>
      <c r="AA13" s="32"/>
      <c r="AB13" s="24">
        <f t="shared" si="8"/>
        <v>0</v>
      </c>
      <c r="AD13" s="27"/>
      <c r="AE13" s="27">
        <f t="shared" si="9"/>
        <v>0</v>
      </c>
      <c r="AF13" s="28" t="e">
        <f t="shared" si="10"/>
        <v>#DIV/0!</v>
      </c>
      <c r="AG13" s="24">
        <f t="shared" si="11"/>
        <v>0</v>
      </c>
    </row>
    <row r="14" spans="1:33" ht="25.5" x14ac:dyDescent="0.2">
      <c r="A14" s="6" t="s">
        <v>69</v>
      </c>
      <c r="B14" s="6" t="s">
        <v>69</v>
      </c>
      <c r="C14" s="15" t="s">
        <v>70</v>
      </c>
      <c r="D14" s="13">
        <v>15</v>
      </c>
      <c r="E14" s="13">
        <v>300</v>
      </c>
      <c r="F14" s="14">
        <v>10</v>
      </c>
      <c r="G14" s="14">
        <v>80</v>
      </c>
      <c r="H14" s="2" t="s">
        <v>71</v>
      </c>
      <c r="I14" s="17" t="s">
        <v>72</v>
      </c>
      <c r="J14" s="12">
        <v>3917.4</v>
      </c>
      <c r="K14" s="5"/>
      <c r="L14" s="5">
        <f t="shared" si="0"/>
        <v>0</v>
      </c>
      <c r="M14" s="18">
        <f t="shared" si="1"/>
        <v>0</v>
      </c>
      <c r="O14" s="22">
        <v>7.5</v>
      </c>
      <c r="P14" s="22">
        <f>O14+1</f>
        <v>8.5</v>
      </c>
      <c r="Q14" s="20">
        <f t="shared" si="2"/>
        <v>0</v>
      </c>
      <c r="R14" s="20">
        <f t="shared" si="3"/>
        <v>0</v>
      </c>
      <c r="T14" s="14">
        <f t="shared" si="4"/>
        <v>8</v>
      </c>
      <c r="U14" s="14">
        <f t="shared" si="5"/>
        <v>80</v>
      </c>
      <c r="V14" s="23">
        <f t="shared" si="12"/>
        <v>96.800000000000011</v>
      </c>
      <c r="W14" s="14">
        <f t="shared" si="6"/>
        <v>0</v>
      </c>
      <c r="X14" s="14">
        <v>144</v>
      </c>
      <c r="Y14" s="5">
        <f t="shared" si="7"/>
        <v>0</v>
      </c>
      <c r="AA14" s="32"/>
      <c r="AB14" s="24">
        <f t="shared" si="8"/>
        <v>0</v>
      </c>
      <c r="AD14" s="27"/>
      <c r="AE14" s="27">
        <f t="shared" si="9"/>
        <v>0</v>
      </c>
      <c r="AF14" s="28" t="e">
        <f t="shared" si="10"/>
        <v>#DIV/0!</v>
      </c>
      <c r="AG14" s="24">
        <f t="shared" si="11"/>
        <v>0</v>
      </c>
    </row>
    <row r="15" spans="1:33" ht="25.5" x14ac:dyDescent="0.2">
      <c r="A15" s="6" t="s">
        <v>73</v>
      </c>
      <c r="B15" s="6" t="s">
        <v>73</v>
      </c>
      <c r="C15" s="15" t="s">
        <v>70</v>
      </c>
      <c r="D15" s="13">
        <v>20</v>
      </c>
      <c r="E15" s="13">
        <v>300</v>
      </c>
      <c r="F15" s="14">
        <v>5</v>
      </c>
      <c r="G15" s="14">
        <v>50</v>
      </c>
      <c r="H15" s="2" t="s">
        <v>74</v>
      </c>
      <c r="I15" s="17" t="s">
        <v>75</v>
      </c>
      <c r="J15" s="12">
        <v>3917.4</v>
      </c>
      <c r="K15" s="5"/>
      <c r="L15" s="5">
        <f t="shared" si="0"/>
        <v>0</v>
      </c>
      <c r="M15" s="18">
        <f t="shared" si="1"/>
        <v>0</v>
      </c>
      <c r="O15" s="22">
        <v>6.2</v>
      </c>
      <c r="P15" s="22">
        <v>7.2</v>
      </c>
      <c r="Q15" s="20">
        <f t="shared" si="2"/>
        <v>0</v>
      </c>
      <c r="R15" s="20">
        <f t="shared" si="3"/>
        <v>0</v>
      </c>
      <c r="T15" s="14">
        <f t="shared" si="4"/>
        <v>10</v>
      </c>
      <c r="U15" s="14">
        <f t="shared" si="5"/>
        <v>50</v>
      </c>
      <c r="V15" s="23">
        <f t="shared" si="12"/>
        <v>66</v>
      </c>
      <c r="W15" s="14">
        <f t="shared" si="6"/>
        <v>0</v>
      </c>
      <c r="X15" s="14">
        <v>144</v>
      </c>
      <c r="Y15" s="5">
        <f t="shared" si="7"/>
        <v>0</v>
      </c>
      <c r="AA15" s="32"/>
      <c r="AB15" s="24">
        <f t="shared" si="8"/>
        <v>0</v>
      </c>
      <c r="AD15" s="27"/>
      <c r="AE15" s="27">
        <f t="shared" si="9"/>
        <v>0</v>
      </c>
      <c r="AF15" s="28" t="e">
        <f t="shared" si="10"/>
        <v>#DIV/0!</v>
      </c>
      <c r="AG15" s="24">
        <f t="shared" si="11"/>
        <v>0</v>
      </c>
    </row>
    <row r="16" spans="1:33" ht="25.5" x14ac:dyDescent="0.2">
      <c r="A16" s="6" t="s">
        <v>76</v>
      </c>
      <c r="B16" s="6" t="s">
        <v>76</v>
      </c>
      <c r="C16" s="15" t="s">
        <v>70</v>
      </c>
      <c r="D16" s="13">
        <v>25</v>
      </c>
      <c r="E16" s="13">
        <v>300</v>
      </c>
      <c r="F16" s="14">
        <v>5</v>
      </c>
      <c r="G16" s="14">
        <v>30</v>
      </c>
      <c r="H16" s="2" t="s">
        <v>77</v>
      </c>
      <c r="I16" s="16" t="s">
        <v>78</v>
      </c>
      <c r="J16" s="12">
        <v>3917.4</v>
      </c>
      <c r="K16" s="5"/>
      <c r="L16" s="5">
        <f t="shared" si="0"/>
        <v>0</v>
      </c>
      <c r="M16" s="18">
        <f t="shared" si="1"/>
        <v>0</v>
      </c>
      <c r="O16" s="22">
        <v>13.7</v>
      </c>
      <c r="P16" s="22">
        <v>14.7</v>
      </c>
      <c r="Q16" s="20">
        <f t="shared" si="2"/>
        <v>0</v>
      </c>
      <c r="R16" s="20">
        <f t="shared" si="3"/>
        <v>0</v>
      </c>
      <c r="T16" s="14">
        <f t="shared" si="4"/>
        <v>6</v>
      </c>
      <c r="U16" s="14">
        <f t="shared" si="5"/>
        <v>30</v>
      </c>
      <c r="V16" s="23">
        <f t="shared" si="12"/>
        <v>39.6</v>
      </c>
      <c r="W16" s="14">
        <f t="shared" si="6"/>
        <v>0</v>
      </c>
      <c r="X16" s="14">
        <v>144</v>
      </c>
      <c r="Y16" s="5">
        <f t="shared" si="7"/>
        <v>0</v>
      </c>
      <c r="AA16" s="32"/>
      <c r="AB16" s="24">
        <f t="shared" si="8"/>
        <v>0</v>
      </c>
      <c r="AD16" s="27"/>
      <c r="AE16" s="27">
        <f t="shared" si="9"/>
        <v>0</v>
      </c>
      <c r="AF16" s="28" t="e">
        <f t="shared" si="10"/>
        <v>#DIV/0!</v>
      </c>
      <c r="AG16" s="24">
        <f t="shared" si="11"/>
        <v>0</v>
      </c>
    </row>
    <row r="17" spans="1:33" x14ac:dyDescent="0.2">
      <c r="A17" s="7"/>
      <c r="B17" s="7"/>
      <c r="C17" s="7"/>
      <c r="D17" s="33"/>
      <c r="E17" s="33"/>
      <c r="F17" s="8"/>
      <c r="G17" s="8"/>
      <c r="H17" s="9"/>
      <c r="I17" s="4" t="s">
        <v>79</v>
      </c>
      <c r="J17" s="4"/>
      <c r="K17" s="4">
        <f>SUBTOTAL(9,K4:K16)</f>
        <v>0</v>
      </c>
      <c r="L17" s="4">
        <f>SUBTOTAL(9,L4:L16)</f>
        <v>0</v>
      </c>
      <c r="M17" s="19">
        <f>SUBTOTAL(9,M4:M16)</f>
        <v>0</v>
      </c>
      <c r="Q17" s="21">
        <f>SUBTOTAL(9,Q4:Q16)</f>
        <v>0</v>
      </c>
      <c r="R17" s="21">
        <f>SUBTOTAL(9,R4:R16)</f>
        <v>0</v>
      </c>
      <c r="T17" s="37" t="s">
        <v>79</v>
      </c>
      <c r="U17" s="38"/>
      <c r="V17" s="39"/>
      <c r="W17" s="13">
        <f>SUBTOTAL(9,W4:W16)</f>
        <v>0</v>
      </c>
      <c r="X17" s="1"/>
      <c r="Y17" s="4">
        <f>SUM(Y4:Y16)</f>
        <v>0</v>
      </c>
      <c r="AA17" s="25"/>
      <c r="AB17" s="25">
        <f>SUBTOTAL(9,AB4:AB16)</f>
        <v>0</v>
      </c>
      <c r="AD17" s="27"/>
      <c r="AE17" s="30">
        <f>SUBTOTAL(9,AE4:AE16)</f>
        <v>0</v>
      </c>
      <c r="AF17" s="31"/>
      <c r="AG17" s="29">
        <f>SUBTOTAL(9,AG4:AG16)</f>
        <v>0</v>
      </c>
    </row>
  </sheetData>
  <mergeCells count="13">
    <mergeCell ref="AF2:AG2"/>
    <mergeCell ref="T17:V17"/>
    <mergeCell ref="AD1:AE1"/>
    <mergeCell ref="F2:G2"/>
    <mergeCell ref="K2:L2"/>
    <mergeCell ref="O2:O3"/>
    <mergeCell ref="P2:P3"/>
    <mergeCell ref="Q2:Q3"/>
    <mergeCell ref="R2:R3"/>
    <mergeCell ref="T2:V2"/>
    <mergeCell ref="AA2:AB2"/>
    <mergeCell ref="AD2:AE2"/>
    <mergeCell ref="AA1:AB1"/>
  </mergeCells>
  <pageMargins left="0.5" right="0.5" top="0.5" bottom="0.5" header="0" footer="0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workbookViewId="0"/>
  </sheetViews>
  <sheetFormatPr defaultColWidth="9.140625" defaultRowHeight="12.75" x14ac:dyDescent="0.2"/>
  <cols>
    <col min="1" max="1" width="13.42578125" style="3" bestFit="1" customWidth="1"/>
    <col min="2" max="2" width="11.28515625" style="3" bestFit="1" customWidth="1"/>
    <col min="3" max="3" width="13.42578125" style="3" customWidth="1"/>
    <col min="4" max="4" width="5.140625" style="3" bestFit="1" customWidth="1"/>
    <col min="5" max="5" width="8.5703125" style="3" bestFit="1" customWidth="1"/>
    <col min="6" max="6" width="6" style="10" bestFit="1" customWidth="1"/>
    <col min="7" max="7" width="6.28515625" style="10" bestFit="1" customWidth="1"/>
    <col min="8" max="8" width="32.7109375" style="3" bestFit="1" customWidth="1"/>
    <col min="9" max="9" width="14.140625" style="3" bestFit="1" customWidth="1"/>
    <col min="10" max="10" width="14.140625" style="3" customWidth="1"/>
    <col min="11" max="11" width="7" style="3" bestFit="1" customWidth="1"/>
    <col min="12" max="12" width="7.28515625" style="3" bestFit="1" customWidth="1"/>
    <col min="13" max="13" width="8" style="3" bestFit="1" customWidth="1"/>
    <col min="14" max="16384" width="9.140625" style="3"/>
  </cols>
  <sheetData>
    <row r="1" spans="1:17" ht="19.5" customHeight="1" x14ac:dyDescent="0.2">
      <c r="A1" s="34" t="s">
        <v>1</v>
      </c>
      <c r="B1" s="34" t="s">
        <v>2</v>
      </c>
      <c r="C1" s="34" t="s">
        <v>3</v>
      </c>
      <c r="D1" s="34" t="s">
        <v>4</v>
      </c>
      <c r="E1" s="34" t="s">
        <v>5</v>
      </c>
      <c r="F1" s="41" t="s">
        <v>6</v>
      </c>
      <c r="G1" s="42"/>
      <c r="H1" s="34" t="s">
        <v>7</v>
      </c>
      <c r="I1" s="34" t="s">
        <v>8</v>
      </c>
      <c r="J1" s="34" t="s">
        <v>9</v>
      </c>
      <c r="K1" s="41" t="s">
        <v>10</v>
      </c>
      <c r="L1" s="42"/>
      <c r="M1" s="34" t="s">
        <v>11</v>
      </c>
      <c r="N1" s="43" t="s">
        <v>12</v>
      </c>
      <c r="O1" s="44" t="s">
        <v>13</v>
      </c>
      <c r="P1" s="43" t="s">
        <v>14</v>
      </c>
      <c r="Q1" s="43" t="s">
        <v>15</v>
      </c>
    </row>
    <row r="2" spans="1:17" ht="19.5" customHeight="1" x14ac:dyDescent="0.2">
      <c r="A2" s="5"/>
      <c r="B2" s="5"/>
      <c r="C2" s="14"/>
      <c r="D2" s="34" t="s">
        <v>22</v>
      </c>
      <c r="E2" s="34" t="s">
        <v>22</v>
      </c>
      <c r="F2" s="34" t="s">
        <v>23</v>
      </c>
      <c r="G2" s="34" t="s">
        <v>24</v>
      </c>
      <c r="H2" s="1"/>
      <c r="I2" s="34"/>
      <c r="J2" s="34"/>
      <c r="K2" s="34" t="s">
        <v>25</v>
      </c>
      <c r="L2" s="34" t="s">
        <v>26</v>
      </c>
      <c r="M2" s="14"/>
      <c r="N2" s="43"/>
      <c r="O2" s="44"/>
      <c r="P2" s="43"/>
      <c r="Q2" s="43"/>
    </row>
    <row r="3" spans="1:17" ht="25.5" x14ac:dyDescent="0.2">
      <c r="A3" s="6" t="s">
        <v>35</v>
      </c>
      <c r="B3" s="6" t="s">
        <v>35</v>
      </c>
      <c r="C3" s="15" t="s">
        <v>36</v>
      </c>
      <c r="D3" s="34">
        <v>15</v>
      </c>
      <c r="E3" s="34"/>
      <c r="F3" s="14">
        <v>50</v>
      </c>
      <c r="G3" s="14">
        <v>1000</v>
      </c>
      <c r="H3" s="2" t="s">
        <v>37</v>
      </c>
      <c r="I3" s="16" t="s">
        <v>38</v>
      </c>
      <c r="J3" s="12">
        <v>3917.4</v>
      </c>
      <c r="K3" s="5"/>
      <c r="L3" s="5">
        <f t="shared" ref="L3:L15" si="0">K3/G3</f>
        <v>0</v>
      </c>
      <c r="M3" s="18">
        <f t="shared" ref="M3:M15" si="1">L3*0.06</f>
        <v>0</v>
      </c>
      <c r="N3" s="22">
        <v>15.2</v>
      </c>
      <c r="O3" s="22">
        <f>N3+1</f>
        <v>16.2</v>
      </c>
      <c r="P3" s="20">
        <f>N3*L3</f>
        <v>0</v>
      </c>
      <c r="Q3" s="20">
        <f>O3*L3</f>
        <v>0</v>
      </c>
    </row>
    <row r="4" spans="1:17" ht="25.5" x14ac:dyDescent="0.2">
      <c r="A4" s="6" t="s">
        <v>39</v>
      </c>
      <c r="B4" s="6" t="s">
        <v>39</v>
      </c>
      <c r="C4" s="15" t="s">
        <v>36</v>
      </c>
      <c r="D4" s="34">
        <v>20</v>
      </c>
      <c r="E4" s="34"/>
      <c r="F4" s="14">
        <v>50</v>
      </c>
      <c r="G4" s="14">
        <v>600</v>
      </c>
      <c r="H4" s="2" t="s">
        <v>40</v>
      </c>
      <c r="I4" s="16" t="s">
        <v>41</v>
      </c>
      <c r="J4" s="12">
        <v>3917.4</v>
      </c>
      <c r="K4" s="5"/>
      <c r="L4" s="5">
        <f t="shared" si="0"/>
        <v>0</v>
      </c>
      <c r="M4" s="18">
        <f t="shared" si="1"/>
        <v>0</v>
      </c>
      <c r="N4" s="22">
        <v>12</v>
      </c>
      <c r="O4" s="22">
        <v>13</v>
      </c>
      <c r="P4" s="20">
        <f>N4*L4</f>
        <v>0</v>
      </c>
      <c r="Q4" s="20">
        <f>O4*L4</f>
        <v>0</v>
      </c>
    </row>
    <row r="5" spans="1:17" ht="25.5" x14ac:dyDescent="0.2">
      <c r="A5" s="6" t="s">
        <v>42</v>
      </c>
      <c r="B5" s="6" t="s">
        <v>42</v>
      </c>
      <c r="C5" s="15" t="s">
        <v>36</v>
      </c>
      <c r="D5" s="34">
        <v>25</v>
      </c>
      <c r="E5" s="34"/>
      <c r="F5" s="14">
        <v>50</v>
      </c>
      <c r="G5" s="14">
        <v>350</v>
      </c>
      <c r="H5" s="2" t="s">
        <v>43</v>
      </c>
      <c r="I5" s="16" t="s">
        <v>44</v>
      </c>
      <c r="J5" s="12">
        <v>3917.4</v>
      </c>
      <c r="K5" s="5"/>
      <c r="L5" s="5">
        <f t="shared" si="0"/>
        <v>0</v>
      </c>
      <c r="M5" s="18">
        <f t="shared" si="1"/>
        <v>0</v>
      </c>
      <c r="N5" s="22">
        <v>7.8</v>
      </c>
      <c r="O5" s="22">
        <v>8.8000000000000007</v>
      </c>
      <c r="P5" s="20">
        <f>N5*L5</f>
        <v>0</v>
      </c>
      <c r="Q5" s="20">
        <f>O5*L5</f>
        <v>0</v>
      </c>
    </row>
    <row r="6" spans="1:17" ht="25.5" x14ac:dyDescent="0.2">
      <c r="A6" s="6" t="s">
        <v>45</v>
      </c>
      <c r="B6" s="6" t="s">
        <v>45</v>
      </c>
      <c r="C6" s="15" t="s">
        <v>36</v>
      </c>
      <c r="D6" s="34">
        <v>15</v>
      </c>
      <c r="E6" s="34">
        <v>50</v>
      </c>
      <c r="F6" s="14">
        <v>50</v>
      </c>
      <c r="G6" s="14">
        <v>1800</v>
      </c>
      <c r="H6" s="2" t="s">
        <v>46</v>
      </c>
      <c r="I6" s="16" t="s">
        <v>47</v>
      </c>
      <c r="J6" s="12">
        <v>3917.4</v>
      </c>
      <c r="K6" s="5"/>
      <c r="L6" s="5">
        <f t="shared" si="0"/>
        <v>0</v>
      </c>
      <c r="M6" s="18">
        <f t="shared" si="1"/>
        <v>0</v>
      </c>
      <c r="N6" s="22">
        <v>12.9</v>
      </c>
      <c r="O6" s="22">
        <v>14.2</v>
      </c>
      <c r="P6" s="20">
        <f>N6*L6</f>
        <v>0</v>
      </c>
      <c r="Q6" s="20">
        <f>O6*L6</f>
        <v>0</v>
      </c>
    </row>
    <row r="7" spans="1:17" ht="25.5" x14ac:dyDescent="0.2">
      <c r="A7" s="6" t="s">
        <v>48</v>
      </c>
      <c r="B7" s="6" t="s">
        <v>48</v>
      </c>
      <c r="C7" s="15" t="s">
        <v>36</v>
      </c>
      <c r="D7" s="34">
        <v>15</v>
      </c>
      <c r="E7" s="34">
        <v>300</v>
      </c>
      <c r="F7" s="14">
        <v>10</v>
      </c>
      <c r="G7" s="14">
        <v>300</v>
      </c>
      <c r="H7" s="2" t="s">
        <v>49</v>
      </c>
      <c r="I7" s="16" t="s">
        <v>50</v>
      </c>
      <c r="J7" s="12">
        <v>3917.4</v>
      </c>
      <c r="K7" s="5"/>
      <c r="L7" s="5">
        <f t="shared" si="0"/>
        <v>0</v>
      </c>
      <c r="M7" s="18">
        <f t="shared" si="1"/>
        <v>0</v>
      </c>
      <c r="N7" s="22">
        <v>15.6</v>
      </c>
      <c r="O7" s="22">
        <f t="shared" ref="O7:O8" si="2">N7+1</f>
        <v>16.600000000000001</v>
      </c>
      <c r="P7" s="20">
        <f>N7*L7</f>
        <v>0</v>
      </c>
      <c r="Q7" s="20">
        <f>O7*L7</f>
        <v>0</v>
      </c>
    </row>
    <row r="8" spans="1:17" ht="25.5" x14ac:dyDescent="0.2">
      <c r="A8" s="1">
        <v>90441300</v>
      </c>
      <c r="B8" s="1" t="s">
        <v>51</v>
      </c>
      <c r="C8" s="34" t="s">
        <v>36</v>
      </c>
      <c r="D8" s="34" t="s">
        <v>52</v>
      </c>
      <c r="E8" s="34">
        <v>300</v>
      </c>
      <c r="F8" s="14">
        <v>10</v>
      </c>
      <c r="G8" s="14">
        <v>300</v>
      </c>
      <c r="H8" s="2" t="s">
        <v>53</v>
      </c>
      <c r="I8" s="16" t="s">
        <v>54</v>
      </c>
      <c r="J8" s="12">
        <v>3917.4</v>
      </c>
      <c r="K8" s="5"/>
      <c r="L8" s="5">
        <f t="shared" si="0"/>
        <v>0</v>
      </c>
      <c r="M8" s="18">
        <f t="shared" si="1"/>
        <v>0</v>
      </c>
      <c r="N8" s="22">
        <v>15.6</v>
      </c>
      <c r="O8" s="22">
        <f t="shared" si="2"/>
        <v>16.600000000000001</v>
      </c>
      <c r="P8" s="20">
        <f>N8*L8</f>
        <v>0</v>
      </c>
      <c r="Q8" s="20">
        <f>O8*L8</f>
        <v>0</v>
      </c>
    </row>
    <row r="9" spans="1:17" ht="25.5" x14ac:dyDescent="0.2">
      <c r="A9" s="6" t="s">
        <v>55</v>
      </c>
      <c r="B9" s="6" t="s">
        <v>55</v>
      </c>
      <c r="C9" s="15" t="s">
        <v>36</v>
      </c>
      <c r="D9" s="34">
        <v>20</v>
      </c>
      <c r="E9" s="34">
        <v>300</v>
      </c>
      <c r="F9" s="14">
        <v>10</v>
      </c>
      <c r="G9" s="14">
        <v>230</v>
      </c>
      <c r="H9" s="2" t="s">
        <v>56</v>
      </c>
      <c r="I9" s="16" t="s">
        <v>57</v>
      </c>
      <c r="J9" s="12">
        <v>3917.4</v>
      </c>
      <c r="K9" s="5"/>
      <c r="L9" s="5">
        <f t="shared" si="0"/>
        <v>0</v>
      </c>
      <c r="M9" s="18">
        <f t="shared" si="1"/>
        <v>0</v>
      </c>
      <c r="N9" s="22">
        <v>16.100000000000001</v>
      </c>
      <c r="O9" s="22">
        <f>N9+1</f>
        <v>17.100000000000001</v>
      </c>
      <c r="P9" s="20">
        <f>N9*L9</f>
        <v>0</v>
      </c>
      <c r="Q9" s="20">
        <f>O9*L9</f>
        <v>0</v>
      </c>
    </row>
    <row r="10" spans="1:17" ht="25.5" x14ac:dyDescent="0.2">
      <c r="A10" s="1">
        <v>90442300</v>
      </c>
      <c r="B10" s="1" t="s">
        <v>58</v>
      </c>
      <c r="C10" s="34" t="s">
        <v>36</v>
      </c>
      <c r="D10" s="34" t="s">
        <v>59</v>
      </c>
      <c r="E10" s="34">
        <v>300</v>
      </c>
      <c r="F10" s="14">
        <v>10</v>
      </c>
      <c r="G10" s="14">
        <v>230</v>
      </c>
      <c r="H10" s="2" t="s">
        <v>60</v>
      </c>
      <c r="I10" s="16" t="s">
        <v>61</v>
      </c>
      <c r="J10" s="12">
        <v>3917.4</v>
      </c>
      <c r="K10" s="5"/>
      <c r="L10" s="5">
        <f t="shared" si="0"/>
        <v>0</v>
      </c>
      <c r="M10" s="18">
        <f t="shared" si="1"/>
        <v>0</v>
      </c>
      <c r="N10" s="22">
        <v>16.100000000000001</v>
      </c>
      <c r="O10" s="22">
        <f>N10+1</f>
        <v>17.100000000000001</v>
      </c>
      <c r="P10" s="20">
        <f>N10*L10</f>
        <v>0</v>
      </c>
      <c r="Q10" s="20">
        <f>O10*L10</f>
        <v>0</v>
      </c>
    </row>
    <row r="11" spans="1:17" ht="25.5" x14ac:dyDescent="0.2">
      <c r="A11" s="6" t="s">
        <v>62</v>
      </c>
      <c r="B11" s="6" t="s">
        <v>62</v>
      </c>
      <c r="C11" s="15" t="s">
        <v>36</v>
      </c>
      <c r="D11" s="34">
        <v>25</v>
      </c>
      <c r="E11" s="34">
        <v>300</v>
      </c>
      <c r="F11" s="14">
        <v>10</v>
      </c>
      <c r="G11" s="14">
        <v>150</v>
      </c>
      <c r="H11" s="2" t="s">
        <v>63</v>
      </c>
      <c r="I11" s="17" t="s">
        <v>64</v>
      </c>
      <c r="J11" s="12">
        <v>3917.4</v>
      </c>
      <c r="K11" s="5"/>
      <c r="L11" s="5">
        <f t="shared" si="0"/>
        <v>0</v>
      </c>
      <c r="M11" s="18">
        <f t="shared" si="1"/>
        <v>0</v>
      </c>
      <c r="N11" s="22">
        <v>18.82</v>
      </c>
      <c r="O11" s="22">
        <v>19.82</v>
      </c>
      <c r="P11" s="20">
        <f>N11*L11</f>
        <v>0</v>
      </c>
      <c r="Q11" s="20">
        <f>O11*L11</f>
        <v>0</v>
      </c>
    </row>
    <row r="12" spans="1:17" ht="25.5" x14ac:dyDescent="0.2">
      <c r="A12" s="1">
        <v>90443300</v>
      </c>
      <c r="B12" s="1" t="s">
        <v>65</v>
      </c>
      <c r="C12" s="34" t="s">
        <v>36</v>
      </c>
      <c r="D12" s="34" t="s">
        <v>66</v>
      </c>
      <c r="E12" s="34">
        <v>300</v>
      </c>
      <c r="F12" s="14">
        <v>10</v>
      </c>
      <c r="G12" s="14">
        <v>150</v>
      </c>
      <c r="H12" s="2" t="s">
        <v>67</v>
      </c>
      <c r="I12" s="17" t="s">
        <v>68</v>
      </c>
      <c r="J12" s="12">
        <v>3917.4</v>
      </c>
      <c r="K12" s="5"/>
      <c r="L12" s="5">
        <f t="shared" si="0"/>
        <v>0</v>
      </c>
      <c r="M12" s="18">
        <f t="shared" si="1"/>
        <v>0</v>
      </c>
      <c r="N12" s="22">
        <v>18.82</v>
      </c>
      <c r="O12" s="22">
        <v>19.82</v>
      </c>
      <c r="P12" s="20">
        <f>N12*L12</f>
        <v>0</v>
      </c>
      <c r="Q12" s="20">
        <f>O12*L12</f>
        <v>0</v>
      </c>
    </row>
    <row r="13" spans="1:17" ht="25.5" x14ac:dyDescent="0.2">
      <c r="A13" s="6" t="s">
        <v>69</v>
      </c>
      <c r="B13" s="6" t="s">
        <v>69</v>
      </c>
      <c r="C13" s="15" t="s">
        <v>70</v>
      </c>
      <c r="D13" s="34">
        <v>15</v>
      </c>
      <c r="E13" s="34">
        <v>300</v>
      </c>
      <c r="F13" s="14">
        <v>10</v>
      </c>
      <c r="G13" s="14">
        <v>80</v>
      </c>
      <c r="H13" s="2" t="s">
        <v>71</v>
      </c>
      <c r="I13" s="17" t="s">
        <v>72</v>
      </c>
      <c r="J13" s="12">
        <v>3917.4</v>
      </c>
      <c r="K13" s="5"/>
      <c r="L13" s="5">
        <f t="shared" si="0"/>
        <v>0</v>
      </c>
      <c r="M13" s="18">
        <f t="shared" si="1"/>
        <v>0</v>
      </c>
      <c r="N13" s="22">
        <v>7.5</v>
      </c>
      <c r="O13" s="22">
        <f>N13+1</f>
        <v>8.5</v>
      </c>
      <c r="P13" s="20">
        <f>N13*L13</f>
        <v>0</v>
      </c>
      <c r="Q13" s="20">
        <f>O13*L13</f>
        <v>0</v>
      </c>
    </row>
    <row r="14" spans="1:17" ht="25.5" x14ac:dyDescent="0.2">
      <c r="A14" s="6" t="s">
        <v>73</v>
      </c>
      <c r="B14" s="6" t="s">
        <v>73</v>
      </c>
      <c r="C14" s="15" t="s">
        <v>70</v>
      </c>
      <c r="D14" s="34">
        <v>20</v>
      </c>
      <c r="E14" s="34">
        <v>300</v>
      </c>
      <c r="F14" s="14">
        <v>5</v>
      </c>
      <c r="G14" s="14">
        <v>50</v>
      </c>
      <c r="H14" s="2" t="s">
        <v>74</v>
      </c>
      <c r="I14" s="17" t="s">
        <v>75</v>
      </c>
      <c r="J14" s="12">
        <v>3917.4</v>
      </c>
      <c r="K14" s="5"/>
      <c r="L14" s="5">
        <f t="shared" si="0"/>
        <v>0</v>
      </c>
      <c r="M14" s="18">
        <f t="shared" si="1"/>
        <v>0</v>
      </c>
      <c r="N14" s="22">
        <v>6.2</v>
      </c>
      <c r="O14" s="22">
        <v>7.2</v>
      </c>
      <c r="P14" s="20">
        <f>N14*L14</f>
        <v>0</v>
      </c>
      <c r="Q14" s="20">
        <f>O14*L14</f>
        <v>0</v>
      </c>
    </row>
    <row r="15" spans="1:17" ht="25.5" x14ac:dyDescent="0.2">
      <c r="A15" s="6" t="s">
        <v>76</v>
      </c>
      <c r="B15" s="6" t="s">
        <v>76</v>
      </c>
      <c r="C15" s="15" t="s">
        <v>70</v>
      </c>
      <c r="D15" s="34">
        <v>25</v>
      </c>
      <c r="E15" s="34">
        <v>300</v>
      </c>
      <c r="F15" s="14">
        <v>5</v>
      </c>
      <c r="G15" s="14">
        <v>30</v>
      </c>
      <c r="H15" s="2" t="s">
        <v>77</v>
      </c>
      <c r="I15" s="16" t="s">
        <v>78</v>
      </c>
      <c r="J15" s="12">
        <v>3917.4</v>
      </c>
      <c r="K15" s="5"/>
      <c r="L15" s="5">
        <f t="shared" si="0"/>
        <v>0</v>
      </c>
      <c r="M15" s="18">
        <f t="shared" si="1"/>
        <v>0</v>
      </c>
      <c r="N15" s="22">
        <v>13.7</v>
      </c>
      <c r="O15" s="22">
        <v>14.7</v>
      </c>
      <c r="P15" s="20">
        <f>N15*L15</f>
        <v>0</v>
      </c>
      <c r="Q15" s="20">
        <f>O15*L15</f>
        <v>0</v>
      </c>
    </row>
    <row r="16" spans="1:17" x14ac:dyDescent="0.2">
      <c r="A16" s="7"/>
      <c r="B16" s="7"/>
      <c r="C16" s="7"/>
      <c r="D16" s="35"/>
      <c r="E16" s="35"/>
      <c r="F16" s="8"/>
      <c r="G16" s="8"/>
      <c r="H16" s="9"/>
      <c r="I16" s="4" t="s">
        <v>79</v>
      </c>
      <c r="J16" s="4"/>
      <c r="K16" s="4">
        <f>SUBTOTAL(9,K3:K15)</f>
        <v>0</v>
      </c>
      <c r="L16" s="4">
        <f>SUBTOTAL(9,L3:L15)</f>
        <v>0</v>
      </c>
      <c r="M16" s="19">
        <f>SUBTOTAL(9,M3:M15)</f>
        <v>0</v>
      </c>
      <c r="P16" s="21">
        <f>SUBTOTAL(9,P3:P15)</f>
        <v>0</v>
      </c>
      <c r="Q16" s="21">
        <f>SUBTOTAL(9,Q3:Q15)</f>
        <v>0</v>
      </c>
    </row>
  </sheetData>
  <mergeCells count="6">
    <mergeCell ref="F1:G1"/>
    <mergeCell ref="K1:L1"/>
    <mergeCell ref="N1:N2"/>
    <mergeCell ref="O1:O2"/>
    <mergeCell ref="P1:P2"/>
    <mergeCell ref="Q1:Q2"/>
  </mergeCells>
  <pageMargins left="0.5" right="0.5" top="0.5" bottom="0.5" header="0" footer="0"/>
  <pageSetup paperSize="9" scale="1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6"/>
  <sheetViews>
    <sheetView workbookViewId="0"/>
  </sheetViews>
  <sheetFormatPr defaultColWidth="9.140625" defaultRowHeight="12.75" x14ac:dyDescent="0.2"/>
  <cols>
    <col min="1" max="1" width="13.42578125" style="3" bestFit="1" customWidth="1"/>
    <col min="2" max="2" width="11.28515625" style="3" bestFit="1" customWidth="1"/>
    <col min="3" max="3" width="13.42578125" style="3" customWidth="1"/>
    <col min="4" max="4" width="5.140625" style="3" bestFit="1" customWidth="1"/>
    <col min="5" max="5" width="8.5703125" style="3" bestFit="1" customWidth="1"/>
    <col min="6" max="6" width="6" style="10" bestFit="1" customWidth="1"/>
    <col min="7" max="7" width="6.28515625" style="10" bestFit="1" customWidth="1"/>
    <col min="8" max="8" width="32.7109375" style="3" bestFit="1" customWidth="1"/>
    <col min="9" max="9" width="14.140625" style="3" bestFit="1" customWidth="1"/>
    <col min="10" max="10" width="14.140625" style="3" customWidth="1"/>
    <col min="11" max="11" width="7" style="3" bestFit="1" customWidth="1"/>
    <col min="12" max="12" width="7.28515625" style="3" bestFit="1" customWidth="1"/>
    <col min="13" max="13" width="7.5703125" style="3" bestFit="1" customWidth="1"/>
    <col min="14" max="14" width="6.42578125" style="3" bestFit="1" customWidth="1"/>
    <col min="15" max="15" width="5.5703125" style="3" bestFit="1" customWidth="1"/>
    <col min="16" max="16" width="7" style="3" bestFit="1" customWidth="1"/>
    <col min="17" max="17" width="7" style="3" customWidth="1"/>
    <col min="18" max="18" width="8.28515625" style="3" bestFit="1" customWidth="1"/>
    <col min="19" max="16384" width="9.140625" style="3"/>
  </cols>
  <sheetData>
    <row r="1" spans="1:18" ht="19.5" customHeight="1" x14ac:dyDescent="0.2">
      <c r="A1" s="34" t="s">
        <v>1</v>
      </c>
      <c r="B1" s="34" t="s">
        <v>2</v>
      </c>
      <c r="C1" s="34" t="s">
        <v>3</v>
      </c>
      <c r="D1" s="34" t="s">
        <v>4</v>
      </c>
      <c r="E1" s="34" t="s">
        <v>5</v>
      </c>
      <c r="F1" s="41" t="s">
        <v>6</v>
      </c>
      <c r="G1" s="42"/>
      <c r="H1" s="34" t="s">
        <v>7</v>
      </c>
      <c r="I1" s="34" t="s">
        <v>8</v>
      </c>
      <c r="J1" s="34" t="s">
        <v>9</v>
      </c>
      <c r="K1" s="41" t="s">
        <v>10</v>
      </c>
      <c r="L1" s="42"/>
      <c r="M1" s="36" t="s">
        <v>16</v>
      </c>
      <c r="N1" s="36"/>
      <c r="O1" s="36"/>
      <c r="P1" s="34" t="s">
        <v>17</v>
      </c>
      <c r="Q1" s="34" t="s">
        <v>18</v>
      </c>
      <c r="R1" s="34" t="s">
        <v>19</v>
      </c>
    </row>
    <row r="2" spans="1:18" ht="19.5" customHeight="1" x14ac:dyDescent="0.2">
      <c r="A2" s="5"/>
      <c r="B2" s="5"/>
      <c r="C2" s="14"/>
      <c r="D2" s="34" t="s">
        <v>22</v>
      </c>
      <c r="E2" s="34" t="s">
        <v>22</v>
      </c>
      <c r="F2" s="34" t="s">
        <v>23</v>
      </c>
      <c r="G2" s="34" t="s">
        <v>24</v>
      </c>
      <c r="H2" s="1"/>
      <c r="I2" s="34"/>
      <c r="J2" s="34"/>
      <c r="K2" s="34" t="s">
        <v>25</v>
      </c>
      <c r="L2" s="34" t="s">
        <v>26</v>
      </c>
      <c r="M2" s="34" t="s">
        <v>27</v>
      </c>
      <c r="N2" s="34" t="s">
        <v>28</v>
      </c>
      <c r="O2" s="34" t="s">
        <v>29</v>
      </c>
      <c r="P2" s="14"/>
      <c r="Q2" s="34" t="s">
        <v>30</v>
      </c>
      <c r="R2" s="34" t="s">
        <v>31</v>
      </c>
    </row>
    <row r="3" spans="1:18" ht="25.5" x14ac:dyDescent="0.2">
      <c r="A3" s="6" t="s">
        <v>35</v>
      </c>
      <c r="B3" s="6" t="s">
        <v>35</v>
      </c>
      <c r="C3" s="15" t="s">
        <v>36</v>
      </c>
      <c r="D3" s="34">
        <v>15</v>
      </c>
      <c r="E3" s="34"/>
      <c r="F3" s="14">
        <v>50</v>
      </c>
      <c r="G3" s="14">
        <v>1000</v>
      </c>
      <c r="H3" s="2" t="s">
        <v>37</v>
      </c>
      <c r="I3" s="16" t="s">
        <v>38</v>
      </c>
      <c r="J3" s="12">
        <v>3917.4</v>
      </c>
      <c r="K3" s="5"/>
      <c r="L3" s="5">
        <f t="shared" ref="L3:L15" si="0">K3/G3</f>
        <v>0</v>
      </c>
      <c r="M3" s="14">
        <f t="shared" ref="M3:M15" si="1">$G3/$F3</f>
        <v>20</v>
      </c>
      <c r="N3" s="14">
        <f t="shared" ref="N3:N15" si="2">$G3</f>
        <v>1000</v>
      </c>
      <c r="O3" s="23">
        <f>(N3+M3)*1.1</f>
        <v>1122</v>
      </c>
      <c r="P3" s="14">
        <f t="shared" ref="P3:P15" si="3">$L3*O3</f>
        <v>0</v>
      </c>
      <c r="Q3" s="14">
        <v>276</v>
      </c>
      <c r="R3" s="5">
        <f t="shared" ref="R3:R15" si="4">ROUNDUP(P3/Q3,)</f>
        <v>0</v>
      </c>
    </row>
    <row r="4" spans="1:18" ht="25.5" x14ac:dyDescent="0.2">
      <c r="A4" s="6" t="s">
        <v>39</v>
      </c>
      <c r="B4" s="6" t="s">
        <v>39</v>
      </c>
      <c r="C4" s="15" t="s">
        <v>36</v>
      </c>
      <c r="D4" s="34">
        <v>20</v>
      </c>
      <c r="E4" s="34"/>
      <c r="F4" s="14">
        <v>50</v>
      </c>
      <c r="G4" s="14">
        <v>600</v>
      </c>
      <c r="H4" s="2" t="s">
        <v>40</v>
      </c>
      <c r="I4" s="16" t="s">
        <v>41</v>
      </c>
      <c r="J4" s="12">
        <v>3917.4</v>
      </c>
      <c r="K4" s="5"/>
      <c r="L4" s="5">
        <f t="shared" si="0"/>
        <v>0</v>
      </c>
      <c r="M4" s="14">
        <f t="shared" si="1"/>
        <v>12</v>
      </c>
      <c r="N4" s="14">
        <f t="shared" si="2"/>
        <v>600</v>
      </c>
      <c r="O4" s="23">
        <f>(N4+M4)*1.1</f>
        <v>673.2</v>
      </c>
      <c r="P4" s="14">
        <f t="shared" si="3"/>
        <v>0</v>
      </c>
      <c r="Q4" s="14">
        <v>276</v>
      </c>
      <c r="R4" s="5">
        <f t="shared" si="4"/>
        <v>0</v>
      </c>
    </row>
    <row r="5" spans="1:18" ht="25.5" x14ac:dyDescent="0.2">
      <c r="A5" s="6" t="s">
        <v>42</v>
      </c>
      <c r="B5" s="6" t="s">
        <v>42</v>
      </c>
      <c r="C5" s="15" t="s">
        <v>36</v>
      </c>
      <c r="D5" s="34">
        <v>25</v>
      </c>
      <c r="E5" s="34"/>
      <c r="F5" s="14">
        <v>50</v>
      </c>
      <c r="G5" s="14">
        <v>350</v>
      </c>
      <c r="H5" s="2" t="s">
        <v>43</v>
      </c>
      <c r="I5" s="16" t="s">
        <v>44</v>
      </c>
      <c r="J5" s="12">
        <v>3917.4</v>
      </c>
      <c r="K5" s="5"/>
      <c r="L5" s="5">
        <f t="shared" si="0"/>
        <v>0</v>
      </c>
      <c r="M5" s="14">
        <f t="shared" si="1"/>
        <v>7</v>
      </c>
      <c r="N5" s="14">
        <f t="shared" si="2"/>
        <v>350</v>
      </c>
      <c r="O5" s="23">
        <f>(N5+M5)*1.1</f>
        <v>392.70000000000005</v>
      </c>
      <c r="P5" s="14">
        <f t="shared" si="3"/>
        <v>0</v>
      </c>
      <c r="Q5" s="14">
        <v>276</v>
      </c>
      <c r="R5" s="5">
        <f t="shared" si="4"/>
        <v>0</v>
      </c>
    </row>
    <row r="6" spans="1:18" ht="25.5" x14ac:dyDescent="0.2">
      <c r="A6" s="6" t="s">
        <v>45</v>
      </c>
      <c r="B6" s="6" t="s">
        <v>45</v>
      </c>
      <c r="C6" s="15" t="s">
        <v>36</v>
      </c>
      <c r="D6" s="34">
        <v>15</v>
      </c>
      <c r="E6" s="34">
        <v>50</v>
      </c>
      <c r="F6" s="14">
        <v>50</v>
      </c>
      <c r="G6" s="14">
        <v>1800</v>
      </c>
      <c r="H6" s="2" t="s">
        <v>46</v>
      </c>
      <c r="I6" s="16" t="s">
        <v>47</v>
      </c>
      <c r="J6" s="12">
        <v>3917.4</v>
      </c>
      <c r="K6" s="5"/>
      <c r="L6" s="5">
        <f t="shared" si="0"/>
        <v>0</v>
      </c>
      <c r="M6" s="14">
        <f t="shared" si="1"/>
        <v>36</v>
      </c>
      <c r="N6" s="14">
        <f t="shared" si="2"/>
        <v>1800</v>
      </c>
      <c r="O6" s="23">
        <f t="shared" ref="O6:O15" si="5">(N6+M6)*1.1</f>
        <v>2019.6000000000001</v>
      </c>
      <c r="P6" s="14">
        <f t="shared" si="3"/>
        <v>0</v>
      </c>
      <c r="Q6" s="14">
        <v>144</v>
      </c>
      <c r="R6" s="5">
        <f t="shared" si="4"/>
        <v>0</v>
      </c>
    </row>
    <row r="7" spans="1:18" ht="25.5" x14ac:dyDescent="0.2">
      <c r="A7" s="6" t="s">
        <v>48</v>
      </c>
      <c r="B7" s="6" t="s">
        <v>48</v>
      </c>
      <c r="C7" s="15" t="s">
        <v>36</v>
      </c>
      <c r="D7" s="34">
        <v>15</v>
      </c>
      <c r="E7" s="34">
        <v>300</v>
      </c>
      <c r="F7" s="14">
        <v>10</v>
      </c>
      <c r="G7" s="14">
        <v>300</v>
      </c>
      <c r="H7" s="2" t="s">
        <v>49</v>
      </c>
      <c r="I7" s="16" t="s">
        <v>50</v>
      </c>
      <c r="J7" s="12">
        <v>3917.4</v>
      </c>
      <c r="K7" s="5"/>
      <c r="L7" s="5">
        <f t="shared" si="0"/>
        <v>0</v>
      </c>
      <c r="M7" s="14">
        <f t="shared" si="1"/>
        <v>30</v>
      </c>
      <c r="N7" s="14">
        <f t="shared" si="2"/>
        <v>300</v>
      </c>
      <c r="O7" s="23">
        <f t="shared" si="5"/>
        <v>363.00000000000006</v>
      </c>
      <c r="P7" s="14">
        <f t="shared" si="3"/>
        <v>0</v>
      </c>
      <c r="Q7" s="14">
        <v>144</v>
      </c>
      <c r="R7" s="5">
        <f t="shared" si="4"/>
        <v>0</v>
      </c>
    </row>
    <row r="8" spans="1:18" ht="25.5" x14ac:dyDescent="0.2">
      <c r="A8" s="1">
        <v>90441300</v>
      </c>
      <c r="B8" s="1" t="s">
        <v>51</v>
      </c>
      <c r="C8" s="34" t="s">
        <v>36</v>
      </c>
      <c r="D8" s="34" t="s">
        <v>52</v>
      </c>
      <c r="E8" s="34">
        <v>300</v>
      </c>
      <c r="F8" s="14">
        <v>10</v>
      </c>
      <c r="G8" s="14">
        <v>300</v>
      </c>
      <c r="H8" s="2" t="s">
        <v>53</v>
      </c>
      <c r="I8" s="16" t="s">
        <v>54</v>
      </c>
      <c r="J8" s="12">
        <v>3917.4</v>
      </c>
      <c r="K8" s="5"/>
      <c r="L8" s="5">
        <f t="shared" si="0"/>
        <v>0</v>
      </c>
      <c r="M8" s="14">
        <f t="shared" si="1"/>
        <v>30</v>
      </c>
      <c r="N8" s="14">
        <f t="shared" si="2"/>
        <v>300</v>
      </c>
      <c r="O8" s="23">
        <f t="shared" si="5"/>
        <v>363.00000000000006</v>
      </c>
      <c r="P8" s="14">
        <f t="shared" si="3"/>
        <v>0</v>
      </c>
      <c r="Q8" s="14">
        <v>144</v>
      </c>
      <c r="R8" s="5">
        <f t="shared" si="4"/>
        <v>0</v>
      </c>
    </row>
    <row r="9" spans="1:18" ht="25.5" x14ac:dyDescent="0.2">
      <c r="A9" s="6" t="s">
        <v>55</v>
      </c>
      <c r="B9" s="6" t="s">
        <v>55</v>
      </c>
      <c r="C9" s="15" t="s">
        <v>36</v>
      </c>
      <c r="D9" s="34">
        <v>20</v>
      </c>
      <c r="E9" s="34">
        <v>300</v>
      </c>
      <c r="F9" s="14">
        <v>10</v>
      </c>
      <c r="G9" s="14">
        <v>230</v>
      </c>
      <c r="H9" s="2" t="s">
        <v>56</v>
      </c>
      <c r="I9" s="16" t="s">
        <v>57</v>
      </c>
      <c r="J9" s="12">
        <v>3917.4</v>
      </c>
      <c r="K9" s="5"/>
      <c r="L9" s="5">
        <f t="shared" si="0"/>
        <v>0</v>
      </c>
      <c r="M9" s="14">
        <f t="shared" si="1"/>
        <v>23</v>
      </c>
      <c r="N9" s="14">
        <f t="shared" si="2"/>
        <v>230</v>
      </c>
      <c r="O9" s="23">
        <f t="shared" si="5"/>
        <v>278.3</v>
      </c>
      <c r="P9" s="14">
        <f t="shared" si="3"/>
        <v>0</v>
      </c>
      <c r="Q9" s="14">
        <v>144</v>
      </c>
      <c r="R9" s="5">
        <f t="shared" si="4"/>
        <v>0</v>
      </c>
    </row>
    <row r="10" spans="1:18" ht="25.5" x14ac:dyDescent="0.2">
      <c r="A10" s="1">
        <v>90442300</v>
      </c>
      <c r="B10" s="1" t="s">
        <v>58</v>
      </c>
      <c r="C10" s="34" t="s">
        <v>36</v>
      </c>
      <c r="D10" s="34" t="s">
        <v>59</v>
      </c>
      <c r="E10" s="34">
        <v>300</v>
      </c>
      <c r="F10" s="14">
        <v>10</v>
      </c>
      <c r="G10" s="14">
        <v>230</v>
      </c>
      <c r="H10" s="2" t="s">
        <v>60</v>
      </c>
      <c r="I10" s="16" t="s">
        <v>61</v>
      </c>
      <c r="J10" s="12">
        <v>3917.4</v>
      </c>
      <c r="K10" s="5"/>
      <c r="L10" s="5">
        <f t="shared" si="0"/>
        <v>0</v>
      </c>
      <c r="M10" s="14">
        <f t="shared" si="1"/>
        <v>23</v>
      </c>
      <c r="N10" s="14">
        <f t="shared" si="2"/>
        <v>230</v>
      </c>
      <c r="O10" s="23">
        <f t="shared" si="5"/>
        <v>278.3</v>
      </c>
      <c r="P10" s="14">
        <f t="shared" si="3"/>
        <v>0</v>
      </c>
      <c r="Q10" s="14">
        <v>144</v>
      </c>
      <c r="R10" s="5">
        <f t="shared" si="4"/>
        <v>0</v>
      </c>
    </row>
    <row r="11" spans="1:18" ht="25.5" x14ac:dyDescent="0.2">
      <c r="A11" s="6" t="s">
        <v>62</v>
      </c>
      <c r="B11" s="6" t="s">
        <v>62</v>
      </c>
      <c r="C11" s="15" t="s">
        <v>36</v>
      </c>
      <c r="D11" s="34">
        <v>25</v>
      </c>
      <c r="E11" s="34">
        <v>300</v>
      </c>
      <c r="F11" s="14">
        <v>10</v>
      </c>
      <c r="G11" s="14">
        <v>150</v>
      </c>
      <c r="H11" s="2" t="s">
        <v>63</v>
      </c>
      <c r="I11" s="17" t="s">
        <v>64</v>
      </c>
      <c r="J11" s="12">
        <v>3917.4</v>
      </c>
      <c r="K11" s="5"/>
      <c r="L11" s="5">
        <f t="shared" si="0"/>
        <v>0</v>
      </c>
      <c r="M11" s="14">
        <f t="shared" si="1"/>
        <v>15</v>
      </c>
      <c r="N11" s="14">
        <f t="shared" si="2"/>
        <v>150</v>
      </c>
      <c r="O11" s="23">
        <f t="shared" si="5"/>
        <v>181.50000000000003</v>
      </c>
      <c r="P11" s="14">
        <f t="shared" si="3"/>
        <v>0</v>
      </c>
      <c r="Q11" s="14">
        <v>144</v>
      </c>
      <c r="R11" s="5">
        <f t="shared" si="4"/>
        <v>0</v>
      </c>
    </row>
    <row r="12" spans="1:18" ht="25.5" x14ac:dyDescent="0.2">
      <c r="A12" s="1">
        <v>90443300</v>
      </c>
      <c r="B12" s="1" t="s">
        <v>65</v>
      </c>
      <c r="C12" s="34" t="s">
        <v>36</v>
      </c>
      <c r="D12" s="34" t="s">
        <v>66</v>
      </c>
      <c r="E12" s="34">
        <v>300</v>
      </c>
      <c r="F12" s="14">
        <v>10</v>
      </c>
      <c r="G12" s="14">
        <v>150</v>
      </c>
      <c r="H12" s="2" t="s">
        <v>67</v>
      </c>
      <c r="I12" s="17" t="s">
        <v>68</v>
      </c>
      <c r="J12" s="12">
        <v>3917.4</v>
      </c>
      <c r="K12" s="5"/>
      <c r="L12" s="5">
        <f t="shared" si="0"/>
        <v>0</v>
      </c>
      <c r="M12" s="14">
        <f t="shared" si="1"/>
        <v>15</v>
      </c>
      <c r="N12" s="14">
        <f t="shared" si="2"/>
        <v>150</v>
      </c>
      <c r="O12" s="23">
        <f t="shared" si="5"/>
        <v>181.50000000000003</v>
      </c>
      <c r="P12" s="14">
        <f t="shared" si="3"/>
        <v>0</v>
      </c>
      <c r="Q12" s="14">
        <v>144</v>
      </c>
      <c r="R12" s="5">
        <f t="shared" si="4"/>
        <v>0</v>
      </c>
    </row>
    <row r="13" spans="1:18" ht="25.5" x14ac:dyDescent="0.2">
      <c r="A13" s="6" t="s">
        <v>69</v>
      </c>
      <c r="B13" s="6" t="s">
        <v>69</v>
      </c>
      <c r="C13" s="15" t="s">
        <v>70</v>
      </c>
      <c r="D13" s="34">
        <v>15</v>
      </c>
      <c r="E13" s="34">
        <v>300</v>
      </c>
      <c r="F13" s="14">
        <v>10</v>
      </c>
      <c r="G13" s="14">
        <v>80</v>
      </c>
      <c r="H13" s="2" t="s">
        <v>71</v>
      </c>
      <c r="I13" s="17" t="s">
        <v>72</v>
      </c>
      <c r="J13" s="12">
        <v>3917.4</v>
      </c>
      <c r="K13" s="5"/>
      <c r="L13" s="5">
        <f t="shared" si="0"/>
        <v>0</v>
      </c>
      <c r="M13" s="14">
        <f t="shared" si="1"/>
        <v>8</v>
      </c>
      <c r="N13" s="14">
        <f t="shared" si="2"/>
        <v>80</v>
      </c>
      <c r="O13" s="23">
        <f t="shared" si="5"/>
        <v>96.800000000000011</v>
      </c>
      <c r="P13" s="14">
        <f t="shared" si="3"/>
        <v>0</v>
      </c>
      <c r="Q13" s="14">
        <v>144</v>
      </c>
      <c r="R13" s="5">
        <f t="shared" si="4"/>
        <v>0</v>
      </c>
    </row>
    <row r="14" spans="1:18" ht="25.5" x14ac:dyDescent="0.2">
      <c r="A14" s="6" t="s">
        <v>73</v>
      </c>
      <c r="B14" s="6" t="s">
        <v>73</v>
      </c>
      <c r="C14" s="15" t="s">
        <v>70</v>
      </c>
      <c r="D14" s="34">
        <v>20</v>
      </c>
      <c r="E14" s="34">
        <v>300</v>
      </c>
      <c r="F14" s="14">
        <v>5</v>
      </c>
      <c r="G14" s="14">
        <v>50</v>
      </c>
      <c r="H14" s="2" t="s">
        <v>74</v>
      </c>
      <c r="I14" s="17" t="s">
        <v>75</v>
      </c>
      <c r="J14" s="12">
        <v>3917.4</v>
      </c>
      <c r="K14" s="5"/>
      <c r="L14" s="5">
        <f t="shared" si="0"/>
        <v>0</v>
      </c>
      <c r="M14" s="14">
        <f t="shared" si="1"/>
        <v>10</v>
      </c>
      <c r="N14" s="14">
        <f t="shared" si="2"/>
        <v>50</v>
      </c>
      <c r="O14" s="23">
        <f t="shared" si="5"/>
        <v>66</v>
      </c>
      <c r="P14" s="14">
        <f t="shared" si="3"/>
        <v>0</v>
      </c>
      <c r="Q14" s="14">
        <v>144</v>
      </c>
      <c r="R14" s="5">
        <f t="shared" si="4"/>
        <v>0</v>
      </c>
    </row>
    <row r="15" spans="1:18" ht="25.5" x14ac:dyDescent="0.2">
      <c r="A15" s="6" t="s">
        <v>76</v>
      </c>
      <c r="B15" s="6" t="s">
        <v>76</v>
      </c>
      <c r="C15" s="15" t="s">
        <v>70</v>
      </c>
      <c r="D15" s="34">
        <v>25</v>
      </c>
      <c r="E15" s="34">
        <v>300</v>
      </c>
      <c r="F15" s="14">
        <v>5</v>
      </c>
      <c r="G15" s="14">
        <v>30</v>
      </c>
      <c r="H15" s="2" t="s">
        <v>77</v>
      </c>
      <c r="I15" s="16" t="s">
        <v>78</v>
      </c>
      <c r="J15" s="12">
        <v>3917.4</v>
      </c>
      <c r="K15" s="5"/>
      <c r="L15" s="5">
        <f t="shared" si="0"/>
        <v>0</v>
      </c>
      <c r="M15" s="14">
        <f t="shared" si="1"/>
        <v>6</v>
      </c>
      <c r="N15" s="14">
        <f t="shared" si="2"/>
        <v>30</v>
      </c>
      <c r="O15" s="23">
        <f t="shared" si="5"/>
        <v>39.6</v>
      </c>
      <c r="P15" s="14">
        <f t="shared" si="3"/>
        <v>0</v>
      </c>
      <c r="Q15" s="14">
        <v>144</v>
      </c>
      <c r="R15" s="5">
        <f t="shared" si="4"/>
        <v>0</v>
      </c>
    </row>
    <row r="16" spans="1:18" x14ac:dyDescent="0.2">
      <c r="A16" s="7"/>
      <c r="B16" s="7"/>
      <c r="C16" s="7"/>
      <c r="D16" s="35"/>
      <c r="E16" s="35"/>
      <c r="F16" s="8"/>
      <c r="G16" s="8"/>
      <c r="H16" s="9"/>
      <c r="I16" s="4" t="s">
        <v>79</v>
      </c>
      <c r="J16" s="4"/>
      <c r="K16" s="4">
        <f>SUBTOTAL(9,K3:K15)</f>
        <v>0</v>
      </c>
      <c r="L16" s="4">
        <f>SUBTOTAL(9,L3:L15)</f>
        <v>0</v>
      </c>
      <c r="M16" s="37" t="s">
        <v>79</v>
      </c>
      <c r="N16" s="38"/>
      <c r="O16" s="39"/>
      <c r="P16" s="34">
        <f>SUBTOTAL(9,P3:P15)</f>
        <v>0</v>
      </c>
      <c r="Q16" s="1"/>
      <c r="R16" s="4">
        <f>SUM(R3:R15)</f>
        <v>0</v>
      </c>
    </row>
  </sheetData>
  <mergeCells count="4">
    <mergeCell ref="M16:O16"/>
    <mergeCell ref="F1:G1"/>
    <mergeCell ref="K1:L1"/>
    <mergeCell ref="M1:O1"/>
  </mergeCells>
  <pageMargins left="0.5" right="0.5" top="0.5" bottom="0.5" header="0" footer="0"/>
  <pageSetup paperSize="9" scale="1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workbookViewId="0"/>
  </sheetViews>
  <sheetFormatPr defaultColWidth="9.140625" defaultRowHeight="12.75" x14ac:dyDescent="0.2"/>
  <cols>
    <col min="1" max="1" width="13.42578125" style="3" bestFit="1" customWidth="1"/>
    <col min="2" max="2" width="11.28515625" style="3" bestFit="1" customWidth="1"/>
    <col min="3" max="3" width="13.42578125" style="3" customWidth="1"/>
    <col min="4" max="4" width="5.140625" style="3" bestFit="1" customWidth="1"/>
    <col min="5" max="5" width="8.5703125" style="3" bestFit="1" customWidth="1"/>
    <col min="6" max="6" width="6" style="10" bestFit="1" customWidth="1"/>
    <col min="7" max="7" width="6.28515625" style="10" bestFit="1" customWidth="1"/>
    <col min="8" max="8" width="32.7109375" style="3" bestFit="1" customWidth="1"/>
    <col min="9" max="9" width="14.140625" style="3" bestFit="1" customWidth="1"/>
    <col min="10" max="10" width="14.140625" style="3" customWidth="1"/>
    <col min="11" max="11" width="7" style="3" bestFit="1" customWidth="1"/>
    <col min="12" max="12" width="7.28515625" style="3" bestFit="1" customWidth="1"/>
    <col min="13" max="16384" width="9.140625" style="3"/>
  </cols>
  <sheetData>
    <row r="1" spans="1:14" x14ac:dyDescent="0.2">
      <c r="B1" s="11"/>
      <c r="M1" s="40" t="s">
        <v>0</v>
      </c>
      <c r="N1" s="40"/>
    </row>
    <row r="2" spans="1:14" ht="19.5" customHeight="1" x14ac:dyDescent="0.2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41" t="s">
        <v>6</v>
      </c>
      <c r="G2" s="42"/>
      <c r="H2" s="34" t="s">
        <v>7</v>
      </c>
      <c r="I2" s="34" t="s">
        <v>8</v>
      </c>
      <c r="J2" s="34" t="s">
        <v>9</v>
      </c>
      <c r="K2" s="41" t="s">
        <v>10</v>
      </c>
      <c r="L2" s="42"/>
      <c r="M2" s="36" t="s">
        <v>80</v>
      </c>
      <c r="N2" s="36"/>
    </row>
    <row r="3" spans="1:14" ht="19.5" customHeight="1" x14ac:dyDescent="0.2">
      <c r="A3" s="5"/>
      <c r="B3" s="5"/>
      <c r="C3" s="14"/>
      <c r="D3" s="34" t="s">
        <v>22</v>
      </c>
      <c r="E3" s="34" t="s">
        <v>22</v>
      </c>
      <c r="F3" s="34" t="s">
        <v>23</v>
      </c>
      <c r="G3" s="34" t="s">
        <v>24</v>
      </c>
      <c r="H3" s="1"/>
      <c r="I3" s="34"/>
      <c r="J3" s="34"/>
      <c r="K3" s="34" t="s">
        <v>25</v>
      </c>
      <c r="L3" s="34" t="s">
        <v>26</v>
      </c>
      <c r="M3" s="34" t="s">
        <v>32</v>
      </c>
      <c r="N3" s="34" t="s">
        <v>29</v>
      </c>
    </row>
    <row r="4" spans="1:14" ht="25.5" x14ac:dyDescent="0.2">
      <c r="A4" s="6" t="s">
        <v>35</v>
      </c>
      <c r="B4" s="6" t="s">
        <v>35</v>
      </c>
      <c r="C4" s="15" t="s">
        <v>36</v>
      </c>
      <c r="D4" s="34">
        <v>15</v>
      </c>
      <c r="E4" s="34"/>
      <c r="F4" s="14">
        <v>50</v>
      </c>
      <c r="G4" s="14">
        <v>1000</v>
      </c>
      <c r="H4" s="2" t="s">
        <v>37</v>
      </c>
      <c r="I4" s="16" t="s">
        <v>38</v>
      </c>
      <c r="J4" s="12">
        <v>3917.4</v>
      </c>
      <c r="K4" s="5"/>
      <c r="L4" s="5">
        <f t="shared" ref="L4:L16" si="0">K4/G4</f>
        <v>0</v>
      </c>
      <c r="M4" s="32"/>
      <c r="N4" s="24">
        <f t="shared" ref="N4:N16" si="1">$K4*M4</f>
        <v>0</v>
      </c>
    </row>
    <row r="5" spans="1:14" ht="25.5" x14ac:dyDescent="0.2">
      <c r="A5" s="6" t="s">
        <v>39</v>
      </c>
      <c r="B5" s="6" t="s">
        <v>39</v>
      </c>
      <c r="C5" s="15" t="s">
        <v>36</v>
      </c>
      <c r="D5" s="34">
        <v>20</v>
      </c>
      <c r="E5" s="34"/>
      <c r="F5" s="14">
        <v>50</v>
      </c>
      <c r="G5" s="14">
        <v>600</v>
      </c>
      <c r="H5" s="2" t="s">
        <v>40</v>
      </c>
      <c r="I5" s="16" t="s">
        <v>41</v>
      </c>
      <c r="J5" s="12">
        <v>3917.4</v>
      </c>
      <c r="K5" s="5"/>
      <c r="L5" s="5">
        <f t="shared" si="0"/>
        <v>0</v>
      </c>
      <c r="M5" s="32"/>
      <c r="N5" s="24">
        <f t="shared" si="1"/>
        <v>0</v>
      </c>
    </row>
    <row r="6" spans="1:14" ht="25.5" x14ac:dyDescent="0.2">
      <c r="A6" s="6" t="s">
        <v>42</v>
      </c>
      <c r="B6" s="6" t="s">
        <v>42</v>
      </c>
      <c r="C6" s="15" t="s">
        <v>36</v>
      </c>
      <c r="D6" s="34">
        <v>25</v>
      </c>
      <c r="E6" s="34"/>
      <c r="F6" s="14">
        <v>50</v>
      </c>
      <c r="G6" s="14">
        <v>350</v>
      </c>
      <c r="H6" s="2" t="s">
        <v>43</v>
      </c>
      <c r="I6" s="16" t="s">
        <v>44</v>
      </c>
      <c r="J6" s="12">
        <v>3917.4</v>
      </c>
      <c r="K6" s="5"/>
      <c r="L6" s="5">
        <f t="shared" si="0"/>
        <v>0</v>
      </c>
      <c r="M6" s="32"/>
      <c r="N6" s="24">
        <f t="shared" si="1"/>
        <v>0</v>
      </c>
    </row>
    <row r="7" spans="1:14" ht="25.5" x14ac:dyDescent="0.2">
      <c r="A7" s="6" t="s">
        <v>45</v>
      </c>
      <c r="B7" s="6" t="s">
        <v>45</v>
      </c>
      <c r="C7" s="15" t="s">
        <v>36</v>
      </c>
      <c r="D7" s="34">
        <v>15</v>
      </c>
      <c r="E7" s="34">
        <v>50</v>
      </c>
      <c r="F7" s="14">
        <v>50</v>
      </c>
      <c r="G7" s="14">
        <v>1800</v>
      </c>
      <c r="H7" s="2" t="s">
        <v>46</v>
      </c>
      <c r="I7" s="16" t="s">
        <v>47</v>
      </c>
      <c r="J7" s="12">
        <v>3917.4</v>
      </c>
      <c r="K7" s="5"/>
      <c r="L7" s="5">
        <f t="shared" si="0"/>
        <v>0</v>
      </c>
      <c r="M7" s="32"/>
      <c r="N7" s="24">
        <f t="shared" si="1"/>
        <v>0</v>
      </c>
    </row>
    <row r="8" spans="1:14" ht="25.5" x14ac:dyDescent="0.2">
      <c r="A8" s="6" t="s">
        <v>48</v>
      </c>
      <c r="B8" s="6" t="s">
        <v>48</v>
      </c>
      <c r="C8" s="15" t="s">
        <v>36</v>
      </c>
      <c r="D8" s="34">
        <v>15</v>
      </c>
      <c r="E8" s="34">
        <v>300</v>
      </c>
      <c r="F8" s="14">
        <v>10</v>
      </c>
      <c r="G8" s="14">
        <v>300</v>
      </c>
      <c r="H8" s="2" t="s">
        <v>49</v>
      </c>
      <c r="I8" s="16" t="s">
        <v>50</v>
      </c>
      <c r="J8" s="12">
        <v>3917.4</v>
      </c>
      <c r="K8" s="5"/>
      <c r="L8" s="5">
        <f t="shared" si="0"/>
        <v>0</v>
      </c>
      <c r="M8" s="32"/>
      <c r="N8" s="24">
        <f t="shared" si="1"/>
        <v>0</v>
      </c>
    </row>
    <row r="9" spans="1:14" ht="25.5" x14ac:dyDescent="0.2">
      <c r="A9" s="1">
        <v>90441300</v>
      </c>
      <c r="B9" s="1" t="s">
        <v>51</v>
      </c>
      <c r="C9" s="34" t="s">
        <v>36</v>
      </c>
      <c r="D9" s="34" t="s">
        <v>52</v>
      </c>
      <c r="E9" s="34">
        <v>300</v>
      </c>
      <c r="F9" s="14">
        <v>10</v>
      </c>
      <c r="G9" s="14">
        <v>300</v>
      </c>
      <c r="H9" s="2" t="s">
        <v>53</v>
      </c>
      <c r="I9" s="16" t="s">
        <v>54</v>
      </c>
      <c r="J9" s="12">
        <v>3917.4</v>
      </c>
      <c r="K9" s="5"/>
      <c r="L9" s="5">
        <f t="shared" si="0"/>
        <v>0</v>
      </c>
      <c r="M9" s="32"/>
      <c r="N9" s="24">
        <f t="shared" si="1"/>
        <v>0</v>
      </c>
    </row>
    <row r="10" spans="1:14" ht="25.5" x14ac:dyDescent="0.2">
      <c r="A10" s="6" t="s">
        <v>55</v>
      </c>
      <c r="B10" s="6" t="s">
        <v>55</v>
      </c>
      <c r="C10" s="15" t="s">
        <v>36</v>
      </c>
      <c r="D10" s="34">
        <v>20</v>
      </c>
      <c r="E10" s="34">
        <v>300</v>
      </c>
      <c r="F10" s="14">
        <v>10</v>
      </c>
      <c r="G10" s="14">
        <v>230</v>
      </c>
      <c r="H10" s="2" t="s">
        <v>56</v>
      </c>
      <c r="I10" s="16" t="s">
        <v>57</v>
      </c>
      <c r="J10" s="12">
        <v>3917.4</v>
      </c>
      <c r="K10" s="5"/>
      <c r="L10" s="5">
        <f t="shared" si="0"/>
        <v>0</v>
      </c>
      <c r="M10" s="32"/>
      <c r="N10" s="24">
        <f t="shared" si="1"/>
        <v>0</v>
      </c>
    </row>
    <row r="11" spans="1:14" ht="25.5" x14ac:dyDescent="0.2">
      <c r="A11" s="1">
        <v>90442300</v>
      </c>
      <c r="B11" s="1" t="s">
        <v>58</v>
      </c>
      <c r="C11" s="34" t="s">
        <v>36</v>
      </c>
      <c r="D11" s="34" t="s">
        <v>59</v>
      </c>
      <c r="E11" s="34">
        <v>300</v>
      </c>
      <c r="F11" s="14">
        <v>10</v>
      </c>
      <c r="G11" s="14">
        <v>230</v>
      </c>
      <c r="H11" s="2" t="s">
        <v>60</v>
      </c>
      <c r="I11" s="16" t="s">
        <v>61</v>
      </c>
      <c r="J11" s="12">
        <v>3917.4</v>
      </c>
      <c r="K11" s="5"/>
      <c r="L11" s="5">
        <f t="shared" si="0"/>
        <v>0</v>
      </c>
      <c r="M11" s="32"/>
      <c r="N11" s="24">
        <f t="shared" si="1"/>
        <v>0</v>
      </c>
    </row>
    <row r="12" spans="1:14" ht="25.5" x14ac:dyDescent="0.2">
      <c r="A12" s="6" t="s">
        <v>62</v>
      </c>
      <c r="B12" s="6" t="s">
        <v>62</v>
      </c>
      <c r="C12" s="15" t="s">
        <v>36</v>
      </c>
      <c r="D12" s="34">
        <v>25</v>
      </c>
      <c r="E12" s="34">
        <v>300</v>
      </c>
      <c r="F12" s="14">
        <v>10</v>
      </c>
      <c r="G12" s="14">
        <v>150</v>
      </c>
      <c r="H12" s="2" t="s">
        <v>63</v>
      </c>
      <c r="I12" s="17" t="s">
        <v>64</v>
      </c>
      <c r="J12" s="12">
        <v>3917.4</v>
      </c>
      <c r="K12" s="5"/>
      <c r="L12" s="5">
        <f t="shared" si="0"/>
        <v>0</v>
      </c>
      <c r="M12" s="32"/>
      <c r="N12" s="24">
        <f t="shared" si="1"/>
        <v>0</v>
      </c>
    </row>
    <row r="13" spans="1:14" ht="25.5" x14ac:dyDescent="0.2">
      <c r="A13" s="1">
        <v>90443300</v>
      </c>
      <c r="B13" s="1" t="s">
        <v>65</v>
      </c>
      <c r="C13" s="34" t="s">
        <v>36</v>
      </c>
      <c r="D13" s="34" t="s">
        <v>66</v>
      </c>
      <c r="E13" s="34">
        <v>300</v>
      </c>
      <c r="F13" s="14">
        <v>10</v>
      </c>
      <c r="G13" s="14">
        <v>150</v>
      </c>
      <c r="H13" s="2" t="s">
        <v>67</v>
      </c>
      <c r="I13" s="17" t="s">
        <v>68</v>
      </c>
      <c r="J13" s="12">
        <v>3917.4</v>
      </c>
      <c r="K13" s="5"/>
      <c r="L13" s="5">
        <f t="shared" si="0"/>
        <v>0</v>
      </c>
      <c r="M13" s="32"/>
      <c r="N13" s="24">
        <f t="shared" si="1"/>
        <v>0</v>
      </c>
    </row>
    <row r="14" spans="1:14" ht="25.5" x14ac:dyDescent="0.2">
      <c r="A14" s="6" t="s">
        <v>69</v>
      </c>
      <c r="B14" s="6" t="s">
        <v>69</v>
      </c>
      <c r="C14" s="15" t="s">
        <v>70</v>
      </c>
      <c r="D14" s="34">
        <v>15</v>
      </c>
      <c r="E14" s="34">
        <v>300</v>
      </c>
      <c r="F14" s="14">
        <v>10</v>
      </c>
      <c r="G14" s="14">
        <v>80</v>
      </c>
      <c r="H14" s="2" t="s">
        <v>71</v>
      </c>
      <c r="I14" s="17" t="s">
        <v>72</v>
      </c>
      <c r="J14" s="12">
        <v>3917.4</v>
      </c>
      <c r="K14" s="5"/>
      <c r="L14" s="5">
        <f t="shared" si="0"/>
        <v>0</v>
      </c>
      <c r="M14" s="32"/>
      <c r="N14" s="24">
        <f t="shared" si="1"/>
        <v>0</v>
      </c>
    </row>
    <row r="15" spans="1:14" ht="25.5" x14ac:dyDescent="0.2">
      <c r="A15" s="6" t="s">
        <v>73</v>
      </c>
      <c r="B15" s="6" t="s">
        <v>73</v>
      </c>
      <c r="C15" s="15" t="s">
        <v>70</v>
      </c>
      <c r="D15" s="34">
        <v>20</v>
      </c>
      <c r="E15" s="34">
        <v>300</v>
      </c>
      <c r="F15" s="14">
        <v>5</v>
      </c>
      <c r="G15" s="14">
        <v>50</v>
      </c>
      <c r="H15" s="2" t="s">
        <v>74</v>
      </c>
      <c r="I15" s="17" t="s">
        <v>75</v>
      </c>
      <c r="J15" s="12">
        <v>3917.4</v>
      </c>
      <c r="K15" s="5"/>
      <c r="L15" s="5">
        <f t="shared" si="0"/>
        <v>0</v>
      </c>
      <c r="M15" s="32"/>
      <c r="N15" s="24">
        <f t="shared" si="1"/>
        <v>0</v>
      </c>
    </row>
    <row r="16" spans="1:14" ht="25.5" x14ac:dyDescent="0.2">
      <c r="A16" s="6" t="s">
        <v>76</v>
      </c>
      <c r="B16" s="6" t="s">
        <v>76</v>
      </c>
      <c r="C16" s="15" t="s">
        <v>70</v>
      </c>
      <c r="D16" s="34">
        <v>25</v>
      </c>
      <c r="E16" s="34">
        <v>300</v>
      </c>
      <c r="F16" s="14">
        <v>5</v>
      </c>
      <c r="G16" s="14">
        <v>30</v>
      </c>
      <c r="H16" s="2" t="s">
        <v>77</v>
      </c>
      <c r="I16" s="16" t="s">
        <v>78</v>
      </c>
      <c r="J16" s="12">
        <v>3917.4</v>
      </c>
      <c r="K16" s="5"/>
      <c r="L16" s="5">
        <f t="shared" si="0"/>
        <v>0</v>
      </c>
      <c r="M16" s="32"/>
      <c r="N16" s="24">
        <f t="shared" si="1"/>
        <v>0</v>
      </c>
    </row>
    <row r="17" spans="1:14" x14ac:dyDescent="0.2">
      <c r="A17" s="7"/>
      <c r="B17" s="7"/>
      <c r="C17" s="7"/>
      <c r="D17" s="35"/>
      <c r="E17" s="35"/>
      <c r="F17" s="8"/>
      <c r="G17" s="8"/>
      <c r="H17" s="9"/>
      <c r="I17" s="4" t="s">
        <v>79</v>
      </c>
      <c r="J17" s="4"/>
      <c r="K17" s="4">
        <f>SUBTOTAL(9,K4:K16)</f>
        <v>0</v>
      </c>
      <c r="L17" s="4">
        <f>SUBTOTAL(9,L4:L16)</f>
        <v>0</v>
      </c>
      <c r="M17" s="25"/>
      <c r="N17" s="25">
        <f>SUBTOTAL(9,N4:N16)</f>
        <v>0</v>
      </c>
    </row>
  </sheetData>
  <mergeCells count="4">
    <mergeCell ref="M1:N1"/>
    <mergeCell ref="F2:G2"/>
    <mergeCell ref="K2:L2"/>
    <mergeCell ref="M2:N2"/>
  </mergeCells>
  <pageMargins left="0.5" right="0.5" top="0.5" bottom="0.5" header="0" footer="0"/>
  <pageSetup paperSize="9" scale="1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workbookViewId="0"/>
  </sheetViews>
  <sheetFormatPr defaultColWidth="9.140625" defaultRowHeight="12.75" x14ac:dyDescent="0.2"/>
  <cols>
    <col min="1" max="1" width="13.42578125" style="3" bestFit="1" customWidth="1"/>
    <col min="2" max="2" width="11.28515625" style="3" bestFit="1" customWidth="1"/>
    <col min="3" max="3" width="13.42578125" style="3" customWidth="1"/>
    <col min="4" max="4" width="5.140625" style="3" bestFit="1" customWidth="1"/>
    <col min="5" max="5" width="8.5703125" style="3" bestFit="1" customWidth="1"/>
    <col min="6" max="6" width="6" style="10" bestFit="1" customWidth="1"/>
    <col min="7" max="7" width="6.28515625" style="10" bestFit="1" customWidth="1"/>
    <col min="8" max="8" width="32.7109375" style="3" bestFit="1" customWidth="1"/>
    <col min="9" max="9" width="14.140625" style="3" bestFit="1" customWidth="1"/>
    <col min="10" max="10" width="14.140625" style="3" customWidth="1"/>
    <col min="11" max="11" width="7" style="3" bestFit="1" customWidth="1"/>
    <col min="12" max="12" width="7.28515625" style="3" bestFit="1" customWidth="1"/>
    <col min="13" max="16384" width="9.140625" style="3"/>
  </cols>
  <sheetData>
    <row r="1" spans="1:16" x14ac:dyDescent="0.2">
      <c r="B1" s="11"/>
      <c r="M1" s="40" t="s">
        <v>0</v>
      </c>
      <c r="N1" s="40"/>
    </row>
    <row r="2" spans="1:16" ht="19.5" customHeight="1" x14ac:dyDescent="0.2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41" t="s">
        <v>6</v>
      </c>
      <c r="G2" s="42"/>
      <c r="H2" s="34" t="s">
        <v>7</v>
      </c>
      <c r="I2" s="34" t="s">
        <v>8</v>
      </c>
      <c r="J2" s="34" t="s">
        <v>9</v>
      </c>
      <c r="K2" s="41" t="s">
        <v>10</v>
      </c>
      <c r="L2" s="42"/>
      <c r="M2" s="36" t="s">
        <v>20</v>
      </c>
      <c r="N2" s="36"/>
      <c r="O2" s="36" t="s">
        <v>21</v>
      </c>
      <c r="P2" s="36"/>
    </row>
    <row r="3" spans="1:16" ht="19.5" customHeight="1" x14ac:dyDescent="0.2">
      <c r="A3" s="5"/>
      <c r="B3" s="5"/>
      <c r="C3" s="14"/>
      <c r="D3" s="34" t="s">
        <v>22</v>
      </c>
      <c r="E3" s="34" t="s">
        <v>22</v>
      </c>
      <c r="F3" s="34" t="s">
        <v>23</v>
      </c>
      <c r="G3" s="34" t="s">
        <v>24</v>
      </c>
      <c r="H3" s="1"/>
      <c r="I3" s="34"/>
      <c r="J3" s="34"/>
      <c r="K3" s="34" t="s">
        <v>25</v>
      </c>
      <c r="L3" s="34" t="s">
        <v>26</v>
      </c>
      <c r="M3" s="34" t="s">
        <v>33</v>
      </c>
      <c r="N3" s="34" t="s">
        <v>29</v>
      </c>
      <c r="O3" s="26" t="s">
        <v>34</v>
      </c>
      <c r="P3" s="25"/>
    </row>
    <row r="4" spans="1:16" ht="25.5" x14ac:dyDescent="0.2">
      <c r="A4" s="6" t="s">
        <v>35</v>
      </c>
      <c r="B4" s="6" t="s">
        <v>35</v>
      </c>
      <c r="C4" s="15" t="s">
        <v>36</v>
      </c>
      <c r="D4" s="34">
        <v>15</v>
      </c>
      <c r="E4" s="34"/>
      <c r="F4" s="14">
        <v>50</v>
      </c>
      <c r="G4" s="14">
        <v>1000</v>
      </c>
      <c r="H4" s="2" t="s">
        <v>37</v>
      </c>
      <c r="I4" s="16" t="s">
        <v>38</v>
      </c>
      <c r="J4" s="12">
        <v>3917.4</v>
      </c>
      <c r="K4" s="5"/>
      <c r="L4" s="5">
        <f t="shared" ref="L4:L16" si="0">K4/G4</f>
        <v>0</v>
      </c>
      <c r="M4" s="27"/>
      <c r="N4" s="27">
        <f>K4*M4/100</f>
        <v>0</v>
      </c>
      <c r="O4" s="28" t="e">
        <f>P4/K4</f>
        <v>#DIV/0!</v>
      </c>
      <c r="P4" s="24">
        <f t="shared" ref="P4:P16" si="1">N4*$P$3</f>
        <v>0</v>
      </c>
    </row>
    <row r="5" spans="1:16" ht="25.5" x14ac:dyDescent="0.2">
      <c r="A5" s="6" t="s">
        <v>39</v>
      </c>
      <c r="B5" s="6" t="s">
        <v>39</v>
      </c>
      <c r="C5" s="15" t="s">
        <v>36</v>
      </c>
      <c r="D5" s="34">
        <v>20</v>
      </c>
      <c r="E5" s="34"/>
      <c r="F5" s="14">
        <v>50</v>
      </c>
      <c r="G5" s="14">
        <v>600</v>
      </c>
      <c r="H5" s="2" t="s">
        <v>40</v>
      </c>
      <c r="I5" s="16" t="s">
        <v>41</v>
      </c>
      <c r="J5" s="12">
        <v>3917.4</v>
      </c>
      <c r="K5" s="5"/>
      <c r="L5" s="5">
        <f t="shared" si="0"/>
        <v>0</v>
      </c>
      <c r="M5" s="27"/>
      <c r="N5" s="27">
        <f>K5*M5/100</f>
        <v>0</v>
      </c>
      <c r="O5" s="28" t="e">
        <f>P5/K5</f>
        <v>#DIV/0!</v>
      </c>
      <c r="P5" s="24">
        <f t="shared" si="1"/>
        <v>0</v>
      </c>
    </row>
    <row r="6" spans="1:16" ht="25.5" x14ac:dyDescent="0.2">
      <c r="A6" s="6" t="s">
        <v>42</v>
      </c>
      <c r="B6" s="6" t="s">
        <v>42</v>
      </c>
      <c r="C6" s="15" t="s">
        <v>36</v>
      </c>
      <c r="D6" s="34">
        <v>25</v>
      </c>
      <c r="E6" s="34"/>
      <c r="F6" s="14">
        <v>50</v>
      </c>
      <c r="G6" s="14">
        <v>350</v>
      </c>
      <c r="H6" s="2" t="s">
        <v>43</v>
      </c>
      <c r="I6" s="16" t="s">
        <v>44</v>
      </c>
      <c r="J6" s="12">
        <v>3917.4</v>
      </c>
      <c r="K6" s="5"/>
      <c r="L6" s="5">
        <f t="shared" si="0"/>
        <v>0</v>
      </c>
      <c r="M6" s="27"/>
      <c r="N6" s="27">
        <f>K6*M6/100</f>
        <v>0</v>
      </c>
      <c r="O6" s="28" t="e">
        <f>P6/K6</f>
        <v>#DIV/0!</v>
      </c>
      <c r="P6" s="24">
        <f t="shared" si="1"/>
        <v>0</v>
      </c>
    </row>
    <row r="7" spans="1:16" ht="25.5" x14ac:dyDescent="0.2">
      <c r="A7" s="6" t="s">
        <v>45</v>
      </c>
      <c r="B7" s="6" t="s">
        <v>45</v>
      </c>
      <c r="C7" s="15" t="s">
        <v>36</v>
      </c>
      <c r="D7" s="34">
        <v>15</v>
      </c>
      <c r="E7" s="34">
        <v>50</v>
      </c>
      <c r="F7" s="14">
        <v>50</v>
      </c>
      <c r="G7" s="14">
        <v>1800</v>
      </c>
      <c r="H7" s="2" t="s">
        <v>46</v>
      </c>
      <c r="I7" s="16" t="s">
        <v>47</v>
      </c>
      <c r="J7" s="12">
        <v>3917.4</v>
      </c>
      <c r="K7" s="5"/>
      <c r="L7" s="5">
        <f t="shared" si="0"/>
        <v>0</v>
      </c>
      <c r="M7" s="27"/>
      <c r="N7" s="27">
        <f>K7*M7/100</f>
        <v>0</v>
      </c>
      <c r="O7" s="28" t="e">
        <f>P7/K7</f>
        <v>#DIV/0!</v>
      </c>
      <c r="P7" s="24">
        <f t="shared" si="1"/>
        <v>0</v>
      </c>
    </row>
    <row r="8" spans="1:16" ht="25.5" x14ac:dyDescent="0.2">
      <c r="A8" s="6" t="s">
        <v>48</v>
      </c>
      <c r="B8" s="6" t="s">
        <v>48</v>
      </c>
      <c r="C8" s="15" t="s">
        <v>36</v>
      </c>
      <c r="D8" s="34">
        <v>15</v>
      </c>
      <c r="E8" s="34">
        <v>300</v>
      </c>
      <c r="F8" s="14">
        <v>10</v>
      </c>
      <c r="G8" s="14">
        <v>300</v>
      </c>
      <c r="H8" s="2" t="s">
        <v>49</v>
      </c>
      <c r="I8" s="16" t="s">
        <v>50</v>
      </c>
      <c r="J8" s="12">
        <v>3917.4</v>
      </c>
      <c r="K8" s="5"/>
      <c r="L8" s="5">
        <f t="shared" si="0"/>
        <v>0</v>
      </c>
      <c r="M8" s="27"/>
      <c r="N8" s="27">
        <f>K8*M8/100</f>
        <v>0</v>
      </c>
      <c r="O8" s="28" t="e">
        <f>P8/K8</f>
        <v>#DIV/0!</v>
      </c>
      <c r="P8" s="24">
        <f t="shared" si="1"/>
        <v>0</v>
      </c>
    </row>
    <row r="9" spans="1:16" ht="25.5" x14ac:dyDescent="0.2">
      <c r="A9" s="1">
        <v>90441300</v>
      </c>
      <c r="B9" s="1" t="s">
        <v>51</v>
      </c>
      <c r="C9" s="34" t="s">
        <v>36</v>
      </c>
      <c r="D9" s="34" t="s">
        <v>52</v>
      </c>
      <c r="E9" s="34">
        <v>300</v>
      </c>
      <c r="F9" s="14">
        <v>10</v>
      </c>
      <c r="G9" s="14">
        <v>300</v>
      </c>
      <c r="H9" s="2" t="s">
        <v>53</v>
      </c>
      <c r="I9" s="16" t="s">
        <v>54</v>
      </c>
      <c r="J9" s="12">
        <v>3917.4</v>
      </c>
      <c r="K9" s="5"/>
      <c r="L9" s="5">
        <f t="shared" si="0"/>
        <v>0</v>
      </c>
      <c r="M9" s="27"/>
      <c r="N9" s="27">
        <f>K9*M9/100</f>
        <v>0</v>
      </c>
      <c r="O9" s="28" t="e">
        <f>P9/K9</f>
        <v>#DIV/0!</v>
      </c>
      <c r="P9" s="24">
        <f t="shared" si="1"/>
        <v>0</v>
      </c>
    </row>
    <row r="10" spans="1:16" ht="25.5" x14ac:dyDescent="0.2">
      <c r="A10" s="6" t="s">
        <v>55</v>
      </c>
      <c r="B10" s="6" t="s">
        <v>55</v>
      </c>
      <c r="C10" s="15" t="s">
        <v>36</v>
      </c>
      <c r="D10" s="34">
        <v>20</v>
      </c>
      <c r="E10" s="34">
        <v>300</v>
      </c>
      <c r="F10" s="14">
        <v>10</v>
      </c>
      <c r="G10" s="14">
        <v>230</v>
      </c>
      <c r="H10" s="2" t="s">
        <v>56</v>
      </c>
      <c r="I10" s="16" t="s">
        <v>57</v>
      </c>
      <c r="J10" s="12">
        <v>3917.4</v>
      </c>
      <c r="K10" s="5"/>
      <c r="L10" s="5">
        <f t="shared" si="0"/>
        <v>0</v>
      </c>
      <c r="M10" s="27"/>
      <c r="N10" s="27">
        <f>K10*M10/100</f>
        <v>0</v>
      </c>
      <c r="O10" s="28" t="e">
        <f>P10/K10</f>
        <v>#DIV/0!</v>
      </c>
      <c r="P10" s="24">
        <f t="shared" si="1"/>
        <v>0</v>
      </c>
    </row>
    <row r="11" spans="1:16" ht="25.5" x14ac:dyDescent="0.2">
      <c r="A11" s="1">
        <v>90442300</v>
      </c>
      <c r="B11" s="1" t="s">
        <v>58</v>
      </c>
      <c r="C11" s="34" t="s">
        <v>36</v>
      </c>
      <c r="D11" s="34" t="s">
        <v>59</v>
      </c>
      <c r="E11" s="34">
        <v>300</v>
      </c>
      <c r="F11" s="14">
        <v>10</v>
      </c>
      <c r="G11" s="14">
        <v>230</v>
      </c>
      <c r="H11" s="2" t="s">
        <v>60</v>
      </c>
      <c r="I11" s="16" t="s">
        <v>61</v>
      </c>
      <c r="J11" s="12">
        <v>3917.4</v>
      </c>
      <c r="K11" s="5"/>
      <c r="L11" s="5">
        <f t="shared" si="0"/>
        <v>0</v>
      </c>
      <c r="M11" s="27"/>
      <c r="N11" s="27">
        <f>K11*M11/100</f>
        <v>0</v>
      </c>
      <c r="O11" s="28" t="e">
        <f>P11/K11</f>
        <v>#DIV/0!</v>
      </c>
      <c r="P11" s="24">
        <f t="shared" si="1"/>
        <v>0</v>
      </c>
    </row>
    <row r="12" spans="1:16" ht="25.5" x14ac:dyDescent="0.2">
      <c r="A12" s="6" t="s">
        <v>62</v>
      </c>
      <c r="B12" s="6" t="s">
        <v>62</v>
      </c>
      <c r="C12" s="15" t="s">
        <v>36</v>
      </c>
      <c r="D12" s="34">
        <v>25</v>
      </c>
      <c r="E12" s="34">
        <v>300</v>
      </c>
      <c r="F12" s="14">
        <v>10</v>
      </c>
      <c r="G12" s="14">
        <v>150</v>
      </c>
      <c r="H12" s="2" t="s">
        <v>63</v>
      </c>
      <c r="I12" s="17" t="s">
        <v>64</v>
      </c>
      <c r="J12" s="12">
        <v>3917.4</v>
      </c>
      <c r="K12" s="5"/>
      <c r="L12" s="5">
        <f t="shared" si="0"/>
        <v>0</v>
      </c>
      <c r="M12" s="27"/>
      <c r="N12" s="27">
        <f>K12*M12/100</f>
        <v>0</v>
      </c>
      <c r="O12" s="28" t="e">
        <f>P12/K12</f>
        <v>#DIV/0!</v>
      </c>
      <c r="P12" s="24">
        <f t="shared" si="1"/>
        <v>0</v>
      </c>
    </row>
    <row r="13" spans="1:16" ht="25.5" x14ac:dyDescent="0.2">
      <c r="A13" s="1">
        <v>90443300</v>
      </c>
      <c r="B13" s="1" t="s">
        <v>65</v>
      </c>
      <c r="C13" s="34" t="s">
        <v>36</v>
      </c>
      <c r="D13" s="34" t="s">
        <v>66</v>
      </c>
      <c r="E13" s="34">
        <v>300</v>
      </c>
      <c r="F13" s="14">
        <v>10</v>
      </c>
      <c r="G13" s="14">
        <v>150</v>
      </c>
      <c r="H13" s="2" t="s">
        <v>67</v>
      </c>
      <c r="I13" s="17" t="s">
        <v>68</v>
      </c>
      <c r="J13" s="12">
        <v>3917.4</v>
      </c>
      <c r="K13" s="5"/>
      <c r="L13" s="5">
        <f t="shared" si="0"/>
        <v>0</v>
      </c>
      <c r="M13" s="27"/>
      <c r="N13" s="27">
        <f>K13*M13/100</f>
        <v>0</v>
      </c>
      <c r="O13" s="28" t="e">
        <f>P13/K13</f>
        <v>#DIV/0!</v>
      </c>
      <c r="P13" s="24">
        <f t="shared" si="1"/>
        <v>0</v>
      </c>
    </row>
    <row r="14" spans="1:16" ht="25.5" x14ac:dyDescent="0.2">
      <c r="A14" s="6" t="s">
        <v>69</v>
      </c>
      <c r="B14" s="6" t="s">
        <v>69</v>
      </c>
      <c r="C14" s="15" t="s">
        <v>70</v>
      </c>
      <c r="D14" s="34">
        <v>15</v>
      </c>
      <c r="E14" s="34">
        <v>300</v>
      </c>
      <c r="F14" s="14">
        <v>10</v>
      </c>
      <c r="G14" s="14">
        <v>80</v>
      </c>
      <c r="H14" s="2" t="s">
        <v>71</v>
      </c>
      <c r="I14" s="17" t="s">
        <v>72</v>
      </c>
      <c r="J14" s="12">
        <v>3917.4</v>
      </c>
      <c r="K14" s="5"/>
      <c r="L14" s="5">
        <f t="shared" si="0"/>
        <v>0</v>
      </c>
      <c r="M14" s="27"/>
      <c r="N14" s="27">
        <f>K14*M14/100</f>
        <v>0</v>
      </c>
      <c r="O14" s="28" t="e">
        <f>P14/K14</f>
        <v>#DIV/0!</v>
      </c>
      <c r="P14" s="24">
        <f t="shared" si="1"/>
        <v>0</v>
      </c>
    </row>
    <row r="15" spans="1:16" ht="25.5" x14ac:dyDescent="0.2">
      <c r="A15" s="6" t="s">
        <v>73</v>
      </c>
      <c r="B15" s="6" t="s">
        <v>73</v>
      </c>
      <c r="C15" s="15" t="s">
        <v>70</v>
      </c>
      <c r="D15" s="34">
        <v>20</v>
      </c>
      <c r="E15" s="34">
        <v>300</v>
      </c>
      <c r="F15" s="14">
        <v>5</v>
      </c>
      <c r="G15" s="14">
        <v>50</v>
      </c>
      <c r="H15" s="2" t="s">
        <v>74</v>
      </c>
      <c r="I15" s="17" t="s">
        <v>75</v>
      </c>
      <c r="J15" s="12">
        <v>3917.4</v>
      </c>
      <c r="K15" s="5"/>
      <c r="L15" s="5">
        <f t="shared" si="0"/>
        <v>0</v>
      </c>
      <c r="M15" s="27"/>
      <c r="N15" s="27">
        <f>K15*M15/100</f>
        <v>0</v>
      </c>
      <c r="O15" s="28" t="e">
        <f>P15/K15</f>
        <v>#DIV/0!</v>
      </c>
      <c r="P15" s="24">
        <f t="shared" si="1"/>
        <v>0</v>
      </c>
    </row>
    <row r="16" spans="1:16" ht="25.5" x14ac:dyDescent="0.2">
      <c r="A16" s="6" t="s">
        <v>76</v>
      </c>
      <c r="B16" s="6" t="s">
        <v>76</v>
      </c>
      <c r="C16" s="15" t="s">
        <v>70</v>
      </c>
      <c r="D16" s="34">
        <v>25</v>
      </c>
      <c r="E16" s="34">
        <v>300</v>
      </c>
      <c r="F16" s="14">
        <v>5</v>
      </c>
      <c r="G16" s="14">
        <v>30</v>
      </c>
      <c r="H16" s="2" t="s">
        <v>77</v>
      </c>
      <c r="I16" s="16" t="s">
        <v>78</v>
      </c>
      <c r="J16" s="12">
        <v>3917.4</v>
      </c>
      <c r="K16" s="5"/>
      <c r="L16" s="5">
        <f t="shared" si="0"/>
        <v>0</v>
      </c>
      <c r="M16" s="27"/>
      <c r="N16" s="27">
        <f>K16*M16/100</f>
        <v>0</v>
      </c>
      <c r="O16" s="28" t="e">
        <f>P16/K16</f>
        <v>#DIV/0!</v>
      </c>
      <c r="P16" s="24">
        <f t="shared" si="1"/>
        <v>0</v>
      </c>
    </row>
    <row r="17" spans="1:16" x14ac:dyDescent="0.2">
      <c r="A17" s="7"/>
      <c r="B17" s="7"/>
      <c r="C17" s="7"/>
      <c r="D17" s="35"/>
      <c r="E17" s="35"/>
      <c r="F17" s="8"/>
      <c r="G17" s="8"/>
      <c r="H17" s="9"/>
      <c r="I17" s="4" t="s">
        <v>79</v>
      </c>
      <c r="J17" s="4"/>
      <c r="K17" s="4">
        <f>SUBTOTAL(9,K4:K16)</f>
        <v>0</v>
      </c>
      <c r="L17" s="4">
        <f>SUBTOTAL(9,L4:L16)</f>
        <v>0</v>
      </c>
      <c r="M17" s="27"/>
      <c r="N17" s="30">
        <f>SUBTOTAL(9,N4:N16)</f>
        <v>0</v>
      </c>
      <c r="O17" s="31"/>
      <c r="P17" s="29">
        <f>SUBTOTAL(9,P4:P16)</f>
        <v>0</v>
      </c>
    </row>
  </sheetData>
  <mergeCells count="5">
    <mergeCell ref="M2:N2"/>
    <mergeCell ref="O2:P2"/>
    <mergeCell ref="M1:N1"/>
    <mergeCell ref="F2:G2"/>
    <mergeCell ref="K2:L2"/>
  </mergeCells>
  <pageMargins left="0.5" right="0.5" top="0.5" bottom="0.5" header="0" footer="0"/>
  <pageSetup paperSize="9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Packing</vt:lpstr>
      <vt:lpstr>Barcode</vt:lpstr>
      <vt:lpstr>Purchase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Jaikvin</dc:creator>
  <cp:keywords/>
  <dc:description/>
  <cp:lastModifiedBy>Admin</cp:lastModifiedBy>
  <cp:revision/>
  <dcterms:created xsi:type="dcterms:W3CDTF">2008-10-02T09:29:29Z</dcterms:created>
  <dcterms:modified xsi:type="dcterms:W3CDTF">2026-05-25T12:15:04Z</dcterms:modified>
  <cp:category/>
  <cp:contentStatus/>
</cp:coreProperties>
</file>