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Jaikvin Global\Process to Software\Numbering\"/>
    </mc:Choice>
  </mc:AlternateContent>
  <bookViews>
    <workbookView xWindow="-15" yWindow="3285" windowWidth="11400" windowHeight="3330"/>
  </bookViews>
  <sheets>
    <sheet name="Page1" sheetId="2" r:id="rId1"/>
    <sheet name="PP" sheetId="55" r:id="rId2"/>
    <sheet name="GRN" sheetId="56" r:id="rId3"/>
  </sheets>
  <definedNames>
    <definedName name="_xlnm._FilterDatabase" localSheetId="2" hidden="1">GRN!#REF!</definedName>
    <definedName name="_xlnm._FilterDatabase" localSheetId="1" hidden="1">PP!$B$3:$G$18</definedName>
    <definedName name="_xlnm.Print_Area" localSheetId="0">Page1!$A$1:$G$64</definedName>
  </definedNames>
  <calcPr calcId="162913"/>
</workbook>
</file>

<file path=xl/calcChain.xml><?xml version="1.0" encoding="utf-8"?>
<calcChain xmlns="http://schemas.openxmlformats.org/spreadsheetml/2006/main">
  <c r="H21" i="56" l="1"/>
  <c r="I20" i="56"/>
  <c r="I19" i="56"/>
  <c r="I18" i="56"/>
  <c r="I17" i="56"/>
  <c r="I16" i="56"/>
  <c r="I15" i="56"/>
  <c r="I14" i="56"/>
  <c r="I13" i="56"/>
  <c r="I12" i="56"/>
  <c r="I11" i="56"/>
  <c r="I10" i="56"/>
  <c r="I9" i="56"/>
  <c r="I8" i="56"/>
  <c r="I7" i="56"/>
  <c r="I6" i="56"/>
  <c r="I5" i="56"/>
  <c r="I4" i="56"/>
  <c r="J19" i="55"/>
  <c r="K18" i="55"/>
  <c r="K17" i="55"/>
  <c r="K16" i="55"/>
  <c r="K15" i="55"/>
  <c r="K14" i="55"/>
  <c r="K13" i="55"/>
  <c r="K12" i="55"/>
  <c r="K11" i="55"/>
  <c r="K10" i="55"/>
  <c r="K9" i="55"/>
  <c r="K8" i="55"/>
  <c r="K7" i="55"/>
  <c r="K6" i="55"/>
  <c r="K5" i="55"/>
  <c r="K4" i="55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I21" i="56" l="1"/>
  <c r="K19" i="55"/>
  <c r="G18" i="2" l="1"/>
  <c r="G52" i="2" l="1"/>
  <c r="G53" i="2" s="1"/>
  <c r="G54" i="2" s="1"/>
</calcChain>
</file>

<file path=xl/sharedStrings.xml><?xml version="1.0" encoding="utf-8"?>
<sst xmlns="http://schemas.openxmlformats.org/spreadsheetml/2006/main" count="284" uniqueCount="158">
  <si>
    <t>QUANTITY</t>
  </si>
  <si>
    <t>Unit Price.</t>
  </si>
  <si>
    <t>Total Value.</t>
  </si>
  <si>
    <t>To,</t>
  </si>
  <si>
    <t>Your Ref:</t>
  </si>
  <si>
    <t>Order of:</t>
  </si>
  <si>
    <t>SELLER'S CONFIRMATION</t>
  </si>
  <si>
    <t>BUYER.</t>
  </si>
  <si>
    <t>Subject to Mumbai Jurisdiction</t>
  </si>
  <si>
    <t>(Please send us one copy duly signed &amp; stamped as confirmation)</t>
  </si>
  <si>
    <t>Delivery</t>
  </si>
  <si>
    <t>Payment</t>
  </si>
  <si>
    <t>Packing</t>
  </si>
  <si>
    <t>Documents:</t>
  </si>
  <si>
    <t>Rs.</t>
  </si>
  <si>
    <t>Per Unit</t>
  </si>
  <si>
    <t>Shipping Marks</t>
  </si>
  <si>
    <t>Purchase Order</t>
  </si>
  <si>
    <t>No and Date :</t>
  </si>
  <si>
    <t>DESCRIPTION OF GOODS.</t>
  </si>
  <si>
    <t>Ex-Works.</t>
  </si>
  <si>
    <t xml:space="preserve">                                                       TOTAL  NETT VALUE…………………</t>
  </si>
  <si>
    <t>GDW</t>
  </si>
  <si>
    <t>Messrs.V.P.Plastics,</t>
  </si>
  <si>
    <t>5-A, Unity Industrial Complex,</t>
  </si>
  <si>
    <t>Vapi Chala, Daman Road,</t>
  </si>
  <si>
    <t>Kachigam, Daman 396 210 (U.T.)</t>
  </si>
  <si>
    <t>Against Delivery as usual</t>
  </si>
  <si>
    <t>1. Invoice</t>
  </si>
  <si>
    <t xml:space="preserve">CODE </t>
  </si>
  <si>
    <t>DESCRIPTION</t>
  </si>
  <si>
    <t>As per attached Sheet</t>
  </si>
  <si>
    <t>PIECES</t>
  </si>
  <si>
    <t>Per Piece</t>
  </si>
  <si>
    <t xml:space="preserve">GD CODE </t>
  </si>
  <si>
    <t>SIZE</t>
  </si>
  <si>
    <t>PACKING</t>
  </si>
  <si>
    <t>Quantity</t>
  </si>
  <si>
    <t>MM</t>
  </si>
  <si>
    <t xml:space="preserve">UNIT </t>
  </si>
  <si>
    <t>BOX</t>
  </si>
  <si>
    <t>Box</t>
  </si>
  <si>
    <t>Pcs</t>
  </si>
  <si>
    <t>NYLON MOULDED FITTINGS</t>
  </si>
  <si>
    <t>Phones : 2243187/9820087311</t>
  </si>
  <si>
    <t>2. Packing cum weight List</t>
  </si>
  <si>
    <t>HSN CODE</t>
  </si>
  <si>
    <t>EXPORT PURCHASE ORDER</t>
  </si>
  <si>
    <t>TOTAL VALUE….</t>
  </si>
  <si>
    <t>GST</t>
  </si>
  <si>
    <t>JAIKVIN GLOBAL</t>
  </si>
  <si>
    <t>Merchant Exporters</t>
  </si>
  <si>
    <t>A-101, Rajshree Royale, Navroji Lane, Ghatkopar (W),</t>
  </si>
  <si>
    <t>MUMBAI-400 086. Maharashtra (State Code : 27)</t>
  </si>
  <si>
    <t>Tel: 9987122600 E-Mail: aalok.shah@jaikvinglobal.com</t>
  </si>
  <si>
    <t>GSTIN : 27AVIPS4808H1Z8
PAN No: AVIPS-4808-H</t>
  </si>
  <si>
    <t>For JAIKVIN GLOBAL</t>
  </si>
  <si>
    <t>IGST @ 18% TO BE CHARGED</t>
  </si>
  <si>
    <r>
      <t>ADD</t>
    </r>
    <r>
      <rPr>
        <sz val="10"/>
        <rFont val="Arial"/>
        <family val="2"/>
      </rPr>
      <t xml:space="preserve"> : IGST @ 18%</t>
    </r>
  </si>
  <si>
    <t>Your E-mail Dt 06.02.2023 and Verbal</t>
  </si>
  <si>
    <t>Discussion Dt 26.10.2021</t>
  </si>
  <si>
    <t>TOTAL</t>
  </si>
  <si>
    <t>HSN CODES</t>
  </si>
  <si>
    <t>Bar Codes</t>
  </si>
  <si>
    <t>03455-VP DT 16.02.2026</t>
  </si>
  <si>
    <t>PP &amp; NYLON MOULDED FITTINGS</t>
  </si>
  <si>
    <t>CUT15</t>
  </si>
  <si>
    <t>CUT 15 Flexi Cut Off Riser
15MM</t>
  </si>
  <si>
    <t>CUTMF15</t>
  </si>
  <si>
    <t>CUTMF 15 M/F Cut Off Riser
15MM</t>
  </si>
  <si>
    <t>FFC20</t>
  </si>
  <si>
    <t>FFC 20 F/F Couplings
20MM</t>
  </si>
  <si>
    <t>MFA15</t>
  </si>
  <si>
    <t>MFA 15 M/F Adaptors
15MM</t>
  </si>
  <si>
    <t>PP1503</t>
  </si>
  <si>
    <t>PP 1503 P/RISER M X M
80 x 15MM</t>
  </si>
  <si>
    <t>PP1505</t>
  </si>
  <si>
    <t>PP 1505 P/RISER M X M
125 x 15MM</t>
  </si>
  <si>
    <t>PP2002</t>
  </si>
  <si>
    <t>PP 2002 P/RISER M X M
50 X 20MM</t>
  </si>
  <si>
    <t>PP2003</t>
  </si>
  <si>
    <t>PP 2003 P/RISER M X M
80 X 20MM</t>
  </si>
  <si>
    <t>PP2006</t>
  </si>
  <si>
    <t>PP 2006 P/RISER M X M
150 X 20MM</t>
  </si>
  <si>
    <t>PP2504</t>
  </si>
  <si>
    <t>PP 2504 P/RISER M X M
100 X 25MM</t>
  </si>
  <si>
    <t>PP2506</t>
  </si>
  <si>
    <t>PP 2506 P/RISER M X M
150 X 25MM</t>
  </si>
  <si>
    <t>90443200 P/RISER M X M
1" x 1" x 150 MM</t>
  </si>
  <si>
    <t>PPA1506</t>
  </si>
  <si>
    <t>PPA 1506 ARTIC. P/RISER 
150 X 15MM</t>
  </si>
  <si>
    <t>PPA1508</t>
  </si>
  <si>
    <t>PPA 1508 ARTIC. P/RISER
200 X 15MM</t>
  </si>
  <si>
    <t>PPA2008</t>
  </si>
  <si>
    <t>PPA 2008 ARTIC. P/RISER
200 X 20MM</t>
  </si>
  <si>
    <t>GRE15</t>
  </si>
  <si>
    <t>15MM F/F ELBOW</t>
  </si>
  <si>
    <t>GRE20</t>
  </si>
  <si>
    <t>20MM F/F ELBOW</t>
  </si>
  <si>
    <t>GRE25</t>
  </si>
  <si>
    <t>25MM F/F ELBOW</t>
  </si>
  <si>
    <t>GRFTF-15</t>
  </si>
  <si>
    <t>15 mm GR F/M TANK FITTING</t>
  </si>
  <si>
    <t>GRFTF-20</t>
  </si>
  <si>
    <t>20 mm GR F/M TANK FITTING</t>
  </si>
  <si>
    <t>GRFTF-25</t>
  </si>
  <si>
    <t>25 mm GR F/M TANK FITTING</t>
  </si>
  <si>
    <t>GRMHT15</t>
  </si>
  <si>
    <t>15MM MALE HOSE TAIL</t>
  </si>
  <si>
    <t>GRMHT20</t>
  </si>
  <si>
    <t>20MM MALE HOSE TAIL</t>
  </si>
  <si>
    <t>GRMHT25</t>
  </si>
  <si>
    <t>25MM MALE HOSE TAIL</t>
  </si>
  <si>
    <t>GRN15</t>
  </si>
  <si>
    <t>15MM NIPPLE</t>
  </si>
  <si>
    <t>GRN20</t>
  </si>
  <si>
    <t>20MM NIPPLE</t>
  </si>
  <si>
    <t>GRN25</t>
  </si>
  <si>
    <t>25MM NIPPLE</t>
  </si>
  <si>
    <t>GRRB2015</t>
  </si>
  <si>
    <t>20 X 15MM RED. BUSH</t>
  </si>
  <si>
    <t>GRRB2515</t>
  </si>
  <si>
    <t>25 X 15MM RED. BUSH</t>
  </si>
  <si>
    <t>GRRB2520</t>
  </si>
  <si>
    <t>25 X 20MM RED. BUSH</t>
  </si>
  <si>
    <t>GRRB4025</t>
  </si>
  <si>
    <t>40 X 25MM RED. BUSH</t>
  </si>
  <si>
    <t>GRS20</t>
  </si>
  <si>
    <t>20MM SOCKET</t>
  </si>
  <si>
    <t>APRIL 2026</t>
  </si>
  <si>
    <t>PO NO : 03455 DT 16.02.2026</t>
  </si>
  <si>
    <t>CODE</t>
  </si>
  <si>
    <t>LENGTH</t>
  </si>
  <si>
    <t>9319696150649</t>
  </si>
  <si>
    <t>9319696150144</t>
  </si>
  <si>
    <t>9319696200139</t>
  </si>
  <si>
    <t>9319696150106</t>
  </si>
  <si>
    <t>9319696015030</t>
  </si>
  <si>
    <t>9319696015054</t>
  </si>
  <si>
    <t>9319696020027</t>
  </si>
  <si>
    <t>9319696020034</t>
  </si>
  <si>
    <t>9319696020065</t>
  </si>
  <si>
    <t>9319696025046</t>
  </si>
  <si>
    <t>9391696025060</t>
  </si>
  <si>
    <t>PP2506PH</t>
  </si>
  <si>
    <t>1"</t>
  </si>
  <si>
    <t>9313146000454</t>
  </si>
  <si>
    <t>9319696215065</t>
  </si>
  <si>
    <t>9319696215089</t>
  </si>
  <si>
    <t>9319696220083</t>
  </si>
  <si>
    <t>9319696500208</t>
  </si>
  <si>
    <t>9319696500307</t>
  </si>
  <si>
    <t>9319696500406</t>
  </si>
  <si>
    <t>20*15</t>
  </si>
  <si>
    <t>25*15</t>
  </si>
  <si>
    <t>25*20</t>
  </si>
  <si>
    <t>40*25</t>
  </si>
  <si>
    <t>PP MOULDED FITTINGS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</si>
</sst>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7" formatCode="&quot;₹&quot;\ #,##0.00;&quot;₹&quot;\ \-#,##0.00"/>
    <numFmt numFmtId="164" formatCode="0;\-0;;@"/>
    <numFmt numFmtId="165" formatCode="0.00;\-0.00;;@"/>
    <numFmt numFmtId="166" formatCode="0.0000"/>
    <numFmt numFmtId="167" formatCode="&quot;₹&quot;\ #,##0.00"/>
  </numFmts>
  <fonts count="27" x14ac:knownFonts="1">
    <font>
      <sz val="10"/>
      <name val="Times New Roman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color indexed="16"/>
      <name val="Arial"/>
      <family val="2"/>
    </font>
    <font>
      <sz val="10"/>
      <color indexed="48"/>
      <name val="Arial"/>
      <family val="2"/>
    </font>
    <font>
      <sz val="10"/>
      <color indexed="18"/>
      <name val="Arial"/>
      <family val="2"/>
    </font>
    <font>
      <b/>
      <u/>
      <sz val="10"/>
      <name val="Arial"/>
      <family val="2"/>
    </font>
    <font>
      <sz val="10"/>
      <color indexed="12"/>
      <name val="Arial"/>
      <family val="2"/>
    </font>
    <font>
      <u/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b/>
      <sz val="16"/>
      <color indexed="8"/>
      <name val="Arial"/>
      <family val="2"/>
    </font>
    <font>
      <sz val="10"/>
      <name val="Arial"/>
      <family val="2"/>
    </font>
    <font>
      <b/>
      <sz val="10"/>
      <color indexed="57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8"/>
      <color indexed="16"/>
      <name val="Centaur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4">
    <xf numFmtId="0" fontId="0" fillId="0" borderId="0"/>
    <xf numFmtId="0" fontId="2" fillId="0" borderId="0"/>
    <xf numFmtId="0" fontId="13" fillId="0" borderId="0"/>
    <xf numFmtId="0" fontId="15" fillId="0" borderId="0"/>
    <xf numFmtId="0" fontId="16" fillId="0" borderId="0"/>
    <xf numFmtId="0" fontId="17" fillId="0" borderId="0"/>
    <xf numFmtId="0" fontId="19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" fillId="0" borderId="0"/>
  </cellStyleXfs>
  <cellXfs count="215">
    <xf numFmtId="0" fontId="0" fillId="0" borderId="0" xfId="0"/>
    <xf numFmtId="164" fontId="1" fillId="0" borderId="3" xfId="0" applyNumberFormat="1" applyFont="1" applyFill="1" applyBorder="1" applyAlignment="1" applyProtection="1">
      <alignment horizontal="center"/>
      <protection locked="0"/>
    </xf>
    <xf numFmtId="164" fontId="2" fillId="0" borderId="0" xfId="0" applyNumberFormat="1" applyFont="1" applyFill="1" applyBorder="1" applyProtection="1">
      <protection locked="0"/>
    </xf>
    <xf numFmtId="164" fontId="2" fillId="0" borderId="5" xfId="0" applyNumberFormat="1" applyFont="1" applyFill="1" applyBorder="1" applyProtection="1">
      <protection locked="0"/>
    </xf>
    <xf numFmtId="164" fontId="3" fillId="0" borderId="7" xfId="0" applyNumberFormat="1" applyFont="1" applyFill="1" applyBorder="1" applyProtection="1">
      <protection locked="0"/>
    </xf>
    <xf numFmtId="164" fontId="3" fillId="0" borderId="8" xfId="0" applyNumberFormat="1" applyFont="1" applyFill="1" applyBorder="1" applyProtection="1">
      <protection locked="0"/>
    </xf>
    <xf numFmtId="164" fontId="3" fillId="0" borderId="2" xfId="0" applyNumberFormat="1" applyFont="1" applyFill="1" applyBorder="1" applyProtection="1">
      <protection locked="0"/>
    </xf>
    <xf numFmtId="164" fontId="3" fillId="0" borderId="9" xfId="0" applyNumberFormat="1" applyFont="1" applyFill="1" applyBorder="1" applyProtection="1">
      <protection locked="0"/>
    </xf>
    <xf numFmtId="0" fontId="1" fillId="0" borderId="3" xfId="0" applyNumberFormat="1" applyFont="1" applyFill="1" applyBorder="1" applyAlignment="1" applyProtection="1">
      <alignment horizontal="center"/>
      <protection locked="0"/>
    </xf>
    <xf numFmtId="0" fontId="7" fillId="0" borderId="2" xfId="0" applyNumberFormat="1" applyFont="1" applyFill="1" applyBorder="1" applyAlignment="1" applyProtection="1">
      <alignment horizontal="center"/>
      <protection locked="0"/>
    </xf>
    <xf numFmtId="164" fontId="7" fillId="0" borderId="10" xfId="0" applyNumberFormat="1" applyFont="1" applyFill="1" applyBorder="1" applyAlignment="1" applyProtection="1">
      <alignment horizontal="center" shrinkToFit="1"/>
      <protection locked="0"/>
    </xf>
    <xf numFmtId="0" fontId="2" fillId="0" borderId="0" xfId="0" applyFont="1" applyFill="1" applyProtection="1"/>
    <xf numFmtId="164" fontId="3" fillId="0" borderId="9" xfId="0" applyNumberFormat="1" applyFont="1" applyFill="1" applyBorder="1" applyAlignment="1" applyProtection="1">
      <alignment shrinkToFit="1"/>
    </xf>
    <xf numFmtId="164" fontId="3" fillId="0" borderId="8" xfId="0" applyNumberFormat="1" applyFont="1" applyFill="1" applyBorder="1" applyProtection="1"/>
    <xf numFmtId="164" fontId="3" fillId="0" borderId="9" xfId="0" applyNumberFormat="1" applyFont="1" applyFill="1" applyBorder="1" applyProtection="1"/>
    <xf numFmtId="164" fontId="6" fillId="0" borderId="8" xfId="0" applyNumberFormat="1" applyFont="1" applyFill="1" applyBorder="1" applyProtection="1"/>
    <xf numFmtId="164" fontId="5" fillId="0" borderId="8" xfId="0" applyNumberFormat="1" applyFont="1" applyFill="1" applyBorder="1" applyProtection="1"/>
    <xf numFmtId="164" fontId="3" fillId="0" borderId="9" xfId="0" applyNumberFormat="1" applyFont="1" applyFill="1" applyBorder="1" applyAlignment="1" applyProtection="1"/>
    <xf numFmtId="164" fontId="3" fillId="0" borderId="11" xfId="0" applyNumberFormat="1" applyFont="1" applyFill="1" applyBorder="1" applyAlignment="1" applyProtection="1">
      <alignment horizontal="center"/>
    </xf>
    <xf numFmtId="1" fontId="2" fillId="0" borderId="3" xfId="0" applyNumberFormat="1" applyFont="1" applyFill="1" applyBorder="1" applyAlignment="1" applyProtection="1">
      <alignment horizontal="center"/>
    </xf>
    <xf numFmtId="0" fontId="2" fillId="0" borderId="4" xfId="0" applyNumberFormat="1" applyFont="1" applyFill="1" applyBorder="1" applyAlignment="1" applyProtection="1">
      <alignment horizontal="center"/>
    </xf>
    <xf numFmtId="4" fontId="2" fillId="0" borderId="4" xfId="0" applyNumberFormat="1" applyFont="1" applyFill="1" applyBorder="1" applyAlignment="1" applyProtection="1">
      <alignment horizontal="center"/>
    </xf>
    <xf numFmtId="1" fontId="2" fillId="0" borderId="3" xfId="0" applyNumberFormat="1" applyFont="1" applyFill="1" applyBorder="1" applyAlignment="1" applyProtection="1">
      <alignment horizontal="center" vertical="center"/>
      <protection locked="0"/>
    </xf>
    <xf numFmtId="4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3" xfId="0" applyNumberFormat="1" applyFont="1" applyFill="1" applyBorder="1" applyAlignment="1" applyProtection="1">
      <alignment horizontal="center" vertical="center"/>
      <protection locked="0"/>
    </xf>
    <xf numFmtId="0" fontId="2" fillId="0" borderId="7" xfId="0" applyFont="1" applyFill="1" applyBorder="1" applyAlignment="1" applyProtection="1">
      <alignment horizontal="left" vertical="center" shrinkToFit="1"/>
      <protection locked="0"/>
    </xf>
    <xf numFmtId="0" fontId="2" fillId="0" borderId="0" xfId="0" applyFont="1" applyFill="1" applyBorder="1" applyAlignment="1" applyProtection="1">
      <alignment vertical="center" wrapText="1"/>
      <protection locked="0"/>
    </xf>
    <xf numFmtId="165" fontId="2" fillId="0" borderId="4" xfId="0" applyNumberFormat="1" applyFont="1" applyFill="1" applyBorder="1" applyAlignment="1" applyProtection="1">
      <alignment horizontal="right" vertical="center"/>
    </xf>
    <xf numFmtId="164" fontId="1" fillId="0" borderId="1" xfId="0" applyNumberFormat="1" applyFont="1" applyFill="1" applyBorder="1" applyAlignment="1" applyProtection="1">
      <protection locked="0"/>
    </xf>
    <xf numFmtId="166" fontId="2" fillId="0" borderId="13" xfId="0" applyNumberFormat="1" applyFont="1" applyFill="1" applyBorder="1" applyAlignment="1" applyProtection="1">
      <alignment horizontal="left" vertical="center" wrapText="1"/>
      <protection locked="0"/>
    </xf>
    <xf numFmtId="164" fontId="1" fillId="0" borderId="15" xfId="0" applyNumberFormat="1" applyFont="1" applyFill="1" applyBorder="1" applyAlignment="1" applyProtection="1">
      <protection locked="0"/>
    </xf>
    <xf numFmtId="164" fontId="1" fillId="0" borderId="4" xfId="0" applyNumberFormat="1" applyFont="1" applyFill="1" applyBorder="1" applyAlignment="1" applyProtection="1">
      <alignment horizontal="center"/>
      <protection locked="0"/>
    </xf>
    <xf numFmtId="0" fontId="1" fillId="0" borderId="4" xfId="0" applyNumberFormat="1" applyFont="1" applyFill="1" applyBorder="1" applyAlignment="1" applyProtection="1">
      <alignment horizontal="center"/>
      <protection locked="0"/>
    </xf>
    <xf numFmtId="0" fontId="1" fillId="0" borderId="11" xfId="0" applyFont="1" applyBorder="1" applyAlignment="1"/>
    <xf numFmtId="7" fontId="2" fillId="0" borderId="12" xfId="0" applyNumberFormat="1" applyFont="1" applyFill="1" applyBorder="1" applyAlignment="1" applyProtection="1">
      <alignment horizontal="right"/>
    </xf>
    <xf numFmtId="7" fontId="2" fillId="0" borderId="3" xfId="0" applyNumberFormat="1" applyFont="1" applyFill="1" applyBorder="1" applyAlignment="1" applyProtection="1">
      <alignment horizontal="right" vertical="center"/>
    </xf>
    <xf numFmtId="0" fontId="2" fillId="0" borderId="23" xfId="0" applyFont="1" applyFill="1" applyBorder="1" applyAlignment="1" applyProtection="1">
      <alignment horizontal="left" vertical="center" shrinkToFit="1"/>
      <protection locked="0"/>
    </xf>
    <xf numFmtId="0" fontId="2" fillId="0" borderId="23" xfId="0" applyFont="1" applyFill="1" applyBorder="1" applyAlignment="1" applyProtection="1">
      <alignment vertical="center" wrapText="1"/>
      <protection locked="0"/>
    </xf>
    <xf numFmtId="166" fontId="2" fillId="0" borderId="23" xfId="0" applyNumberFormat="1" applyFont="1" applyFill="1" applyBorder="1" applyAlignment="1" applyProtection="1">
      <alignment horizontal="left" vertical="center" wrapText="1"/>
      <protection locked="0"/>
    </xf>
    <xf numFmtId="1" fontId="2" fillId="0" borderId="23" xfId="0" applyNumberFormat="1" applyFont="1" applyFill="1" applyBorder="1" applyAlignment="1" applyProtection="1">
      <alignment horizontal="center" vertical="center"/>
      <protection locked="0"/>
    </xf>
    <xf numFmtId="167" fontId="2" fillId="0" borderId="23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NumberFormat="1" applyFont="1" applyFill="1" applyBorder="1" applyAlignment="1" applyProtection="1">
      <alignment horizontal="center" vertical="center"/>
      <protection locked="0"/>
    </xf>
    <xf numFmtId="167" fontId="2" fillId="0" borderId="23" xfId="0" applyNumberFormat="1" applyFont="1" applyFill="1" applyBorder="1" applyAlignment="1" applyProtection="1">
      <alignment horizontal="right" vertical="center"/>
    </xf>
    <xf numFmtId="0" fontId="2" fillId="0" borderId="24" xfId="0" applyFont="1" applyFill="1" applyBorder="1" applyAlignment="1" applyProtection="1">
      <alignment horizontal="left" vertical="center" shrinkToFit="1"/>
      <protection locked="0"/>
    </xf>
    <xf numFmtId="0" fontId="2" fillId="0" borderId="24" xfId="0" applyFont="1" applyFill="1" applyBorder="1" applyAlignment="1" applyProtection="1">
      <alignment vertical="center" wrapText="1"/>
      <protection locked="0"/>
    </xf>
    <xf numFmtId="166" fontId="2" fillId="0" borderId="24" xfId="0" applyNumberFormat="1" applyFont="1" applyFill="1" applyBorder="1" applyAlignment="1" applyProtection="1">
      <alignment horizontal="left" vertical="center" wrapText="1"/>
      <protection locked="0"/>
    </xf>
    <xf numFmtId="1" fontId="2" fillId="0" borderId="24" xfId="0" applyNumberFormat="1" applyFont="1" applyFill="1" applyBorder="1" applyAlignment="1" applyProtection="1">
      <alignment horizontal="center" vertical="center"/>
      <protection locked="0"/>
    </xf>
    <xf numFmtId="167" fontId="2" fillId="0" borderId="24" xfId="0" applyNumberFormat="1" applyFont="1" applyFill="1" applyBorder="1" applyAlignment="1" applyProtection="1">
      <alignment horizontal="center" vertical="center"/>
      <protection locked="0"/>
    </xf>
    <xf numFmtId="0" fontId="2" fillId="0" borderId="24" xfId="0" applyNumberFormat="1" applyFont="1" applyFill="1" applyBorder="1" applyAlignment="1" applyProtection="1">
      <alignment horizontal="center" vertical="center"/>
      <protection locked="0"/>
    </xf>
    <xf numFmtId="0" fontId="2" fillId="0" borderId="25" xfId="0" applyFont="1" applyFill="1" applyBorder="1" applyAlignment="1" applyProtection="1">
      <alignment horizontal="left" vertical="center" shrinkToFit="1"/>
      <protection locked="0"/>
    </xf>
    <xf numFmtId="0" fontId="2" fillId="0" borderId="25" xfId="0" applyFont="1" applyFill="1" applyBorder="1" applyAlignment="1" applyProtection="1">
      <alignment vertical="center" wrapText="1"/>
      <protection locked="0"/>
    </xf>
    <xf numFmtId="166" fontId="2" fillId="0" borderId="25" xfId="0" applyNumberFormat="1" applyFont="1" applyFill="1" applyBorder="1" applyAlignment="1" applyProtection="1">
      <alignment horizontal="left" vertical="center" wrapText="1"/>
      <protection locked="0"/>
    </xf>
    <xf numFmtId="1" fontId="2" fillId="0" borderId="25" xfId="0" applyNumberFormat="1" applyFont="1" applyFill="1" applyBorder="1" applyAlignment="1" applyProtection="1">
      <alignment horizontal="center" vertical="center"/>
      <protection locked="0"/>
    </xf>
    <xf numFmtId="167" fontId="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5" xfId="0" applyNumberFormat="1" applyFont="1" applyFill="1" applyBorder="1" applyAlignment="1" applyProtection="1">
      <alignment horizontal="center" vertical="center"/>
      <protection locked="0"/>
    </xf>
    <xf numFmtId="167" fontId="2" fillId="0" borderId="24" xfId="0" applyNumberFormat="1" applyFont="1" applyFill="1" applyBorder="1" applyAlignment="1" applyProtection="1">
      <alignment horizontal="right" vertical="center"/>
    </xf>
    <xf numFmtId="167" fontId="2" fillId="0" borderId="25" xfId="0" applyNumberFormat="1" applyFont="1" applyFill="1" applyBorder="1" applyAlignment="1" applyProtection="1">
      <alignment horizontal="right" vertical="center"/>
    </xf>
    <xf numFmtId="167" fontId="2" fillId="0" borderId="26" xfId="0" applyNumberFormat="1" applyFont="1" applyFill="1" applyBorder="1" applyAlignment="1" applyProtection="1">
      <alignment horizontal="right" vertical="center"/>
    </xf>
    <xf numFmtId="0" fontId="2" fillId="0" borderId="16" xfId="0" applyFont="1" applyFill="1" applyBorder="1" applyAlignment="1" applyProtection="1">
      <alignment vertical="center" shrinkToFit="1"/>
      <protection locked="0"/>
    </xf>
    <xf numFmtId="4" fontId="2" fillId="0" borderId="11" xfId="0" applyNumberFormat="1" applyFont="1" applyFill="1" applyBorder="1" applyAlignment="1" applyProtection="1">
      <alignment horizontal="center" vertical="center"/>
      <protection locked="0"/>
    </xf>
    <xf numFmtId="0" fontId="2" fillId="0" borderId="11" xfId="0" applyNumberFormat="1" applyFont="1" applyFill="1" applyBorder="1" applyAlignment="1" applyProtection="1">
      <alignment horizontal="center" vertical="center"/>
      <protection locked="0"/>
    </xf>
    <xf numFmtId="165" fontId="2" fillId="0" borderId="11" xfId="0" applyNumberFormat="1" applyFont="1" applyFill="1" applyBorder="1" applyAlignment="1" applyProtection="1">
      <alignment horizontal="right" vertical="center"/>
    </xf>
    <xf numFmtId="0" fontId="2" fillId="0" borderId="0" xfId="13" applyFill="1" applyAlignment="1">
      <alignment vertical="center"/>
    </xf>
    <xf numFmtId="0" fontId="1" fillId="0" borderId="11" xfId="13" applyFont="1" applyFill="1" applyBorder="1" applyAlignment="1">
      <alignment horizontal="center" vertical="center"/>
    </xf>
    <xf numFmtId="0" fontId="1" fillId="0" borderId="11" xfId="13" applyFont="1" applyBorder="1" applyAlignment="1">
      <alignment horizontal="center" vertical="center"/>
    </xf>
    <xf numFmtId="0" fontId="2" fillId="0" borderId="11" xfId="13" applyFill="1" applyBorder="1" applyAlignment="1">
      <alignment vertical="center"/>
    </xf>
    <xf numFmtId="0" fontId="2" fillId="0" borderId="11" xfId="13" applyFill="1" applyBorder="1" applyAlignment="1">
      <alignment horizontal="center" vertical="center"/>
    </xf>
    <xf numFmtId="0" fontId="1" fillId="0" borderId="11" xfId="13" applyFont="1" applyFill="1" applyBorder="1" applyAlignment="1">
      <alignment horizontal="left" vertical="center"/>
    </xf>
    <xf numFmtId="0" fontId="14" fillId="0" borderId="11" xfId="13" applyFont="1" applyFill="1" applyBorder="1" applyAlignment="1">
      <alignment horizontal="left" vertical="center"/>
    </xf>
    <xf numFmtId="0" fontId="2" fillId="0" borderId="11" xfId="13" applyFont="1" applyFill="1" applyBorder="1" applyAlignment="1">
      <alignment vertical="center" wrapText="1"/>
    </xf>
    <xf numFmtId="0" fontId="1" fillId="0" borderId="11" xfId="13" quotePrefix="1" applyFont="1" applyFill="1" applyBorder="1" applyAlignment="1">
      <alignment horizontal="center" vertical="center"/>
    </xf>
    <xf numFmtId="166" fontId="2" fillId="0" borderId="11" xfId="13" quotePrefix="1" applyNumberFormat="1" applyFont="1" applyFill="1" applyBorder="1" applyAlignment="1">
      <alignment horizontal="center" vertical="center"/>
    </xf>
    <xf numFmtId="0" fontId="2" fillId="0" borderId="11" xfId="13" applyFont="1" applyFill="1" applyBorder="1" applyAlignment="1">
      <alignment horizontal="left" vertical="center" wrapText="1"/>
    </xf>
    <xf numFmtId="0" fontId="14" fillId="0" borderId="11" xfId="13" applyFont="1" applyBorder="1" applyAlignment="1">
      <alignment horizontal="left" vertical="center"/>
    </xf>
    <xf numFmtId="0" fontId="2" fillId="2" borderId="11" xfId="13" applyFill="1" applyBorder="1" applyAlignment="1">
      <alignment horizontal="center" vertical="center"/>
    </xf>
    <xf numFmtId="0" fontId="2" fillId="0" borderId="11" xfId="13" applyFont="1" applyBorder="1" applyAlignment="1">
      <alignment horizontal="left" vertical="center" wrapText="1"/>
    </xf>
    <xf numFmtId="0" fontId="1" fillId="0" borderId="11" xfId="13" quotePrefix="1" applyFont="1" applyBorder="1" applyAlignment="1">
      <alignment horizontal="center" vertical="center"/>
    </xf>
    <xf numFmtId="0" fontId="1" fillId="0" borderId="15" xfId="13" quotePrefix="1" applyFont="1" applyBorder="1" applyAlignment="1">
      <alignment horizontal="center" vertical="center"/>
    </xf>
    <xf numFmtId="0" fontId="1" fillId="0" borderId="15" xfId="13" quotePrefix="1" applyFont="1" applyFill="1" applyBorder="1" applyAlignment="1">
      <alignment horizontal="center" vertical="center"/>
    </xf>
    <xf numFmtId="0" fontId="2" fillId="0" borderId="11" xfId="13" quotePrefix="1" applyBorder="1" applyAlignment="1">
      <alignment horizontal="center" vertical="center"/>
    </xf>
    <xf numFmtId="0" fontId="2" fillId="0" borderId="11" xfId="13" applyBorder="1" applyAlignment="1">
      <alignment horizontal="center" vertical="center"/>
    </xf>
    <xf numFmtId="0" fontId="2" fillId="0" borderId="11" xfId="13" applyFont="1" applyBorder="1" applyAlignment="1">
      <alignment vertical="center" wrapText="1"/>
    </xf>
    <xf numFmtId="0" fontId="14" fillId="0" borderId="1" xfId="13" applyFont="1" applyFill="1" applyBorder="1" applyAlignment="1">
      <alignment horizontal="left" vertical="center"/>
    </xf>
    <xf numFmtId="0" fontId="1" fillId="0" borderId="1" xfId="13" applyFont="1" applyFill="1" applyBorder="1" applyAlignment="1">
      <alignment horizontal="left" vertical="center"/>
    </xf>
    <xf numFmtId="0" fontId="2" fillId="0" borderId="1" xfId="13" applyFill="1" applyBorder="1" applyAlignment="1">
      <alignment horizontal="left" vertical="center"/>
    </xf>
    <xf numFmtId="0" fontId="2" fillId="0" borderId="1" xfId="13" applyFont="1" applyFill="1" applyBorder="1" applyAlignment="1">
      <alignment vertical="center" wrapText="1"/>
    </xf>
    <xf numFmtId="0" fontId="1" fillId="0" borderId="11" xfId="13" applyFont="1" applyFill="1" applyBorder="1" applyAlignment="1">
      <alignment vertical="center"/>
    </xf>
    <xf numFmtId="0" fontId="2" fillId="0" borderId="0" xfId="13" applyFill="1" applyAlignment="1">
      <alignment horizontal="left" vertical="center"/>
    </xf>
    <xf numFmtId="0" fontId="2" fillId="0" borderId="11" xfId="13" applyBorder="1" applyAlignment="1">
      <alignment vertical="center"/>
    </xf>
    <xf numFmtId="0" fontId="1" fillId="0" borderId="11" xfId="13" applyFont="1" applyBorder="1" applyAlignment="1">
      <alignment horizontal="left" vertical="center"/>
    </xf>
    <xf numFmtId="0" fontId="2" fillId="0" borderId="11" xfId="13" applyFont="1" applyBorder="1" applyAlignment="1">
      <alignment horizontal="left" vertical="center"/>
    </xf>
    <xf numFmtId="0" fontId="2" fillId="0" borderId="11" xfId="13" applyFont="1" applyBorder="1" applyAlignment="1">
      <alignment horizontal="center" vertical="center"/>
    </xf>
    <xf numFmtId="1" fontId="2" fillId="0" borderId="11" xfId="13" applyNumberFormat="1" applyFont="1" applyBorder="1" applyAlignment="1">
      <alignment horizontal="center"/>
    </xf>
    <xf numFmtId="166" fontId="2" fillId="0" borderId="11" xfId="13" applyNumberFormat="1" applyFont="1" applyBorder="1" applyAlignment="1">
      <alignment horizontal="center"/>
    </xf>
    <xf numFmtId="0" fontId="2" fillId="0" borderId="11" xfId="13" applyFont="1" applyBorder="1" applyAlignment="1">
      <alignment shrinkToFit="1"/>
    </xf>
    <xf numFmtId="0" fontId="2" fillId="0" borderId="11" xfId="13" quotePrefix="1" applyFont="1" applyBorder="1" applyAlignment="1">
      <alignment horizontal="center"/>
    </xf>
    <xf numFmtId="0" fontId="2" fillId="0" borderId="11" xfId="13" applyFont="1" applyFill="1" applyBorder="1" applyAlignment="1">
      <alignment horizontal="left" vertical="center"/>
    </xf>
    <xf numFmtId="0" fontId="2" fillId="0" borderId="11" xfId="13" applyFont="1" applyFill="1" applyBorder="1" applyAlignment="1">
      <alignment horizontal="center" vertical="center"/>
    </xf>
    <xf numFmtId="1" fontId="2" fillId="0" borderId="11" xfId="13" applyNumberFormat="1" applyFont="1" applyFill="1" applyBorder="1" applyAlignment="1">
      <alignment horizontal="center"/>
    </xf>
    <xf numFmtId="166" fontId="2" fillId="0" borderId="11" xfId="13" applyNumberFormat="1" applyFont="1" applyFill="1" applyBorder="1" applyAlignment="1">
      <alignment horizontal="center"/>
    </xf>
    <xf numFmtId="4" fontId="2" fillId="0" borderId="0" xfId="13" applyNumberFormat="1" applyFill="1" applyAlignment="1">
      <alignment vertical="center"/>
    </xf>
    <xf numFmtId="2" fontId="2" fillId="0" borderId="0" xfId="13" applyNumberFormat="1" applyFill="1" applyAlignment="1">
      <alignment vertical="center"/>
    </xf>
    <xf numFmtId="0" fontId="14" fillId="0" borderId="1" xfId="13" applyFont="1" applyBorder="1" applyAlignment="1">
      <alignment horizontal="left" vertical="center"/>
    </xf>
    <xf numFmtId="0" fontId="1" fillId="0" borderId="1" xfId="13" applyFont="1" applyBorder="1" applyAlignment="1">
      <alignment horizontal="left" vertical="center"/>
    </xf>
    <xf numFmtId="0" fontId="2" fillId="0" borderId="1" xfId="13" applyBorder="1" applyAlignment="1">
      <alignment horizontal="left" vertical="center"/>
    </xf>
    <xf numFmtId="0" fontId="2" fillId="0" borderId="1" xfId="13" applyFont="1" applyBorder="1" applyAlignment="1">
      <alignment vertical="center" wrapText="1"/>
    </xf>
    <xf numFmtId="0" fontId="1" fillId="0" borderId="11" xfId="13" applyFont="1" applyBorder="1" applyAlignment="1">
      <alignment vertical="center"/>
    </xf>
    <xf numFmtId="0" fontId="2" fillId="0" borderId="0" xfId="13" applyAlignment="1">
      <alignment vertical="center"/>
    </xf>
    <xf numFmtId="0" fontId="2" fillId="0" borderId="0" xfId="13" applyAlignment="1">
      <alignment horizontal="left" vertical="center"/>
    </xf>
    <xf numFmtId="164" fontId="2" fillId="0" borderId="5" xfId="0" applyNumberFormat="1" applyFont="1" applyFill="1" applyBorder="1" applyAlignment="1" applyProtection="1">
      <protection locked="0"/>
    </xf>
    <xf numFmtId="164" fontId="2" fillId="0" borderId="14" xfId="0" applyNumberFormat="1" applyFont="1" applyFill="1" applyBorder="1" applyAlignment="1" applyProtection="1">
      <protection locked="0"/>
    </xf>
    <xf numFmtId="164" fontId="3" fillId="0" borderId="7" xfId="0" applyNumberFormat="1" applyFont="1" applyFill="1" applyBorder="1" applyAlignment="1" applyProtection="1">
      <alignment horizontal="center"/>
      <protection locked="0"/>
    </xf>
    <xf numFmtId="164" fontId="3" fillId="0" borderId="0" xfId="0" applyNumberFormat="1" applyFont="1" applyFill="1" applyBorder="1" applyAlignment="1" applyProtection="1">
      <alignment horizontal="center"/>
      <protection locked="0"/>
    </xf>
    <xf numFmtId="164" fontId="3" fillId="0" borderId="13" xfId="0" applyNumberFormat="1" applyFont="1" applyFill="1" applyBorder="1" applyAlignment="1" applyProtection="1">
      <alignment horizontal="center"/>
      <protection locked="0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164" fontId="2" fillId="0" borderId="14" xfId="0" applyNumberFormat="1" applyFont="1" applyFill="1" applyBorder="1" applyAlignment="1" applyProtection="1">
      <alignment horizontal="center"/>
      <protection locked="0"/>
    </xf>
    <xf numFmtId="164" fontId="5" fillId="0" borderId="7" xfId="0" applyNumberFormat="1" applyFont="1" applyFill="1" applyBorder="1" applyAlignment="1" applyProtection="1">
      <alignment horizontal="right"/>
    </xf>
    <xf numFmtId="164" fontId="5" fillId="0" borderId="0" xfId="0" applyNumberFormat="1" applyFont="1" applyFill="1" applyBorder="1" applyAlignment="1" applyProtection="1">
      <alignment horizontal="right"/>
    </xf>
    <xf numFmtId="164" fontId="5" fillId="0" borderId="13" xfId="0" applyNumberFormat="1" applyFont="1" applyFill="1" applyBorder="1" applyAlignment="1" applyProtection="1">
      <alignment horizontal="right"/>
    </xf>
    <xf numFmtId="164" fontId="3" fillId="0" borderId="9" xfId="0" applyNumberFormat="1" applyFont="1" applyFill="1" applyBorder="1" applyAlignment="1" applyProtection="1">
      <alignment horizontal="center" vertical="center" wrapText="1"/>
    </xf>
    <xf numFmtId="164" fontId="3" fillId="0" borderId="2" xfId="0" applyNumberFormat="1" applyFont="1" applyFill="1" applyBorder="1" applyAlignment="1" applyProtection="1">
      <alignment horizontal="center" vertical="center" wrapText="1"/>
    </xf>
    <xf numFmtId="164" fontId="3" fillId="0" borderId="6" xfId="0" applyNumberFormat="1" applyFont="1" applyFill="1" applyBorder="1" applyAlignment="1" applyProtection="1">
      <alignment horizontal="center" vertical="center" wrapText="1"/>
    </xf>
    <xf numFmtId="164" fontId="3" fillId="0" borderId="7" xfId="0" applyNumberFormat="1" applyFont="1" applyFill="1" applyBorder="1" applyAlignment="1" applyProtection="1">
      <alignment horizontal="center" vertical="center" wrapText="1"/>
    </xf>
    <xf numFmtId="164" fontId="3" fillId="0" borderId="0" xfId="0" applyNumberFormat="1" applyFont="1" applyFill="1" applyBorder="1" applyAlignment="1" applyProtection="1">
      <alignment horizontal="center" vertical="center" wrapText="1"/>
    </xf>
    <xf numFmtId="164" fontId="3" fillId="0" borderId="13" xfId="0" applyNumberFormat="1" applyFont="1" applyFill="1" applyBorder="1" applyAlignment="1" applyProtection="1">
      <alignment horizontal="center" vertical="center" wrapText="1"/>
    </xf>
    <xf numFmtId="164" fontId="3" fillId="0" borderId="8" xfId="0" applyNumberFormat="1" applyFont="1" applyFill="1" applyBorder="1" applyAlignment="1" applyProtection="1">
      <alignment horizontal="center" vertical="center" wrapText="1"/>
    </xf>
    <xf numFmtId="164" fontId="3" fillId="0" borderId="5" xfId="0" applyNumberFormat="1" applyFont="1" applyFill="1" applyBorder="1" applyAlignment="1" applyProtection="1">
      <alignment horizontal="center" vertical="center" wrapText="1"/>
    </xf>
    <xf numFmtId="164" fontId="3" fillId="0" borderId="14" xfId="0" applyNumberFormat="1" applyFont="1" applyFill="1" applyBorder="1" applyAlignment="1" applyProtection="1">
      <alignment horizontal="center" vertical="center" wrapText="1"/>
    </xf>
    <xf numFmtId="164" fontId="3" fillId="0" borderId="9" xfId="0" applyNumberFormat="1" applyFont="1" applyFill="1" applyBorder="1" applyAlignment="1" applyProtection="1">
      <alignment horizontal="center"/>
    </xf>
    <xf numFmtId="164" fontId="3" fillId="0" borderId="2" xfId="0" applyNumberFormat="1" applyFont="1" applyFill="1" applyBorder="1" applyAlignment="1" applyProtection="1">
      <alignment horizontal="center"/>
    </xf>
    <xf numFmtId="164" fontId="3" fillId="0" borderId="6" xfId="0" applyNumberFormat="1" applyFont="1" applyFill="1" applyBorder="1" applyAlignment="1" applyProtection="1">
      <alignment horizontal="center"/>
    </xf>
    <xf numFmtId="164" fontId="2" fillId="0" borderId="8" xfId="0" applyNumberFormat="1" applyFont="1" applyFill="1" applyBorder="1" applyAlignment="1" applyProtection="1">
      <alignment horizontal="left"/>
    </xf>
    <xf numFmtId="164" fontId="2" fillId="0" borderId="5" xfId="0" applyNumberFormat="1" applyFont="1" applyFill="1" applyBorder="1" applyAlignment="1" applyProtection="1">
      <alignment horizontal="left"/>
    </xf>
    <xf numFmtId="164" fontId="2" fillId="0" borderId="14" xfId="0" applyNumberFormat="1" applyFont="1" applyFill="1" applyBorder="1" applyAlignment="1" applyProtection="1">
      <alignment horizontal="left"/>
    </xf>
    <xf numFmtId="164" fontId="11" fillId="0" borderId="2" xfId="0" applyNumberFormat="1" applyFont="1" applyFill="1" applyBorder="1" applyAlignment="1" applyProtection="1">
      <protection locked="0"/>
    </xf>
    <xf numFmtId="164" fontId="11" fillId="0" borderId="6" xfId="0" applyNumberFormat="1" applyFont="1" applyFill="1" applyBorder="1" applyAlignment="1" applyProtection="1"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64" fontId="2" fillId="0" borderId="0" xfId="0" applyNumberFormat="1" applyFont="1" applyBorder="1" applyAlignment="1" applyProtection="1">
      <alignment horizontal="left"/>
      <protection locked="0"/>
    </xf>
    <xf numFmtId="164" fontId="2" fillId="0" borderId="13" xfId="0" applyNumberFormat="1" applyFont="1" applyBorder="1" applyAlignment="1" applyProtection="1">
      <alignment horizontal="left"/>
      <protection locked="0"/>
    </xf>
    <xf numFmtId="164" fontId="2" fillId="0" borderId="2" xfId="0" applyNumberFormat="1" applyFont="1" applyFill="1" applyBorder="1" applyAlignment="1" applyProtection="1">
      <protection locked="0"/>
    </xf>
    <xf numFmtId="164" fontId="2" fillId="0" borderId="6" xfId="0" applyNumberFormat="1" applyFont="1" applyFill="1" applyBorder="1" applyAlignment="1" applyProtection="1">
      <protection locked="0"/>
    </xf>
    <xf numFmtId="164" fontId="10" fillId="0" borderId="15" xfId="0" applyNumberFormat="1" applyFont="1" applyFill="1" applyBorder="1" applyAlignment="1" applyProtection="1">
      <alignment horizontal="center"/>
    </xf>
    <xf numFmtId="164" fontId="10" fillId="0" borderId="1" xfId="0" applyNumberFormat="1" applyFont="1" applyFill="1" applyBorder="1" applyAlignment="1" applyProtection="1">
      <alignment horizontal="center"/>
    </xf>
    <xf numFmtId="164" fontId="10" fillId="0" borderId="16" xfId="0" applyNumberFormat="1" applyFont="1" applyFill="1" applyBorder="1" applyAlignment="1" applyProtection="1">
      <alignment horizontal="center"/>
    </xf>
    <xf numFmtId="164" fontId="20" fillId="0" borderId="9" xfId="0" applyNumberFormat="1" applyFont="1" applyFill="1" applyBorder="1" applyAlignment="1" applyProtection="1">
      <alignment horizontal="right"/>
    </xf>
    <xf numFmtId="164" fontId="20" fillId="0" borderId="2" xfId="0" applyNumberFormat="1" applyFont="1" applyFill="1" applyBorder="1" applyAlignment="1" applyProtection="1">
      <alignment horizontal="right"/>
    </xf>
    <xf numFmtId="164" fontId="20" fillId="0" borderId="6" xfId="0" applyNumberFormat="1" applyFont="1" applyFill="1" applyBorder="1" applyAlignment="1" applyProtection="1">
      <alignment horizontal="right"/>
    </xf>
    <xf numFmtId="164" fontId="20" fillId="0" borderId="7" xfId="0" applyNumberFormat="1" applyFont="1" applyFill="1" applyBorder="1" applyAlignment="1" applyProtection="1">
      <alignment horizontal="right"/>
    </xf>
    <xf numFmtId="164" fontId="20" fillId="0" borderId="0" xfId="0" applyNumberFormat="1" applyFont="1" applyFill="1" applyBorder="1" applyAlignment="1" applyProtection="1">
      <alignment horizontal="right"/>
    </xf>
    <xf numFmtId="164" fontId="20" fillId="0" borderId="13" xfId="0" applyNumberFormat="1" applyFont="1" applyFill="1" applyBorder="1" applyAlignment="1" applyProtection="1">
      <alignment horizontal="right"/>
    </xf>
    <xf numFmtId="164" fontId="4" fillId="0" borderId="7" xfId="0" applyNumberFormat="1" applyFont="1" applyFill="1" applyBorder="1" applyAlignment="1" applyProtection="1">
      <alignment horizontal="right"/>
    </xf>
    <xf numFmtId="164" fontId="4" fillId="0" borderId="0" xfId="0" applyNumberFormat="1" applyFont="1" applyFill="1" applyBorder="1" applyAlignment="1" applyProtection="1">
      <alignment horizontal="right"/>
    </xf>
    <xf numFmtId="164" fontId="4" fillId="0" borderId="13" xfId="0" applyNumberFormat="1" applyFont="1" applyFill="1" applyBorder="1" applyAlignment="1" applyProtection="1">
      <alignment horizontal="right"/>
    </xf>
    <xf numFmtId="0" fontId="2" fillId="0" borderId="7" xfId="0" applyFont="1" applyFill="1" applyBorder="1" applyAlignment="1" applyProtection="1"/>
    <xf numFmtId="0" fontId="2" fillId="0" borderId="0" xfId="0" applyFont="1" applyFill="1" applyBorder="1" applyAlignment="1" applyProtection="1"/>
    <xf numFmtId="0" fontId="2" fillId="0" borderId="13" xfId="0" applyFont="1" applyFill="1" applyBorder="1" applyAlignment="1" applyProtection="1"/>
    <xf numFmtId="164" fontId="5" fillId="0" borderId="8" xfId="0" applyNumberFormat="1" applyFont="1" applyFill="1" applyBorder="1" applyAlignment="1" applyProtection="1">
      <alignment horizontal="right"/>
    </xf>
    <xf numFmtId="164" fontId="5" fillId="0" borderId="5" xfId="0" applyNumberFormat="1" applyFont="1" applyFill="1" applyBorder="1" applyAlignment="1" applyProtection="1">
      <alignment horizontal="right"/>
    </xf>
    <xf numFmtId="164" fontId="5" fillId="0" borderId="14" xfId="0" applyNumberFormat="1" applyFont="1" applyFill="1" applyBorder="1" applyAlignment="1" applyProtection="1">
      <alignment horizontal="right"/>
    </xf>
    <xf numFmtId="0" fontId="1" fillId="0" borderId="20" xfId="0" applyFont="1" applyFill="1" applyBorder="1" applyAlignment="1" applyProtection="1">
      <alignment vertical="center"/>
      <protection locked="0"/>
    </xf>
    <xf numFmtId="0" fontId="1" fillId="0" borderId="21" xfId="0" applyFont="1" applyFill="1" applyBorder="1" applyAlignment="1" applyProtection="1">
      <alignment vertical="center"/>
      <protection locked="0"/>
    </xf>
    <xf numFmtId="0" fontId="1" fillId="0" borderId="22" xfId="0" applyFont="1" applyFill="1" applyBorder="1" applyAlignment="1" applyProtection="1">
      <alignment vertical="center"/>
      <protection locked="0"/>
    </xf>
    <xf numFmtId="164" fontId="3" fillId="0" borderId="15" xfId="0" applyNumberFormat="1" applyFont="1" applyFill="1" applyBorder="1" applyAlignment="1" applyProtection="1"/>
    <xf numFmtId="164" fontId="3" fillId="0" borderId="1" xfId="0" applyNumberFormat="1" applyFont="1" applyFill="1" applyBorder="1" applyAlignment="1" applyProtection="1"/>
    <xf numFmtId="164" fontId="3" fillId="0" borderId="16" xfId="0" applyNumberFormat="1" applyFont="1" applyFill="1" applyBorder="1" applyAlignment="1" applyProtection="1"/>
    <xf numFmtId="164" fontId="1" fillId="0" borderId="17" xfId="0" applyNumberFormat="1" applyFont="1" applyFill="1" applyBorder="1" applyAlignment="1" applyProtection="1">
      <protection locked="0"/>
    </xf>
    <xf numFmtId="164" fontId="1" fillId="0" borderId="18" xfId="0" applyNumberFormat="1" applyFont="1" applyFill="1" applyBorder="1" applyAlignment="1" applyProtection="1">
      <protection locked="0"/>
    </xf>
    <xf numFmtId="164" fontId="1" fillId="0" borderId="19" xfId="0" applyNumberFormat="1" applyFont="1" applyFill="1" applyBorder="1" applyAlignment="1" applyProtection="1">
      <protection locked="0"/>
    </xf>
    <xf numFmtId="0" fontId="2" fillId="0" borderId="7" xfId="0" applyFont="1" applyFill="1" applyBorder="1" applyAlignment="1" applyProtection="1">
      <alignment horizontal="right" vertical="center" shrinkToFit="1"/>
      <protection locked="0"/>
    </xf>
    <xf numFmtId="0" fontId="2" fillId="0" borderId="0" xfId="0" applyFont="1" applyFill="1" applyBorder="1" applyAlignment="1" applyProtection="1">
      <alignment horizontal="right" vertical="center" shrinkToFit="1"/>
      <protection locked="0"/>
    </xf>
    <xf numFmtId="0" fontId="2" fillId="0" borderId="13" xfId="0" applyFont="1" applyFill="1" applyBorder="1" applyAlignment="1" applyProtection="1">
      <alignment horizontal="right" vertical="center" shrinkToFit="1"/>
      <protection locked="0"/>
    </xf>
    <xf numFmtId="0" fontId="18" fillId="0" borderId="7" xfId="0" applyFont="1" applyFill="1" applyBorder="1" applyAlignment="1" applyProtection="1">
      <alignment horizontal="left" vertical="center" shrinkToFit="1"/>
      <protection locked="0"/>
    </xf>
    <xf numFmtId="0" fontId="18" fillId="0" borderId="0" xfId="0" applyFont="1" applyFill="1" applyBorder="1" applyAlignment="1" applyProtection="1">
      <alignment horizontal="left" vertical="center" shrinkToFit="1"/>
      <protection locked="0"/>
    </xf>
    <xf numFmtId="0" fontId="18" fillId="0" borderId="13" xfId="0" applyFont="1" applyFill="1" applyBorder="1" applyAlignment="1" applyProtection="1">
      <alignment horizontal="left" vertical="center" shrinkToFit="1"/>
      <protection locked="0"/>
    </xf>
    <xf numFmtId="0" fontId="1" fillId="0" borderId="15" xfId="0" applyFont="1" applyFill="1" applyBorder="1" applyAlignment="1" applyProtection="1">
      <alignment vertical="center" shrinkToFit="1"/>
      <protection locked="0"/>
    </xf>
    <xf numFmtId="0" fontId="1" fillId="0" borderId="1" xfId="0" applyFont="1" applyFill="1" applyBorder="1" applyAlignment="1" applyProtection="1">
      <alignment vertical="center" shrinkToFit="1"/>
      <protection locked="0"/>
    </xf>
    <xf numFmtId="164" fontId="3" fillId="0" borderId="2" xfId="0" quotePrefix="1" applyNumberFormat="1" applyFont="1" applyFill="1" applyBorder="1" applyAlignment="1" applyProtection="1">
      <protection locked="0"/>
    </xf>
    <xf numFmtId="164" fontId="3" fillId="0" borderId="6" xfId="0" quotePrefix="1" applyNumberFormat="1" applyFont="1" applyFill="1" applyBorder="1" applyAlignment="1" applyProtection="1">
      <protection locked="0"/>
    </xf>
    <xf numFmtId="164" fontId="2" fillId="0" borderId="0" xfId="0" applyNumberFormat="1" applyFont="1" applyFill="1" applyBorder="1" applyAlignment="1" applyProtection="1">
      <alignment horizontal="left"/>
      <protection locked="0"/>
    </xf>
    <xf numFmtId="164" fontId="2" fillId="0" borderId="13" xfId="0" applyNumberFormat="1" applyFont="1" applyFill="1" applyBorder="1" applyAlignment="1" applyProtection="1">
      <alignment horizontal="left"/>
      <protection locked="0"/>
    </xf>
    <xf numFmtId="164" fontId="3" fillId="0" borderId="0" xfId="0" applyNumberFormat="1" applyFont="1" applyFill="1" applyBorder="1" applyAlignment="1" applyProtection="1">
      <protection locked="0"/>
    </xf>
    <xf numFmtId="164" fontId="3" fillId="0" borderId="13" xfId="0" applyNumberFormat="1" applyFont="1" applyFill="1" applyBorder="1" applyAlignment="1" applyProtection="1">
      <protection locked="0"/>
    </xf>
    <xf numFmtId="164" fontId="2" fillId="0" borderId="0" xfId="0" applyNumberFormat="1" applyFont="1" applyFill="1" applyBorder="1" applyAlignment="1" applyProtection="1">
      <protection locked="0"/>
    </xf>
    <xf numFmtId="164" fontId="2" fillId="0" borderId="13" xfId="0" applyNumberFormat="1" applyFont="1" applyFill="1" applyBorder="1" applyAlignment="1" applyProtection="1">
      <protection locked="0"/>
    </xf>
    <xf numFmtId="164" fontId="1" fillId="0" borderId="8" xfId="0" applyNumberFormat="1" applyFont="1" applyFill="1" applyBorder="1" applyAlignment="1" applyProtection="1"/>
    <xf numFmtId="164" fontId="1" fillId="0" borderId="5" xfId="0" applyNumberFormat="1" applyFont="1" applyFill="1" applyBorder="1" applyAlignment="1" applyProtection="1"/>
    <xf numFmtId="164" fontId="9" fillId="0" borderId="5" xfId="0" applyNumberFormat="1" applyFont="1" applyFill="1" applyBorder="1" applyAlignment="1" applyProtection="1">
      <alignment horizontal="right"/>
    </xf>
    <xf numFmtId="164" fontId="9" fillId="0" borderId="14" xfId="0" applyNumberFormat="1" applyFont="1" applyFill="1" applyBorder="1" applyAlignment="1" applyProtection="1">
      <alignment horizontal="right"/>
    </xf>
    <xf numFmtId="0" fontId="1" fillId="0" borderId="2" xfId="0" applyFont="1" applyFill="1" applyBorder="1" applyAlignment="1" applyProtection="1"/>
    <xf numFmtId="164" fontId="3" fillId="0" borderId="9" xfId="0" applyNumberFormat="1" applyFont="1" applyFill="1" applyBorder="1" applyAlignment="1" applyProtection="1"/>
    <xf numFmtId="164" fontId="3" fillId="0" borderId="2" xfId="0" applyNumberFormat="1" applyFont="1" applyFill="1" applyBorder="1" applyAlignment="1" applyProtection="1"/>
    <xf numFmtId="164" fontId="3" fillId="0" borderId="6" xfId="0" applyNumberFormat="1" applyFont="1" applyFill="1" applyBorder="1" applyAlignment="1" applyProtection="1"/>
    <xf numFmtId="164" fontId="8" fillId="0" borderId="9" xfId="0" applyNumberFormat="1" applyFont="1" applyFill="1" applyBorder="1" applyAlignment="1" applyProtection="1">
      <alignment horizontal="right"/>
    </xf>
    <xf numFmtId="164" fontId="8" fillId="0" borderId="2" xfId="0" applyNumberFormat="1" applyFont="1" applyFill="1" applyBorder="1" applyAlignment="1" applyProtection="1">
      <alignment horizontal="right"/>
    </xf>
    <xf numFmtId="164" fontId="8" fillId="0" borderId="6" xfId="0" applyNumberFormat="1" applyFont="1" applyFill="1" applyBorder="1" applyAlignment="1" applyProtection="1">
      <alignment horizontal="right"/>
    </xf>
    <xf numFmtId="0" fontId="12" fillId="0" borderId="7" xfId="0" applyFont="1" applyFill="1" applyBorder="1" applyAlignment="1" applyProtection="1">
      <alignment horizontal="right" textRotation="9"/>
      <protection hidden="1"/>
    </xf>
    <xf numFmtId="0" fontId="12" fillId="0" borderId="0" xfId="0" applyFont="1" applyFill="1" applyBorder="1" applyAlignment="1" applyProtection="1">
      <alignment horizontal="right" textRotation="9"/>
      <protection hidden="1"/>
    </xf>
    <xf numFmtId="0" fontId="12" fillId="0" borderId="13" xfId="0" applyFont="1" applyFill="1" applyBorder="1" applyAlignment="1" applyProtection="1">
      <alignment horizontal="right" textRotation="9"/>
      <protection hidden="1"/>
    </xf>
    <xf numFmtId="164" fontId="2" fillId="0" borderId="7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164" fontId="2" fillId="0" borderId="13" xfId="0" applyNumberFormat="1" applyFont="1" applyFill="1" applyBorder="1" applyAlignment="1" applyProtection="1"/>
    <xf numFmtId="164" fontId="1" fillId="0" borderId="7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164" fontId="1" fillId="0" borderId="13" xfId="0" applyNumberFormat="1" applyFont="1" applyFill="1" applyBorder="1" applyAlignment="1" applyProtection="1"/>
    <xf numFmtId="164" fontId="3" fillId="0" borderId="5" xfId="0" applyNumberFormat="1" applyFont="1" applyFill="1" applyBorder="1" applyAlignment="1" applyProtection="1">
      <protection locked="0"/>
    </xf>
    <xf numFmtId="164" fontId="3" fillId="0" borderId="14" xfId="0" applyNumberFormat="1" applyFont="1" applyFill="1" applyBorder="1" applyAlignment="1" applyProtection="1">
      <protection locked="0"/>
    </xf>
    <xf numFmtId="0" fontId="1" fillId="0" borderId="15" xfId="13" applyFont="1" applyFill="1" applyBorder="1" applyAlignment="1">
      <alignment vertical="center"/>
    </xf>
    <xf numFmtId="0" fontId="1" fillId="0" borderId="1" xfId="13" applyFont="1" applyFill="1" applyBorder="1" applyAlignment="1">
      <alignment vertical="center"/>
    </xf>
    <xf numFmtId="0" fontId="1" fillId="0" borderId="15" xfId="13" applyFont="1" applyFill="1" applyBorder="1" applyAlignment="1">
      <alignment horizontal="center" vertical="center"/>
    </xf>
    <xf numFmtId="0" fontId="1" fillId="0" borderId="16" xfId="13" applyFont="1" applyFill="1" applyBorder="1" applyAlignment="1">
      <alignment horizontal="center" vertical="center"/>
    </xf>
    <xf numFmtId="0" fontId="1" fillId="0" borderId="11" xfId="13" applyFont="1" applyBorder="1" applyAlignment="1">
      <alignment vertical="center"/>
    </xf>
    <xf numFmtId="0" fontId="1" fillId="0" borderId="15" xfId="13" applyFont="1" applyBorder="1" applyAlignment="1">
      <alignment horizontal="center" vertical="center"/>
    </xf>
    <xf numFmtId="0" fontId="1" fillId="0" borderId="16" xfId="13" applyFont="1" applyBorder="1" applyAlignment="1">
      <alignment horizontal="center" vertical="center"/>
    </xf>
    <xf numFmtId="0" fontId="1" fillId="0" borderId="11" xfId="13" applyFont="1" applyBorder="1" applyAlignment="1">
      <alignment horizontal="center" vertical="center"/>
    </xf>
  </cellXfs>
  <cellStyles count="14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142876</xdr:rowOff>
    </xdr:from>
    <xdr:to>
      <xdr:col>1</xdr:col>
      <xdr:colOff>104003</xdr:colOff>
      <xdr:row>6</xdr:row>
      <xdr:rowOff>19051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304801"/>
          <a:ext cx="713603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64"/>
  <sheetViews>
    <sheetView tabSelected="1" zoomScaleNormal="100" workbookViewId="0">
      <selection sqref="A1:G1"/>
    </sheetView>
  </sheetViews>
  <sheetFormatPr defaultColWidth="0" defaultRowHeight="12.75" x14ac:dyDescent="0.2"/>
  <cols>
    <col min="1" max="1" width="11.6640625" style="11" bestFit="1" customWidth="1"/>
    <col min="2" max="2" width="32.5" style="11" customWidth="1"/>
    <col min="3" max="3" width="22.5" style="11" customWidth="1"/>
    <col min="4" max="7" width="16.6640625" style="11" customWidth="1"/>
    <col min="8" max="8" width="11.33203125" style="11" bestFit="1" customWidth="1"/>
    <col min="9" max="9" width="0" style="11" hidden="1" customWidth="1"/>
    <col min="10" max="16384" width="9.33203125" style="11" hidden="1"/>
  </cols>
  <sheetData>
    <row r="1" spans="1:7" x14ac:dyDescent="0.2">
      <c r="A1" s="142" t="s">
        <v>47</v>
      </c>
      <c r="B1" s="143"/>
      <c r="C1" s="143"/>
      <c r="D1" s="143"/>
      <c r="E1" s="143"/>
      <c r="F1" s="143"/>
      <c r="G1" s="144"/>
    </row>
    <row r="2" spans="1:7" ht="12.75" customHeight="1" x14ac:dyDescent="0.2">
      <c r="A2" s="145" t="s">
        <v>50</v>
      </c>
      <c r="B2" s="146"/>
      <c r="C2" s="147"/>
      <c r="D2" s="12" t="s">
        <v>17</v>
      </c>
      <c r="E2" s="140" t="s">
        <v>64</v>
      </c>
      <c r="F2" s="140"/>
      <c r="G2" s="141"/>
    </row>
    <row r="3" spans="1:7" ht="12.75" customHeight="1" x14ac:dyDescent="0.2">
      <c r="A3" s="148"/>
      <c r="B3" s="149"/>
      <c r="C3" s="150"/>
      <c r="D3" s="13" t="s">
        <v>18</v>
      </c>
      <c r="E3" s="109"/>
      <c r="F3" s="109"/>
      <c r="G3" s="110"/>
    </row>
    <row r="4" spans="1:7" x14ac:dyDescent="0.2">
      <c r="A4" s="151" t="s">
        <v>51</v>
      </c>
      <c r="B4" s="152"/>
      <c r="C4" s="153"/>
      <c r="D4" s="14" t="s">
        <v>4</v>
      </c>
      <c r="E4" s="140" t="s">
        <v>59</v>
      </c>
      <c r="F4" s="140"/>
      <c r="G4" s="141"/>
    </row>
    <row r="5" spans="1:7" x14ac:dyDescent="0.2">
      <c r="A5" s="117" t="s">
        <v>52</v>
      </c>
      <c r="B5" s="118"/>
      <c r="C5" s="119"/>
      <c r="D5" s="15"/>
      <c r="E5" s="109" t="s">
        <v>60</v>
      </c>
      <c r="F5" s="109"/>
      <c r="G5" s="110"/>
    </row>
    <row r="6" spans="1:7" x14ac:dyDescent="0.2">
      <c r="A6" s="117" t="s">
        <v>53</v>
      </c>
      <c r="B6" s="118"/>
      <c r="C6" s="119"/>
      <c r="D6" s="14" t="s">
        <v>5</v>
      </c>
      <c r="E6" s="140" t="s">
        <v>65</v>
      </c>
      <c r="F6" s="140"/>
      <c r="G6" s="141"/>
    </row>
    <row r="7" spans="1:7" x14ac:dyDescent="0.2">
      <c r="A7" s="157" t="s">
        <v>54</v>
      </c>
      <c r="B7" s="158"/>
      <c r="C7" s="159"/>
      <c r="D7" s="16"/>
      <c r="E7" s="109"/>
      <c r="F7" s="109"/>
      <c r="G7" s="110"/>
    </row>
    <row r="8" spans="1:7" ht="12.75" customHeight="1" x14ac:dyDescent="0.2">
      <c r="A8" s="17" t="s">
        <v>3</v>
      </c>
      <c r="B8" s="135"/>
      <c r="C8" s="136"/>
      <c r="D8" s="120" t="s">
        <v>55</v>
      </c>
      <c r="E8" s="121"/>
      <c r="F8" s="121"/>
      <c r="G8" s="122"/>
    </row>
    <row r="9" spans="1:7" x14ac:dyDescent="0.2">
      <c r="A9" s="137" t="s">
        <v>23</v>
      </c>
      <c r="B9" s="138"/>
      <c r="C9" s="139"/>
      <c r="D9" s="123"/>
      <c r="E9" s="124"/>
      <c r="F9" s="124"/>
      <c r="G9" s="125"/>
    </row>
    <row r="10" spans="1:7" x14ac:dyDescent="0.2">
      <c r="A10" s="137" t="s">
        <v>24</v>
      </c>
      <c r="B10" s="138"/>
      <c r="C10" s="139"/>
      <c r="D10" s="126"/>
      <c r="E10" s="127"/>
      <c r="F10" s="127"/>
      <c r="G10" s="128"/>
    </row>
    <row r="11" spans="1:7" x14ac:dyDescent="0.2">
      <c r="A11" s="137" t="s">
        <v>25</v>
      </c>
      <c r="B11" s="138"/>
      <c r="C11" s="139"/>
      <c r="D11" s="129" t="s">
        <v>16</v>
      </c>
      <c r="E11" s="130"/>
      <c r="F11" s="130"/>
      <c r="G11" s="131"/>
    </row>
    <row r="12" spans="1:7" x14ac:dyDescent="0.2">
      <c r="A12" s="137" t="s">
        <v>26</v>
      </c>
      <c r="B12" s="138"/>
      <c r="C12" s="139"/>
      <c r="D12" s="111" t="s">
        <v>22</v>
      </c>
      <c r="E12" s="112"/>
      <c r="F12" s="112"/>
      <c r="G12" s="113"/>
    </row>
    <row r="13" spans="1:7" x14ac:dyDescent="0.2">
      <c r="A13" s="132" t="s">
        <v>44</v>
      </c>
      <c r="B13" s="133"/>
      <c r="C13" s="134"/>
      <c r="D13" s="114"/>
      <c r="E13" s="115"/>
      <c r="F13" s="115"/>
      <c r="G13" s="116"/>
    </row>
    <row r="14" spans="1:7" x14ac:dyDescent="0.2">
      <c r="A14" s="163" t="s">
        <v>19</v>
      </c>
      <c r="B14" s="164"/>
      <c r="C14" s="165"/>
      <c r="D14" s="18" t="s">
        <v>0</v>
      </c>
      <c r="E14" s="18" t="s">
        <v>1</v>
      </c>
      <c r="F14" s="18" t="s">
        <v>15</v>
      </c>
      <c r="G14" s="18" t="s">
        <v>2</v>
      </c>
    </row>
    <row r="15" spans="1:7" x14ac:dyDescent="0.2">
      <c r="A15" s="160" t="s">
        <v>65</v>
      </c>
      <c r="B15" s="161"/>
      <c r="C15" s="162"/>
      <c r="D15" s="1" t="s">
        <v>32</v>
      </c>
      <c r="E15" s="1" t="s">
        <v>14</v>
      </c>
      <c r="F15" s="9"/>
      <c r="G15" s="10" t="s">
        <v>20</v>
      </c>
    </row>
    <row r="16" spans="1:7" x14ac:dyDescent="0.2">
      <c r="A16" s="166" t="s">
        <v>157</v>
      </c>
      <c r="B16" s="167"/>
      <c r="C16" s="168"/>
      <c r="D16" s="1"/>
      <c r="E16" s="1"/>
      <c r="F16" s="8"/>
      <c r="G16" s="1" t="s">
        <v>14</v>
      </c>
    </row>
    <row r="17" spans="1:7" x14ac:dyDescent="0.2">
      <c r="A17" s="30" t="s">
        <v>29</v>
      </c>
      <c r="B17" s="28" t="s">
        <v>30</v>
      </c>
      <c r="C17" s="33" t="s">
        <v>46</v>
      </c>
      <c r="D17" s="31"/>
      <c r="E17" s="31"/>
      <c r="F17" s="32"/>
      <c r="G17" s="31"/>
    </row>
    <row r="18" spans="1:7" ht="25.5" x14ac:dyDescent="0.2">
      <c r="A18" s="36" t="s">
        <v>66</v>
      </c>
      <c r="B18" s="37" t="s">
        <v>67</v>
      </c>
      <c r="C18" s="38">
        <v>3917.4</v>
      </c>
      <c r="D18" s="39">
        <v>3300</v>
      </c>
      <c r="E18" s="40">
        <v>5.05</v>
      </c>
      <c r="F18" s="41" t="s">
        <v>33</v>
      </c>
      <c r="G18" s="42">
        <f t="shared" ref="G18:G50" si="0">E18*D18</f>
        <v>16665</v>
      </c>
    </row>
    <row r="19" spans="1:7" ht="25.5" x14ac:dyDescent="0.2">
      <c r="A19" s="43" t="s">
        <v>68</v>
      </c>
      <c r="B19" s="44" t="s">
        <v>69</v>
      </c>
      <c r="C19" s="45">
        <v>3917.4</v>
      </c>
      <c r="D19" s="46">
        <v>9600</v>
      </c>
      <c r="E19" s="47">
        <v>2.5499999999999998</v>
      </c>
      <c r="F19" s="48" t="s">
        <v>33</v>
      </c>
      <c r="G19" s="57">
        <f t="shared" si="0"/>
        <v>24480</v>
      </c>
    </row>
    <row r="20" spans="1:7" ht="25.5" x14ac:dyDescent="0.2">
      <c r="A20" s="43" t="s">
        <v>70</v>
      </c>
      <c r="B20" s="44" t="s">
        <v>71</v>
      </c>
      <c r="C20" s="45">
        <v>3917.4</v>
      </c>
      <c r="D20" s="46">
        <v>1600</v>
      </c>
      <c r="E20" s="47">
        <v>1.9</v>
      </c>
      <c r="F20" s="48" t="s">
        <v>33</v>
      </c>
      <c r="G20" s="55">
        <f t="shared" si="0"/>
        <v>3040</v>
      </c>
    </row>
    <row r="21" spans="1:7" ht="25.5" x14ac:dyDescent="0.2">
      <c r="A21" s="43" t="s">
        <v>72</v>
      </c>
      <c r="B21" s="44" t="s">
        <v>73</v>
      </c>
      <c r="C21" s="45">
        <v>3917.4</v>
      </c>
      <c r="D21" s="46">
        <v>1750</v>
      </c>
      <c r="E21" s="47">
        <v>1.7</v>
      </c>
      <c r="F21" s="48" t="s">
        <v>33</v>
      </c>
      <c r="G21" s="55">
        <f t="shared" si="0"/>
        <v>2975</v>
      </c>
    </row>
    <row r="22" spans="1:7" ht="25.5" x14ac:dyDescent="0.2">
      <c r="A22" s="43" t="s">
        <v>74</v>
      </c>
      <c r="B22" s="44" t="s">
        <v>75</v>
      </c>
      <c r="C22" s="45">
        <v>3917.4</v>
      </c>
      <c r="D22" s="46">
        <v>19800</v>
      </c>
      <c r="E22" s="47">
        <v>1.85</v>
      </c>
      <c r="F22" s="48" t="s">
        <v>33</v>
      </c>
      <c r="G22" s="55">
        <f t="shared" si="0"/>
        <v>36630</v>
      </c>
    </row>
    <row r="23" spans="1:7" ht="25.5" x14ac:dyDescent="0.2">
      <c r="A23" s="43" t="s">
        <v>76</v>
      </c>
      <c r="B23" s="44" t="s">
        <v>77</v>
      </c>
      <c r="C23" s="45">
        <v>3917.4</v>
      </c>
      <c r="D23" s="46">
        <v>9600</v>
      </c>
      <c r="E23" s="47">
        <v>3.2</v>
      </c>
      <c r="F23" s="48" t="s">
        <v>33</v>
      </c>
      <c r="G23" s="55">
        <f t="shared" si="0"/>
        <v>30720</v>
      </c>
    </row>
    <row r="24" spans="1:7" ht="25.5" x14ac:dyDescent="0.2">
      <c r="A24" s="43" t="s">
        <v>78</v>
      </c>
      <c r="B24" s="44" t="s">
        <v>79</v>
      </c>
      <c r="C24" s="45">
        <v>3917.4</v>
      </c>
      <c r="D24" s="46">
        <v>2600</v>
      </c>
      <c r="E24" s="47">
        <v>2.2000000000000002</v>
      </c>
      <c r="F24" s="48" t="s">
        <v>33</v>
      </c>
      <c r="G24" s="55">
        <f t="shared" si="0"/>
        <v>5720.0000000000009</v>
      </c>
    </row>
    <row r="25" spans="1:7" ht="25.5" x14ac:dyDescent="0.2">
      <c r="A25" s="43" t="s">
        <v>80</v>
      </c>
      <c r="B25" s="44" t="s">
        <v>81</v>
      </c>
      <c r="C25" s="45">
        <v>3917.4</v>
      </c>
      <c r="D25" s="46">
        <v>1600</v>
      </c>
      <c r="E25" s="47">
        <v>2.8</v>
      </c>
      <c r="F25" s="48" t="s">
        <v>33</v>
      </c>
      <c r="G25" s="55">
        <f t="shared" si="0"/>
        <v>4480</v>
      </c>
    </row>
    <row r="26" spans="1:7" ht="25.5" x14ac:dyDescent="0.2">
      <c r="A26" s="43" t="s">
        <v>82</v>
      </c>
      <c r="B26" s="44" t="s">
        <v>83</v>
      </c>
      <c r="C26" s="45">
        <v>3917.4</v>
      </c>
      <c r="D26" s="46">
        <v>1800</v>
      </c>
      <c r="E26" s="47">
        <v>5.55</v>
      </c>
      <c r="F26" s="48" t="s">
        <v>33</v>
      </c>
      <c r="G26" s="55">
        <f t="shared" si="0"/>
        <v>9990</v>
      </c>
    </row>
    <row r="27" spans="1:7" ht="25.5" x14ac:dyDescent="0.2">
      <c r="A27" s="43" t="s">
        <v>84</v>
      </c>
      <c r="B27" s="44" t="s">
        <v>85</v>
      </c>
      <c r="C27" s="45">
        <v>3917.4</v>
      </c>
      <c r="D27" s="46">
        <v>800</v>
      </c>
      <c r="E27" s="47">
        <v>6.45</v>
      </c>
      <c r="F27" s="48" t="s">
        <v>33</v>
      </c>
      <c r="G27" s="55">
        <f t="shared" si="0"/>
        <v>5160</v>
      </c>
    </row>
    <row r="28" spans="1:7" ht="25.5" x14ac:dyDescent="0.2">
      <c r="A28" s="43" t="s">
        <v>86</v>
      </c>
      <c r="B28" s="44" t="s">
        <v>87</v>
      </c>
      <c r="C28" s="45">
        <v>3917.4</v>
      </c>
      <c r="D28" s="46">
        <v>300</v>
      </c>
      <c r="E28" s="47">
        <v>7.4</v>
      </c>
      <c r="F28" s="48" t="s">
        <v>33</v>
      </c>
      <c r="G28" s="55">
        <f t="shared" si="0"/>
        <v>2220</v>
      </c>
    </row>
    <row r="29" spans="1:7" ht="25.5" x14ac:dyDescent="0.2">
      <c r="A29" s="43">
        <v>90443200</v>
      </c>
      <c r="B29" s="44" t="s">
        <v>88</v>
      </c>
      <c r="C29" s="45">
        <v>3917.4</v>
      </c>
      <c r="D29" s="46">
        <v>900</v>
      </c>
      <c r="E29" s="47">
        <v>6.95</v>
      </c>
      <c r="F29" s="48" t="s">
        <v>33</v>
      </c>
      <c r="G29" s="55">
        <f t="shared" si="0"/>
        <v>6255</v>
      </c>
    </row>
    <row r="30" spans="1:7" ht="25.5" x14ac:dyDescent="0.2">
      <c r="A30" s="43" t="s">
        <v>89</v>
      </c>
      <c r="B30" s="44" t="s">
        <v>90</v>
      </c>
      <c r="C30" s="45">
        <v>3917.4</v>
      </c>
      <c r="D30" s="46">
        <v>1950</v>
      </c>
      <c r="E30" s="47">
        <v>8.8000000000000007</v>
      </c>
      <c r="F30" s="48" t="s">
        <v>33</v>
      </c>
      <c r="G30" s="55">
        <f t="shared" si="0"/>
        <v>17160</v>
      </c>
    </row>
    <row r="31" spans="1:7" ht="25.5" x14ac:dyDescent="0.2">
      <c r="A31" s="43" t="s">
        <v>91</v>
      </c>
      <c r="B31" s="44" t="s">
        <v>92</v>
      </c>
      <c r="C31" s="45">
        <v>3917.4</v>
      </c>
      <c r="D31" s="46">
        <v>550</v>
      </c>
      <c r="E31" s="47">
        <v>9.35</v>
      </c>
      <c r="F31" s="48" t="s">
        <v>33</v>
      </c>
      <c r="G31" s="55">
        <f t="shared" si="0"/>
        <v>5142.5</v>
      </c>
    </row>
    <row r="32" spans="1:7" ht="25.5" x14ac:dyDescent="0.2">
      <c r="A32" s="49" t="s">
        <v>93</v>
      </c>
      <c r="B32" s="50" t="s">
        <v>94</v>
      </c>
      <c r="C32" s="51">
        <v>3917.4</v>
      </c>
      <c r="D32" s="52">
        <v>300</v>
      </c>
      <c r="E32" s="53">
        <v>16.649999999999999</v>
      </c>
      <c r="F32" s="54" t="s">
        <v>33</v>
      </c>
      <c r="G32" s="56">
        <f t="shared" si="0"/>
        <v>4995</v>
      </c>
    </row>
    <row r="33" spans="1:7" x14ac:dyDescent="0.2">
      <c r="A33" s="175" t="s">
        <v>43</v>
      </c>
      <c r="B33" s="176"/>
      <c r="C33" s="176"/>
      <c r="D33" s="58"/>
      <c r="E33" s="59"/>
      <c r="F33" s="60"/>
      <c r="G33" s="61"/>
    </row>
    <row r="34" spans="1:7" x14ac:dyDescent="0.2">
      <c r="A34" s="36" t="s">
        <v>95</v>
      </c>
      <c r="B34" s="37" t="s">
        <v>96</v>
      </c>
      <c r="C34" s="38">
        <v>3917.4</v>
      </c>
      <c r="D34" s="39">
        <v>4800</v>
      </c>
      <c r="E34" s="40">
        <v>9</v>
      </c>
      <c r="F34" s="41" t="s">
        <v>33</v>
      </c>
      <c r="G34" s="42">
        <f t="shared" si="0"/>
        <v>43200</v>
      </c>
    </row>
    <row r="35" spans="1:7" x14ac:dyDescent="0.2">
      <c r="A35" s="43" t="s">
        <v>97</v>
      </c>
      <c r="B35" s="44" t="s">
        <v>98</v>
      </c>
      <c r="C35" s="45">
        <v>3917.4</v>
      </c>
      <c r="D35" s="46">
        <v>4400</v>
      </c>
      <c r="E35" s="47">
        <v>15.5</v>
      </c>
      <c r="F35" s="48" t="s">
        <v>33</v>
      </c>
      <c r="G35" s="55">
        <f t="shared" si="0"/>
        <v>68200</v>
      </c>
    </row>
    <row r="36" spans="1:7" x14ac:dyDescent="0.2">
      <c r="A36" s="43" t="s">
        <v>99</v>
      </c>
      <c r="B36" s="44" t="s">
        <v>100</v>
      </c>
      <c r="C36" s="45">
        <v>3917.4</v>
      </c>
      <c r="D36" s="46">
        <v>1800</v>
      </c>
      <c r="E36" s="47">
        <v>23.95</v>
      </c>
      <c r="F36" s="48" t="s">
        <v>33</v>
      </c>
      <c r="G36" s="55">
        <f t="shared" si="0"/>
        <v>43110</v>
      </c>
    </row>
    <row r="37" spans="1:7" x14ac:dyDescent="0.2">
      <c r="A37" s="43" t="s">
        <v>101</v>
      </c>
      <c r="B37" s="44" t="s">
        <v>102</v>
      </c>
      <c r="C37" s="45">
        <v>3917.4</v>
      </c>
      <c r="D37" s="46">
        <v>2000</v>
      </c>
      <c r="E37" s="47">
        <v>18.850000000000001</v>
      </c>
      <c r="F37" s="48" t="s">
        <v>33</v>
      </c>
      <c r="G37" s="55">
        <f t="shared" si="0"/>
        <v>37700</v>
      </c>
    </row>
    <row r="38" spans="1:7" x14ac:dyDescent="0.2">
      <c r="A38" s="43" t="s">
        <v>103</v>
      </c>
      <c r="B38" s="44" t="s">
        <v>104</v>
      </c>
      <c r="C38" s="45">
        <v>3917.4</v>
      </c>
      <c r="D38" s="46">
        <v>2100</v>
      </c>
      <c r="E38" s="47">
        <v>25.15</v>
      </c>
      <c r="F38" s="48" t="s">
        <v>33</v>
      </c>
      <c r="G38" s="55">
        <f t="shared" si="0"/>
        <v>52815</v>
      </c>
    </row>
    <row r="39" spans="1:7" x14ac:dyDescent="0.2">
      <c r="A39" s="43" t="s">
        <v>105</v>
      </c>
      <c r="B39" s="44" t="s">
        <v>106</v>
      </c>
      <c r="C39" s="45">
        <v>3917.4</v>
      </c>
      <c r="D39" s="46">
        <v>2000</v>
      </c>
      <c r="E39" s="47">
        <v>35.200000000000003</v>
      </c>
      <c r="F39" s="48" t="s">
        <v>33</v>
      </c>
      <c r="G39" s="55">
        <f t="shared" si="0"/>
        <v>70400</v>
      </c>
    </row>
    <row r="40" spans="1:7" x14ac:dyDescent="0.2">
      <c r="A40" s="43" t="s">
        <v>107</v>
      </c>
      <c r="B40" s="44" t="s">
        <v>108</v>
      </c>
      <c r="C40" s="45">
        <v>3917.4</v>
      </c>
      <c r="D40" s="46">
        <v>3000</v>
      </c>
      <c r="E40" s="47">
        <v>5.5</v>
      </c>
      <c r="F40" s="48" t="s">
        <v>33</v>
      </c>
      <c r="G40" s="55">
        <f t="shared" si="0"/>
        <v>16500</v>
      </c>
    </row>
    <row r="41" spans="1:7" x14ac:dyDescent="0.2">
      <c r="A41" s="43" t="s">
        <v>109</v>
      </c>
      <c r="B41" s="44" t="s">
        <v>110</v>
      </c>
      <c r="C41" s="45">
        <v>3917.4</v>
      </c>
      <c r="D41" s="46">
        <v>1560</v>
      </c>
      <c r="E41" s="47">
        <v>8</v>
      </c>
      <c r="F41" s="48" t="s">
        <v>33</v>
      </c>
      <c r="G41" s="55">
        <f t="shared" si="0"/>
        <v>12480</v>
      </c>
    </row>
    <row r="42" spans="1:7" x14ac:dyDescent="0.2">
      <c r="A42" s="43" t="s">
        <v>111</v>
      </c>
      <c r="B42" s="44" t="s">
        <v>112</v>
      </c>
      <c r="C42" s="45">
        <v>3917.4</v>
      </c>
      <c r="D42" s="46">
        <v>2200</v>
      </c>
      <c r="E42" s="47">
        <v>9.9499999999999993</v>
      </c>
      <c r="F42" s="48" t="s">
        <v>33</v>
      </c>
      <c r="G42" s="55">
        <f t="shared" si="0"/>
        <v>21890</v>
      </c>
    </row>
    <row r="43" spans="1:7" x14ac:dyDescent="0.2">
      <c r="A43" s="43" t="s">
        <v>113</v>
      </c>
      <c r="B43" s="44" t="s">
        <v>114</v>
      </c>
      <c r="C43" s="45">
        <v>3917.4</v>
      </c>
      <c r="D43" s="46">
        <v>19000</v>
      </c>
      <c r="E43" s="47">
        <v>5.5</v>
      </c>
      <c r="F43" s="48" t="s">
        <v>33</v>
      </c>
      <c r="G43" s="55">
        <f t="shared" si="0"/>
        <v>104500</v>
      </c>
    </row>
    <row r="44" spans="1:7" x14ac:dyDescent="0.2">
      <c r="A44" s="43" t="s">
        <v>115</v>
      </c>
      <c r="B44" s="44" t="s">
        <v>116</v>
      </c>
      <c r="C44" s="45">
        <v>3917.4</v>
      </c>
      <c r="D44" s="46">
        <v>8010</v>
      </c>
      <c r="E44" s="47">
        <v>6.5</v>
      </c>
      <c r="F44" s="48" t="s">
        <v>33</v>
      </c>
      <c r="G44" s="55">
        <f t="shared" si="0"/>
        <v>52065</v>
      </c>
    </row>
    <row r="45" spans="1:7" x14ac:dyDescent="0.2">
      <c r="A45" s="43" t="s">
        <v>117</v>
      </c>
      <c r="B45" s="44" t="s">
        <v>118</v>
      </c>
      <c r="C45" s="45">
        <v>3917.4</v>
      </c>
      <c r="D45" s="46">
        <v>7200</v>
      </c>
      <c r="E45" s="47">
        <v>10</v>
      </c>
      <c r="F45" s="48" t="s">
        <v>33</v>
      </c>
      <c r="G45" s="55">
        <f t="shared" si="0"/>
        <v>72000</v>
      </c>
    </row>
    <row r="46" spans="1:7" x14ac:dyDescent="0.2">
      <c r="A46" s="43" t="s">
        <v>119</v>
      </c>
      <c r="B46" s="44" t="s">
        <v>120</v>
      </c>
      <c r="C46" s="45">
        <v>3917.4</v>
      </c>
      <c r="D46" s="46">
        <v>8000</v>
      </c>
      <c r="E46" s="47">
        <v>6</v>
      </c>
      <c r="F46" s="48" t="s">
        <v>33</v>
      </c>
      <c r="G46" s="55">
        <f t="shared" si="0"/>
        <v>48000</v>
      </c>
    </row>
    <row r="47" spans="1:7" x14ac:dyDescent="0.2">
      <c r="A47" s="43" t="s">
        <v>121</v>
      </c>
      <c r="B47" s="44" t="s">
        <v>122</v>
      </c>
      <c r="C47" s="45">
        <v>3917.4</v>
      </c>
      <c r="D47" s="46">
        <v>2400</v>
      </c>
      <c r="E47" s="47">
        <v>9.9499999999999993</v>
      </c>
      <c r="F47" s="48" t="s">
        <v>33</v>
      </c>
      <c r="G47" s="55">
        <f t="shared" si="0"/>
        <v>23880</v>
      </c>
    </row>
    <row r="48" spans="1:7" x14ac:dyDescent="0.2">
      <c r="A48" s="43" t="s">
        <v>123</v>
      </c>
      <c r="B48" s="44" t="s">
        <v>124</v>
      </c>
      <c r="C48" s="45">
        <v>3917.4</v>
      </c>
      <c r="D48" s="46">
        <v>4400</v>
      </c>
      <c r="E48" s="47">
        <v>9</v>
      </c>
      <c r="F48" s="48" t="s">
        <v>33</v>
      </c>
      <c r="G48" s="55">
        <f t="shared" si="0"/>
        <v>39600</v>
      </c>
    </row>
    <row r="49" spans="1:7" x14ac:dyDescent="0.2">
      <c r="A49" s="43" t="s">
        <v>125</v>
      </c>
      <c r="B49" s="44" t="s">
        <v>126</v>
      </c>
      <c r="C49" s="45">
        <v>3917.4</v>
      </c>
      <c r="D49" s="46">
        <v>2000</v>
      </c>
      <c r="E49" s="47">
        <v>15.95</v>
      </c>
      <c r="F49" s="48" t="s">
        <v>33</v>
      </c>
      <c r="G49" s="55">
        <f t="shared" si="0"/>
        <v>31900</v>
      </c>
    </row>
    <row r="50" spans="1:7" x14ac:dyDescent="0.2">
      <c r="A50" s="49" t="s">
        <v>127</v>
      </c>
      <c r="B50" s="50" t="s">
        <v>128</v>
      </c>
      <c r="C50" s="51">
        <v>3917.4</v>
      </c>
      <c r="D50" s="52">
        <v>9000</v>
      </c>
      <c r="E50" s="53">
        <v>11.85</v>
      </c>
      <c r="F50" s="54" t="s">
        <v>33</v>
      </c>
      <c r="G50" s="56">
        <f t="shared" si="0"/>
        <v>106650</v>
      </c>
    </row>
    <row r="51" spans="1:7" x14ac:dyDescent="0.2">
      <c r="A51" s="25"/>
      <c r="B51" s="26"/>
      <c r="C51" s="29"/>
      <c r="D51" s="22"/>
      <c r="E51" s="23"/>
      <c r="F51" s="24"/>
      <c r="G51" s="27"/>
    </row>
    <row r="52" spans="1:7" x14ac:dyDescent="0.2">
      <c r="A52" s="169" t="s">
        <v>48</v>
      </c>
      <c r="B52" s="170"/>
      <c r="C52" s="171"/>
      <c r="D52" s="22"/>
      <c r="E52" s="23"/>
      <c r="F52" s="24"/>
      <c r="G52" s="35">
        <f>SUM(G2:G50)</f>
        <v>1020522.5</v>
      </c>
    </row>
    <row r="53" spans="1:7" x14ac:dyDescent="0.2">
      <c r="A53" s="172" t="s">
        <v>58</v>
      </c>
      <c r="B53" s="173"/>
      <c r="C53" s="174"/>
      <c r="D53" s="22"/>
      <c r="E53" s="23"/>
      <c r="F53" s="24"/>
      <c r="G53" s="35">
        <f>ROUND(G52*18%,)</f>
        <v>183694</v>
      </c>
    </row>
    <row r="54" spans="1:7" ht="13.5" thickBot="1" x14ac:dyDescent="0.25">
      <c r="A54" s="154" t="s">
        <v>21</v>
      </c>
      <c r="B54" s="155"/>
      <c r="C54" s="156"/>
      <c r="D54" s="19"/>
      <c r="E54" s="21"/>
      <c r="F54" s="20"/>
      <c r="G54" s="34">
        <f>SUM(G52:G53)</f>
        <v>1204216.5</v>
      </c>
    </row>
    <row r="55" spans="1:7" ht="13.5" thickTop="1" x14ac:dyDescent="0.2">
      <c r="A55" s="7" t="s">
        <v>10</v>
      </c>
      <c r="B55" s="177" t="s">
        <v>129</v>
      </c>
      <c r="C55" s="178"/>
      <c r="D55" s="6" t="s">
        <v>13</v>
      </c>
      <c r="E55" s="179" t="s">
        <v>28</v>
      </c>
      <c r="F55" s="179"/>
      <c r="G55" s="180"/>
    </row>
    <row r="56" spans="1:7" x14ac:dyDescent="0.2">
      <c r="A56" s="4" t="s">
        <v>11</v>
      </c>
      <c r="B56" s="181" t="s">
        <v>27</v>
      </c>
      <c r="C56" s="182"/>
      <c r="D56" s="2"/>
      <c r="E56" s="183" t="s">
        <v>45</v>
      </c>
      <c r="F56" s="183"/>
      <c r="G56" s="184"/>
    </row>
    <row r="57" spans="1:7" x14ac:dyDescent="0.2">
      <c r="A57" s="4" t="s">
        <v>12</v>
      </c>
      <c r="B57" s="181" t="s">
        <v>31</v>
      </c>
      <c r="C57" s="182"/>
      <c r="D57" s="2"/>
      <c r="E57" s="183"/>
      <c r="F57" s="183"/>
      <c r="G57" s="184"/>
    </row>
    <row r="58" spans="1:7" x14ac:dyDescent="0.2">
      <c r="A58" s="5" t="s">
        <v>49</v>
      </c>
      <c r="B58" s="205" t="s">
        <v>57</v>
      </c>
      <c r="C58" s="206"/>
      <c r="D58" s="3"/>
      <c r="E58" s="109"/>
      <c r="F58" s="109"/>
      <c r="G58" s="110"/>
    </row>
    <row r="59" spans="1:7" x14ac:dyDescent="0.2">
      <c r="A59" s="190" t="s">
        <v>6</v>
      </c>
      <c r="B59" s="191"/>
      <c r="C59" s="192"/>
      <c r="D59" s="193" t="s">
        <v>56</v>
      </c>
      <c r="E59" s="194"/>
      <c r="F59" s="194"/>
      <c r="G59" s="195"/>
    </row>
    <row r="60" spans="1:7" x14ac:dyDescent="0.2">
      <c r="A60" s="199"/>
      <c r="B60" s="200"/>
      <c r="C60" s="201"/>
      <c r="D60" s="196"/>
      <c r="E60" s="197"/>
      <c r="F60" s="197"/>
      <c r="G60" s="198"/>
    </row>
    <row r="61" spans="1:7" x14ac:dyDescent="0.2">
      <c r="A61" s="199"/>
      <c r="B61" s="200"/>
      <c r="C61" s="201"/>
      <c r="D61" s="196"/>
      <c r="E61" s="197"/>
      <c r="F61" s="197"/>
      <c r="G61" s="198"/>
    </row>
    <row r="62" spans="1:7" x14ac:dyDescent="0.2">
      <c r="A62" s="202"/>
      <c r="B62" s="203"/>
      <c r="C62" s="204"/>
      <c r="D62" s="196"/>
      <c r="E62" s="197"/>
      <c r="F62" s="197"/>
      <c r="G62" s="198"/>
    </row>
    <row r="63" spans="1:7" x14ac:dyDescent="0.2">
      <c r="A63" s="185" t="s">
        <v>9</v>
      </c>
      <c r="B63" s="186"/>
      <c r="C63" s="186"/>
      <c r="D63" s="186"/>
      <c r="E63" s="186"/>
      <c r="F63" s="187" t="s">
        <v>7</v>
      </c>
      <c r="G63" s="188"/>
    </row>
    <row r="64" spans="1:7" x14ac:dyDescent="0.2">
      <c r="A64" s="189" t="s">
        <v>8</v>
      </c>
      <c r="B64" s="189"/>
      <c r="C64" s="189"/>
    </row>
  </sheetData>
  <mergeCells count="46">
    <mergeCell ref="A63:E63"/>
    <mergeCell ref="F63:G63"/>
    <mergeCell ref="A64:C64"/>
    <mergeCell ref="E58:G58"/>
    <mergeCell ref="A59:C59"/>
    <mergeCell ref="D59:G59"/>
    <mergeCell ref="D60:G62"/>
    <mergeCell ref="A61:C61"/>
    <mergeCell ref="A62:C62"/>
    <mergeCell ref="A60:C60"/>
    <mergeCell ref="B58:C58"/>
    <mergeCell ref="B55:C55"/>
    <mergeCell ref="E55:G55"/>
    <mergeCell ref="B56:C56"/>
    <mergeCell ref="E56:G56"/>
    <mergeCell ref="B57:C57"/>
    <mergeCell ref="E57:G57"/>
    <mergeCell ref="A54:C54"/>
    <mergeCell ref="A7:C7"/>
    <mergeCell ref="E7:G7"/>
    <mergeCell ref="A15:C15"/>
    <mergeCell ref="A14:C14"/>
    <mergeCell ref="A16:C16"/>
    <mergeCell ref="A52:C52"/>
    <mergeCell ref="A53:C53"/>
    <mergeCell ref="A33:C33"/>
    <mergeCell ref="A1:G1"/>
    <mergeCell ref="A2:C3"/>
    <mergeCell ref="E2:G2"/>
    <mergeCell ref="E3:G3"/>
    <mergeCell ref="A4:C4"/>
    <mergeCell ref="E4:G4"/>
    <mergeCell ref="E5:G5"/>
    <mergeCell ref="D12:G12"/>
    <mergeCell ref="D13:G13"/>
    <mergeCell ref="A5:C5"/>
    <mergeCell ref="D8:G10"/>
    <mergeCell ref="D11:G11"/>
    <mergeCell ref="A13:C13"/>
    <mergeCell ref="B8:C8"/>
    <mergeCell ref="A9:C9"/>
    <mergeCell ref="A10:C10"/>
    <mergeCell ref="A12:C12"/>
    <mergeCell ref="A11:C11"/>
    <mergeCell ref="A6:C6"/>
    <mergeCell ref="E6:G6"/>
  </mergeCells>
  <phoneticPr fontId="0" type="noConversion"/>
  <pageMargins left="0.5" right="0.5" top="0.5" bottom="0.5" header="0" footer="0"/>
  <pageSetup paperSize="9"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K19"/>
  <sheetViews>
    <sheetView workbookViewId="0">
      <selection sqref="A1:K1"/>
    </sheetView>
  </sheetViews>
  <sheetFormatPr defaultColWidth="10.6640625" defaultRowHeight="12.75" x14ac:dyDescent="0.2"/>
  <cols>
    <col min="1" max="1" width="15.6640625" style="62" bestFit="1" customWidth="1"/>
    <col min="2" max="2" width="13.1640625" style="62" bestFit="1" customWidth="1"/>
    <col min="3" max="3" width="6" style="62" bestFit="1" customWidth="1"/>
    <col min="4" max="4" width="10" style="62" bestFit="1" customWidth="1"/>
    <col min="5" max="5" width="7" style="87" bestFit="1" customWidth="1"/>
    <col min="6" max="6" width="7.33203125" style="87" bestFit="1" customWidth="1"/>
    <col min="7" max="7" width="38.1640625" style="62" bestFit="1" customWidth="1"/>
    <col min="8" max="8" width="16.5" style="62" bestFit="1" customWidth="1"/>
    <col min="9" max="9" width="16.5" style="62" customWidth="1"/>
    <col min="10" max="10" width="8.1640625" style="62" bestFit="1" customWidth="1"/>
    <col min="11" max="11" width="8.5" style="62" bestFit="1" customWidth="1"/>
    <col min="12" max="16384" width="10.6640625" style="62"/>
  </cols>
  <sheetData>
    <row r="1" spans="1:11" x14ac:dyDescent="0.2">
      <c r="A1" s="207" t="s">
        <v>130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</row>
    <row r="2" spans="1:11" ht="19.5" customHeight="1" x14ac:dyDescent="0.2">
      <c r="A2" s="63" t="s">
        <v>131</v>
      </c>
      <c r="B2" s="63" t="s">
        <v>34</v>
      </c>
      <c r="C2" s="63" t="s">
        <v>35</v>
      </c>
      <c r="D2" s="63" t="s">
        <v>132</v>
      </c>
      <c r="E2" s="209" t="s">
        <v>36</v>
      </c>
      <c r="F2" s="210"/>
      <c r="G2" s="63" t="s">
        <v>30</v>
      </c>
      <c r="H2" s="63" t="s">
        <v>63</v>
      </c>
      <c r="I2" s="63" t="s">
        <v>62</v>
      </c>
      <c r="J2" s="209" t="s">
        <v>37</v>
      </c>
      <c r="K2" s="210"/>
    </row>
    <row r="3" spans="1:11" ht="19.5" customHeight="1" x14ac:dyDescent="0.2">
      <c r="A3" s="65"/>
      <c r="B3" s="65"/>
      <c r="C3" s="63" t="s">
        <v>38</v>
      </c>
      <c r="D3" s="63" t="s">
        <v>38</v>
      </c>
      <c r="E3" s="63" t="s">
        <v>39</v>
      </c>
      <c r="F3" s="63" t="s">
        <v>40</v>
      </c>
      <c r="G3" s="67"/>
      <c r="H3" s="63"/>
      <c r="I3" s="63"/>
      <c r="J3" s="63" t="s">
        <v>42</v>
      </c>
      <c r="K3" s="63" t="s">
        <v>41</v>
      </c>
    </row>
    <row r="4" spans="1:11" ht="25.5" x14ac:dyDescent="0.2">
      <c r="A4" s="68" t="s">
        <v>66</v>
      </c>
      <c r="B4" s="68" t="s">
        <v>66</v>
      </c>
      <c r="C4" s="63">
        <v>15</v>
      </c>
      <c r="D4" s="63"/>
      <c r="E4" s="66">
        <v>50</v>
      </c>
      <c r="F4" s="66">
        <v>550</v>
      </c>
      <c r="G4" s="69" t="s">
        <v>67</v>
      </c>
      <c r="H4" s="70" t="s">
        <v>133</v>
      </c>
      <c r="I4" s="71">
        <v>3917.4</v>
      </c>
      <c r="J4" s="65">
        <v>3300</v>
      </c>
      <c r="K4" s="65">
        <f t="shared" ref="K4:K18" si="0">J4/F4</f>
        <v>6</v>
      </c>
    </row>
    <row r="5" spans="1:11" ht="25.5" x14ac:dyDescent="0.2">
      <c r="A5" s="68" t="s">
        <v>68</v>
      </c>
      <c r="B5" s="68" t="s">
        <v>68</v>
      </c>
      <c r="C5" s="63">
        <v>15</v>
      </c>
      <c r="D5" s="63"/>
      <c r="E5" s="66">
        <v>50</v>
      </c>
      <c r="F5" s="66">
        <v>1200</v>
      </c>
      <c r="G5" s="69" t="s">
        <v>69</v>
      </c>
      <c r="H5" s="70" t="s">
        <v>134</v>
      </c>
      <c r="I5" s="71">
        <v>3917.4</v>
      </c>
      <c r="J5" s="65">
        <v>9600</v>
      </c>
      <c r="K5" s="65">
        <f t="shared" si="0"/>
        <v>8</v>
      </c>
    </row>
    <row r="6" spans="1:11" ht="25.5" x14ac:dyDescent="0.2">
      <c r="A6" s="68" t="s">
        <v>70</v>
      </c>
      <c r="B6" s="68" t="s">
        <v>70</v>
      </c>
      <c r="C6" s="63">
        <v>20</v>
      </c>
      <c r="D6" s="63"/>
      <c r="E6" s="66">
        <v>10</v>
      </c>
      <c r="F6" s="66">
        <v>800</v>
      </c>
      <c r="G6" s="72" t="s">
        <v>71</v>
      </c>
      <c r="H6" s="70" t="s">
        <v>135</v>
      </c>
      <c r="I6" s="71">
        <v>3917.4</v>
      </c>
      <c r="J6" s="65">
        <v>1600</v>
      </c>
      <c r="K6" s="65">
        <f t="shared" si="0"/>
        <v>2</v>
      </c>
    </row>
    <row r="7" spans="1:11" ht="25.5" x14ac:dyDescent="0.2">
      <c r="A7" s="68" t="s">
        <v>72</v>
      </c>
      <c r="B7" s="68" t="s">
        <v>72</v>
      </c>
      <c r="C7" s="63">
        <v>15</v>
      </c>
      <c r="D7" s="63"/>
      <c r="E7" s="66">
        <v>50</v>
      </c>
      <c r="F7" s="66">
        <v>1750</v>
      </c>
      <c r="G7" s="69" t="s">
        <v>73</v>
      </c>
      <c r="H7" s="70" t="s">
        <v>136</v>
      </c>
      <c r="I7" s="71">
        <v>3917.4</v>
      </c>
      <c r="J7" s="65">
        <v>1750</v>
      </c>
      <c r="K7" s="65">
        <f t="shared" si="0"/>
        <v>1</v>
      </c>
    </row>
    <row r="8" spans="1:11" ht="25.5" x14ac:dyDescent="0.2">
      <c r="A8" s="68" t="s">
        <v>74</v>
      </c>
      <c r="B8" s="68" t="s">
        <v>74</v>
      </c>
      <c r="C8" s="63">
        <v>15</v>
      </c>
      <c r="D8" s="63">
        <v>80</v>
      </c>
      <c r="E8" s="66">
        <v>50</v>
      </c>
      <c r="F8" s="66">
        <v>1100</v>
      </c>
      <c r="G8" s="69" t="s">
        <v>75</v>
      </c>
      <c r="H8" s="70" t="s">
        <v>137</v>
      </c>
      <c r="I8" s="71">
        <v>3917.4</v>
      </c>
      <c r="J8" s="65">
        <v>19800</v>
      </c>
      <c r="K8" s="65">
        <f t="shared" si="0"/>
        <v>18</v>
      </c>
    </row>
    <row r="9" spans="1:11" ht="25.5" x14ac:dyDescent="0.2">
      <c r="A9" s="68" t="s">
        <v>76</v>
      </c>
      <c r="B9" s="68" t="s">
        <v>76</v>
      </c>
      <c r="C9" s="63">
        <v>15</v>
      </c>
      <c r="D9" s="63">
        <v>125</v>
      </c>
      <c r="E9" s="66">
        <v>50</v>
      </c>
      <c r="F9" s="66">
        <v>800</v>
      </c>
      <c r="G9" s="69" t="s">
        <v>77</v>
      </c>
      <c r="H9" s="70" t="s">
        <v>138</v>
      </c>
      <c r="I9" s="71">
        <v>3917.4</v>
      </c>
      <c r="J9" s="65">
        <v>9600</v>
      </c>
      <c r="K9" s="65">
        <f t="shared" si="0"/>
        <v>12</v>
      </c>
    </row>
    <row r="10" spans="1:11" ht="25.5" x14ac:dyDescent="0.2">
      <c r="A10" s="68" t="s">
        <v>78</v>
      </c>
      <c r="B10" s="68" t="s">
        <v>78</v>
      </c>
      <c r="C10" s="63">
        <v>20</v>
      </c>
      <c r="D10" s="63">
        <v>50</v>
      </c>
      <c r="E10" s="66">
        <v>10</v>
      </c>
      <c r="F10" s="66">
        <v>1300</v>
      </c>
      <c r="G10" s="69" t="s">
        <v>79</v>
      </c>
      <c r="H10" s="70" t="s">
        <v>139</v>
      </c>
      <c r="I10" s="71">
        <v>3917.4</v>
      </c>
      <c r="J10" s="65">
        <v>2600</v>
      </c>
      <c r="K10" s="65">
        <f t="shared" si="0"/>
        <v>2</v>
      </c>
    </row>
    <row r="11" spans="1:11" ht="25.5" x14ac:dyDescent="0.2">
      <c r="A11" s="68" t="s">
        <v>80</v>
      </c>
      <c r="B11" s="68" t="s">
        <v>80</v>
      </c>
      <c r="C11" s="63">
        <v>20</v>
      </c>
      <c r="D11" s="63">
        <v>80</v>
      </c>
      <c r="E11" s="66">
        <v>10</v>
      </c>
      <c r="F11" s="66">
        <v>800</v>
      </c>
      <c r="G11" s="69" t="s">
        <v>81</v>
      </c>
      <c r="H11" s="70" t="s">
        <v>140</v>
      </c>
      <c r="I11" s="71">
        <v>3917.4</v>
      </c>
      <c r="J11" s="65">
        <v>1600</v>
      </c>
      <c r="K11" s="65">
        <f t="shared" si="0"/>
        <v>2</v>
      </c>
    </row>
    <row r="12" spans="1:11" ht="25.5" x14ac:dyDescent="0.2">
      <c r="A12" s="68" t="s">
        <v>82</v>
      </c>
      <c r="B12" s="68" t="s">
        <v>82</v>
      </c>
      <c r="C12" s="63">
        <v>20</v>
      </c>
      <c r="D12" s="63">
        <v>150</v>
      </c>
      <c r="E12" s="66">
        <v>10</v>
      </c>
      <c r="F12" s="66">
        <v>450</v>
      </c>
      <c r="G12" s="69" t="s">
        <v>83</v>
      </c>
      <c r="H12" s="70" t="s">
        <v>141</v>
      </c>
      <c r="I12" s="71">
        <v>3917.4</v>
      </c>
      <c r="J12" s="65">
        <v>1800</v>
      </c>
      <c r="K12" s="65">
        <f t="shared" si="0"/>
        <v>4</v>
      </c>
    </row>
    <row r="13" spans="1:11" ht="25.5" x14ac:dyDescent="0.2">
      <c r="A13" s="73" t="s">
        <v>84</v>
      </c>
      <c r="B13" s="73" t="s">
        <v>84</v>
      </c>
      <c r="C13" s="64">
        <v>25</v>
      </c>
      <c r="D13" s="64">
        <v>100</v>
      </c>
      <c r="E13" s="74">
        <v>10</v>
      </c>
      <c r="F13" s="74">
        <v>400</v>
      </c>
      <c r="G13" s="75" t="s">
        <v>85</v>
      </c>
      <c r="H13" s="76" t="s">
        <v>142</v>
      </c>
      <c r="I13" s="71">
        <v>3917.4</v>
      </c>
      <c r="J13" s="65">
        <v>800</v>
      </c>
      <c r="K13" s="65">
        <f t="shared" si="0"/>
        <v>2</v>
      </c>
    </row>
    <row r="14" spans="1:11" ht="25.5" x14ac:dyDescent="0.2">
      <c r="A14" s="73" t="s">
        <v>86</v>
      </c>
      <c r="B14" s="73" t="s">
        <v>86</v>
      </c>
      <c r="C14" s="64">
        <v>25</v>
      </c>
      <c r="D14" s="64">
        <v>150</v>
      </c>
      <c r="E14" s="66">
        <v>10</v>
      </c>
      <c r="F14" s="66">
        <v>300</v>
      </c>
      <c r="G14" s="75" t="s">
        <v>87</v>
      </c>
      <c r="H14" s="77" t="s">
        <v>143</v>
      </c>
      <c r="I14" s="71">
        <v>3917.4</v>
      </c>
      <c r="J14" s="65">
        <v>300</v>
      </c>
      <c r="K14" s="65">
        <f t="shared" si="0"/>
        <v>1</v>
      </c>
    </row>
    <row r="15" spans="1:11" ht="25.5" x14ac:dyDescent="0.2">
      <c r="A15" s="67">
        <v>90443200</v>
      </c>
      <c r="B15" s="67" t="s">
        <v>144</v>
      </c>
      <c r="C15" s="63" t="s">
        <v>145</v>
      </c>
      <c r="D15" s="63">
        <v>150</v>
      </c>
      <c r="E15" s="66">
        <v>10</v>
      </c>
      <c r="F15" s="66">
        <v>300</v>
      </c>
      <c r="G15" s="69" t="s">
        <v>88</v>
      </c>
      <c r="H15" s="78" t="s">
        <v>146</v>
      </c>
      <c r="I15" s="71">
        <v>3917.4</v>
      </c>
      <c r="J15" s="65">
        <v>900</v>
      </c>
      <c r="K15" s="65">
        <f t="shared" si="0"/>
        <v>3</v>
      </c>
    </row>
    <row r="16" spans="1:11" ht="25.5" x14ac:dyDescent="0.2">
      <c r="A16" s="73" t="s">
        <v>89</v>
      </c>
      <c r="B16" s="73" t="s">
        <v>89</v>
      </c>
      <c r="C16" s="64">
        <v>15</v>
      </c>
      <c r="D16" s="64">
        <v>150</v>
      </c>
      <c r="E16" s="79">
        <v>10</v>
      </c>
      <c r="F16" s="80">
        <v>130</v>
      </c>
      <c r="G16" s="81" t="s">
        <v>90</v>
      </c>
      <c r="H16" s="77" t="s">
        <v>147</v>
      </c>
      <c r="I16" s="71">
        <v>3917.4</v>
      </c>
      <c r="J16" s="65">
        <v>1950</v>
      </c>
      <c r="K16" s="65">
        <f t="shared" si="0"/>
        <v>15</v>
      </c>
    </row>
    <row r="17" spans="1:11" ht="25.5" x14ac:dyDescent="0.2">
      <c r="A17" s="73" t="s">
        <v>91</v>
      </c>
      <c r="B17" s="73" t="s">
        <v>91</v>
      </c>
      <c r="C17" s="64">
        <v>15</v>
      </c>
      <c r="D17" s="64">
        <v>200</v>
      </c>
      <c r="E17" s="80">
        <v>10</v>
      </c>
      <c r="F17" s="80">
        <v>110</v>
      </c>
      <c r="G17" s="81" t="s">
        <v>92</v>
      </c>
      <c r="H17" s="77" t="s">
        <v>148</v>
      </c>
      <c r="I17" s="71">
        <v>3917.4</v>
      </c>
      <c r="J17" s="65">
        <v>550</v>
      </c>
      <c r="K17" s="65">
        <f t="shared" si="0"/>
        <v>5</v>
      </c>
    </row>
    <row r="18" spans="1:11" ht="25.5" x14ac:dyDescent="0.2">
      <c r="A18" s="73" t="s">
        <v>93</v>
      </c>
      <c r="B18" s="73" t="s">
        <v>93</v>
      </c>
      <c r="C18" s="64">
        <v>20</v>
      </c>
      <c r="D18" s="64">
        <v>200</v>
      </c>
      <c r="E18" s="80">
        <v>5</v>
      </c>
      <c r="F18" s="80">
        <v>75</v>
      </c>
      <c r="G18" s="81" t="s">
        <v>94</v>
      </c>
      <c r="H18" s="77" t="s">
        <v>149</v>
      </c>
      <c r="I18" s="71">
        <v>3917.4</v>
      </c>
      <c r="J18" s="65">
        <v>300</v>
      </c>
      <c r="K18" s="65">
        <f t="shared" si="0"/>
        <v>4</v>
      </c>
    </row>
    <row r="19" spans="1:11" x14ac:dyDescent="0.2">
      <c r="A19" s="82"/>
      <c r="B19" s="82"/>
      <c r="C19" s="83"/>
      <c r="D19" s="83"/>
      <c r="E19" s="84"/>
      <c r="F19" s="84"/>
      <c r="G19" s="85"/>
      <c r="H19" s="86" t="s">
        <v>61</v>
      </c>
      <c r="I19" s="86"/>
      <c r="J19" s="86">
        <f>SUBTOTAL(9,J4:J18)</f>
        <v>56450</v>
      </c>
      <c r="K19" s="86">
        <f>SUBTOTAL(9,K4:K18)</f>
        <v>85</v>
      </c>
    </row>
  </sheetData>
  <mergeCells count="3">
    <mergeCell ref="A1:K1"/>
    <mergeCell ref="E2:F2"/>
    <mergeCell ref="J2:K2"/>
  </mergeCells>
  <pageMargins left="0.5" right="0.5" top="0.5" bottom="0.5" header="0" footer="0"/>
  <pageSetup paperSize="9"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M21"/>
  <sheetViews>
    <sheetView workbookViewId="0">
      <selection sqref="A1:I1"/>
    </sheetView>
  </sheetViews>
  <sheetFormatPr defaultColWidth="10.6640625" defaultRowHeight="12.75" x14ac:dyDescent="0.2"/>
  <cols>
    <col min="1" max="1" width="13.1640625" style="107" bestFit="1" customWidth="1"/>
    <col min="2" max="2" width="6" style="107" bestFit="1" customWidth="1"/>
    <col min="3" max="3" width="7" style="108" bestFit="1" customWidth="1"/>
    <col min="4" max="4" width="7.33203125" style="108" bestFit="1" customWidth="1"/>
    <col min="5" max="5" width="38.1640625" style="107" bestFit="1" customWidth="1"/>
    <col min="6" max="6" width="16.5" style="107" bestFit="1" customWidth="1"/>
    <col min="7" max="7" width="16.5" style="107" customWidth="1"/>
    <col min="8" max="8" width="10.6640625" style="107"/>
    <col min="9" max="9" width="10.83203125" style="107" bestFit="1" customWidth="1"/>
    <col min="10" max="16384" width="10.6640625" style="62"/>
  </cols>
  <sheetData>
    <row r="1" spans="1:13" x14ac:dyDescent="0.2">
      <c r="A1" s="211" t="s">
        <v>130</v>
      </c>
      <c r="B1" s="211"/>
      <c r="C1" s="211"/>
      <c r="D1" s="211"/>
      <c r="E1" s="211"/>
      <c r="F1" s="211"/>
      <c r="G1" s="211"/>
      <c r="H1" s="211"/>
      <c r="I1" s="211"/>
    </row>
    <row r="2" spans="1:13" ht="20.25" customHeight="1" x14ac:dyDescent="0.2">
      <c r="A2" s="64" t="s">
        <v>34</v>
      </c>
      <c r="B2" s="64" t="s">
        <v>35</v>
      </c>
      <c r="C2" s="212" t="s">
        <v>36</v>
      </c>
      <c r="D2" s="213"/>
      <c r="E2" s="64" t="s">
        <v>30</v>
      </c>
      <c r="F2" s="64" t="s">
        <v>63</v>
      </c>
      <c r="G2" s="64" t="s">
        <v>62</v>
      </c>
      <c r="H2" s="214" t="s">
        <v>37</v>
      </c>
      <c r="I2" s="214"/>
    </row>
    <row r="3" spans="1:13" ht="20.25" customHeight="1" x14ac:dyDescent="0.2">
      <c r="A3" s="88"/>
      <c r="B3" s="64" t="s">
        <v>38</v>
      </c>
      <c r="C3" s="64" t="s">
        <v>39</v>
      </c>
      <c r="D3" s="64" t="s">
        <v>40</v>
      </c>
      <c r="E3" s="89"/>
      <c r="F3" s="64"/>
      <c r="G3" s="64"/>
      <c r="H3" s="63" t="s">
        <v>42</v>
      </c>
      <c r="I3" s="63" t="s">
        <v>41</v>
      </c>
    </row>
    <row r="4" spans="1:13" x14ac:dyDescent="0.2">
      <c r="A4" s="90" t="s">
        <v>95</v>
      </c>
      <c r="B4" s="91">
        <v>15</v>
      </c>
      <c r="C4" s="80">
        <v>10</v>
      </c>
      <c r="D4" s="74">
        <v>800</v>
      </c>
      <c r="E4" s="81" t="s">
        <v>96</v>
      </c>
      <c r="F4" s="92">
        <v>9319696300150</v>
      </c>
      <c r="G4" s="93">
        <v>3917.4</v>
      </c>
      <c r="H4" s="88">
        <v>4800</v>
      </c>
      <c r="I4" s="88">
        <f t="shared" ref="I4:I20" si="0">H4/D4</f>
        <v>6</v>
      </c>
    </row>
    <row r="5" spans="1:13" x14ac:dyDescent="0.2">
      <c r="A5" s="90" t="s">
        <v>97</v>
      </c>
      <c r="B5" s="91">
        <v>20</v>
      </c>
      <c r="C5" s="80">
        <v>10</v>
      </c>
      <c r="D5" s="80">
        <v>550</v>
      </c>
      <c r="E5" s="81" t="s">
        <v>98</v>
      </c>
      <c r="F5" s="92">
        <v>9319696300204</v>
      </c>
      <c r="G5" s="93">
        <v>3917.4</v>
      </c>
      <c r="H5" s="88">
        <v>4400</v>
      </c>
      <c r="I5" s="88">
        <f t="shared" si="0"/>
        <v>8</v>
      </c>
    </row>
    <row r="6" spans="1:13" x14ac:dyDescent="0.2">
      <c r="A6" s="90" t="s">
        <v>99</v>
      </c>
      <c r="B6" s="91">
        <v>25</v>
      </c>
      <c r="C6" s="80">
        <v>10</v>
      </c>
      <c r="D6" s="80">
        <v>300</v>
      </c>
      <c r="E6" s="81" t="s">
        <v>100</v>
      </c>
      <c r="F6" s="92">
        <v>9319696300259</v>
      </c>
      <c r="G6" s="93">
        <v>3917.4</v>
      </c>
      <c r="H6" s="88">
        <v>1800</v>
      </c>
      <c r="I6" s="88">
        <f t="shared" si="0"/>
        <v>6</v>
      </c>
    </row>
    <row r="7" spans="1:13" x14ac:dyDescent="0.2">
      <c r="A7" s="90" t="s">
        <v>101</v>
      </c>
      <c r="B7" s="91">
        <v>15</v>
      </c>
      <c r="C7" s="80">
        <v>5</v>
      </c>
      <c r="D7" s="74">
        <v>200</v>
      </c>
      <c r="E7" s="94" t="s">
        <v>102</v>
      </c>
      <c r="F7" s="95" t="s">
        <v>150</v>
      </c>
      <c r="G7" s="93">
        <v>3917.4</v>
      </c>
      <c r="H7" s="88">
        <v>2000</v>
      </c>
      <c r="I7" s="88">
        <f t="shared" si="0"/>
        <v>10</v>
      </c>
    </row>
    <row r="8" spans="1:13" x14ac:dyDescent="0.2">
      <c r="A8" s="90" t="s">
        <v>103</v>
      </c>
      <c r="B8" s="91">
        <v>20</v>
      </c>
      <c r="C8" s="66">
        <v>5</v>
      </c>
      <c r="D8" s="66">
        <v>150</v>
      </c>
      <c r="E8" s="94" t="s">
        <v>104</v>
      </c>
      <c r="F8" s="95" t="s">
        <v>151</v>
      </c>
      <c r="G8" s="93">
        <v>3917.4</v>
      </c>
      <c r="H8" s="88">
        <v>2100</v>
      </c>
      <c r="I8" s="65">
        <f t="shared" si="0"/>
        <v>14</v>
      </c>
    </row>
    <row r="9" spans="1:13" x14ac:dyDescent="0.2">
      <c r="A9" s="90" t="s">
        <v>105</v>
      </c>
      <c r="B9" s="91">
        <v>25</v>
      </c>
      <c r="C9" s="66">
        <v>5</v>
      </c>
      <c r="D9" s="66">
        <v>125</v>
      </c>
      <c r="E9" s="94" t="s">
        <v>106</v>
      </c>
      <c r="F9" s="95" t="s">
        <v>152</v>
      </c>
      <c r="G9" s="93">
        <v>3917.4</v>
      </c>
      <c r="H9" s="88">
        <v>2000</v>
      </c>
      <c r="I9" s="65">
        <f t="shared" si="0"/>
        <v>16</v>
      </c>
    </row>
    <row r="10" spans="1:13" x14ac:dyDescent="0.2">
      <c r="A10" s="90" t="s">
        <v>107</v>
      </c>
      <c r="B10" s="91">
        <v>15</v>
      </c>
      <c r="C10" s="80">
        <v>10</v>
      </c>
      <c r="D10" s="80">
        <v>1500</v>
      </c>
      <c r="E10" s="75" t="s">
        <v>108</v>
      </c>
      <c r="F10" s="92">
        <v>9319696120154</v>
      </c>
      <c r="G10" s="93">
        <v>3917.4</v>
      </c>
      <c r="H10" s="88">
        <v>3000</v>
      </c>
      <c r="I10" s="88">
        <f t="shared" si="0"/>
        <v>2</v>
      </c>
    </row>
    <row r="11" spans="1:13" x14ac:dyDescent="0.2">
      <c r="A11" s="90" t="s">
        <v>109</v>
      </c>
      <c r="B11" s="91">
        <v>20</v>
      </c>
      <c r="C11" s="80">
        <v>10</v>
      </c>
      <c r="D11" s="80">
        <v>780</v>
      </c>
      <c r="E11" s="81" t="s">
        <v>110</v>
      </c>
      <c r="F11" s="92">
        <v>9319696120208</v>
      </c>
      <c r="G11" s="93">
        <v>3917.4</v>
      </c>
      <c r="H11" s="88">
        <v>1560</v>
      </c>
      <c r="I11" s="88">
        <f t="shared" si="0"/>
        <v>2</v>
      </c>
    </row>
    <row r="12" spans="1:13" x14ac:dyDescent="0.2">
      <c r="A12" s="90" t="s">
        <v>111</v>
      </c>
      <c r="B12" s="91">
        <v>25</v>
      </c>
      <c r="C12" s="80">
        <v>10</v>
      </c>
      <c r="D12" s="80">
        <v>550</v>
      </c>
      <c r="E12" s="81" t="s">
        <v>112</v>
      </c>
      <c r="F12" s="92">
        <v>9319696120253</v>
      </c>
      <c r="G12" s="93">
        <v>3917.4</v>
      </c>
      <c r="H12" s="88">
        <v>2200</v>
      </c>
      <c r="I12" s="88">
        <f t="shared" si="0"/>
        <v>4</v>
      </c>
    </row>
    <row r="13" spans="1:13" x14ac:dyDescent="0.2">
      <c r="A13" s="96" t="s">
        <v>113</v>
      </c>
      <c r="B13" s="97">
        <v>15</v>
      </c>
      <c r="C13" s="66">
        <v>10</v>
      </c>
      <c r="D13" s="66">
        <v>1900</v>
      </c>
      <c r="E13" s="69" t="s">
        <v>114</v>
      </c>
      <c r="F13" s="98">
        <v>9319696400157</v>
      </c>
      <c r="G13" s="99">
        <v>3917.4</v>
      </c>
      <c r="H13" s="65">
        <v>19000</v>
      </c>
      <c r="I13" s="65">
        <f t="shared" si="0"/>
        <v>10</v>
      </c>
      <c r="L13" s="100"/>
      <c r="M13" s="101"/>
    </row>
    <row r="14" spans="1:13" x14ac:dyDescent="0.2">
      <c r="A14" s="96" t="s">
        <v>115</v>
      </c>
      <c r="B14" s="97">
        <v>20</v>
      </c>
      <c r="C14" s="66">
        <v>10</v>
      </c>
      <c r="D14" s="66">
        <v>890</v>
      </c>
      <c r="E14" s="69" t="s">
        <v>116</v>
      </c>
      <c r="F14" s="98">
        <v>9319696400201</v>
      </c>
      <c r="G14" s="99">
        <v>3917.4</v>
      </c>
      <c r="H14" s="65">
        <v>8010</v>
      </c>
      <c r="I14" s="65">
        <f t="shared" si="0"/>
        <v>9</v>
      </c>
      <c r="L14" s="100"/>
      <c r="M14" s="101"/>
    </row>
    <row r="15" spans="1:13" x14ac:dyDescent="0.2">
      <c r="A15" s="96" t="s">
        <v>117</v>
      </c>
      <c r="B15" s="97">
        <v>25</v>
      </c>
      <c r="C15" s="66">
        <v>10</v>
      </c>
      <c r="D15" s="66">
        <v>600</v>
      </c>
      <c r="E15" s="69" t="s">
        <v>118</v>
      </c>
      <c r="F15" s="98">
        <v>9319696400256</v>
      </c>
      <c r="G15" s="99">
        <v>3917.4</v>
      </c>
      <c r="H15" s="65">
        <v>7200</v>
      </c>
      <c r="I15" s="65">
        <f t="shared" si="0"/>
        <v>12</v>
      </c>
      <c r="L15" s="100"/>
      <c r="M15" s="101"/>
    </row>
    <row r="16" spans="1:13" x14ac:dyDescent="0.2">
      <c r="A16" s="90" t="s">
        <v>119</v>
      </c>
      <c r="B16" s="91" t="s">
        <v>153</v>
      </c>
      <c r="C16" s="80">
        <v>10</v>
      </c>
      <c r="D16" s="80">
        <v>2000</v>
      </c>
      <c r="E16" s="81" t="s">
        <v>120</v>
      </c>
      <c r="F16" s="92">
        <v>9319696720156</v>
      </c>
      <c r="G16" s="93">
        <v>3917.4</v>
      </c>
      <c r="H16" s="88">
        <v>8000</v>
      </c>
      <c r="I16" s="88">
        <f t="shared" si="0"/>
        <v>4</v>
      </c>
    </row>
    <row r="17" spans="1:9" x14ac:dyDescent="0.2">
      <c r="A17" s="90" t="s">
        <v>121</v>
      </c>
      <c r="B17" s="91" t="s">
        <v>154</v>
      </c>
      <c r="C17" s="80">
        <v>10</v>
      </c>
      <c r="D17" s="80">
        <v>1200</v>
      </c>
      <c r="E17" s="81" t="s">
        <v>122</v>
      </c>
      <c r="F17" s="92">
        <v>9319696725151</v>
      </c>
      <c r="G17" s="93">
        <v>3917.4</v>
      </c>
      <c r="H17" s="88">
        <v>2400</v>
      </c>
      <c r="I17" s="88">
        <f t="shared" si="0"/>
        <v>2</v>
      </c>
    </row>
    <row r="18" spans="1:9" x14ac:dyDescent="0.2">
      <c r="A18" s="90" t="s">
        <v>123</v>
      </c>
      <c r="B18" s="91" t="s">
        <v>155</v>
      </c>
      <c r="C18" s="80">
        <v>10</v>
      </c>
      <c r="D18" s="80">
        <v>1100</v>
      </c>
      <c r="E18" s="81" t="s">
        <v>124</v>
      </c>
      <c r="F18" s="92">
        <v>9319696725205</v>
      </c>
      <c r="G18" s="93">
        <v>3917.4</v>
      </c>
      <c r="H18" s="88">
        <v>4400</v>
      </c>
      <c r="I18" s="88">
        <f t="shared" si="0"/>
        <v>4</v>
      </c>
    </row>
    <row r="19" spans="1:9" x14ac:dyDescent="0.2">
      <c r="A19" s="90" t="s">
        <v>125</v>
      </c>
      <c r="B19" s="91" t="s">
        <v>156</v>
      </c>
      <c r="C19" s="80">
        <v>10</v>
      </c>
      <c r="D19" s="80">
        <v>500</v>
      </c>
      <c r="E19" s="81" t="s">
        <v>126</v>
      </c>
      <c r="F19" s="92">
        <v>9319696740253</v>
      </c>
      <c r="G19" s="93">
        <v>3917.4</v>
      </c>
      <c r="H19" s="88">
        <v>2000</v>
      </c>
      <c r="I19" s="88">
        <f t="shared" si="0"/>
        <v>4</v>
      </c>
    </row>
    <row r="20" spans="1:9" x14ac:dyDescent="0.2">
      <c r="A20" s="90" t="s">
        <v>127</v>
      </c>
      <c r="B20" s="66">
        <v>20</v>
      </c>
      <c r="C20" s="80">
        <v>10</v>
      </c>
      <c r="D20" s="80">
        <v>750</v>
      </c>
      <c r="E20" s="75" t="s">
        <v>128</v>
      </c>
      <c r="F20" s="92">
        <v>9319696502004</v>
      </c>
      <c r="G20" s="93">
        <v>3917.4</v>
      </c>
      <c r="H20" s="88">
        <v>9000</v>
      </c>
      <c r="I20" s="88">
        <f t="shared" si="0"/>
        <v>12</v>
      </c>
    </row>
    <row r="21" spans="1:9" x14ac:dyDescent="0.2">
      <c r="A21" s="102"/>
      <c r="B21" s="103"/>
      <c r="C21" s="104"/>
      <c r="D21" s="104"/>
      <c r="E21" s="105"/>
      <c r="F21" s="106" t="s">
        <v>61</v>
      </c>
      <c r="G21" s="106"/>
      <c r="H21" s="106">
        <f>SUBTOTAL(9,H4:H20)</f>
        <v>83870</v>
      </c>
      <c r="I21" s="106">
        <f>SUBTOTAL(9,I4:I20)</f>
        <v>125</v>
      </c>
    </row>
  </sheetData>
  <mergeCells count="3">
    <mergeCell ref="A1:I1"/>
    <mergeCell ref="C2:D2"/>
    <mergeCell ref="H2:I2"/>
  </mergeCells>
  <pageMargins left="0.51181102362204722" right="0.51181102362204722" top="0.51181102362204722" bottom="0.51181102362204722" header="0" footer="0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Page1</vt:lpstr>
      <vt:lpstr>PP</vt:lpstr>
      <vt:lpstr>GRN</vt:lpstr>
      <vt:lpstr>Page1!Print_Area</vt:lpstr>
    </vt:vector>
  </TitlesOfParts>
  <Company>Unknown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cp:lastPrinted>2026-02-16T10:20:51Z</cp:lastPrinted>
  <dcterms:created xsi:type="dcterms:W3CDTF">1999-03-01T10:40:00Z</dcterms:created>
  <dcterms:modified xsi:type="dcterms:W3CDTF">2026-05-29T10:52:55Z</dcterms:modified>
</cp:coreProperties>
</file>