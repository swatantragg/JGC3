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-105" yWindow="-105" windowWidth="19425" windowHeight="10545"/>
  </bookViews>
  <sheets>
    <sheet name="BarcodePP" sheetId="1" r:id="rId1"/>
    <sheet name="BarcodeGRN" sheetId="2" r:id="rId2"/>
  </sheets>
  <definedNames>
    <definedName name="_xlnm._FilterDatabase" localSheetId="1" hidden="1">BarcodeGRN!$E$3:$E$21</definedName>
    <definedName name="_xlnm._FilterDatabase" localSheetId="0" hidden="1">BarcodePP!$A$3:$B$18</definedName>
  </definedNames>
  <calcPr calcId="152511"/>
</workbook>
</file>

<file path=xl/calcChain.xml><?xml version="1.0" encoding="utf-8"?>
<calcChain xmlns="http://schemas.openxmlformats.org/spreadsheetml/2006/main">
  <c r="D21" i="2" l="1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1" i="2" s="1"/>
  <c r="F11" i="1" l="1"/>
  <c r="F15" i="1"/>
  <c r="F5" i="1"/>
  <c r="F9" i="1"/>
  <c r="F16" i="1"/>
  <c r="F12" i="1"/>
  <c r="F18" i="1"/>
  <c r="F10" i="1"/>
  <c r="F4" i="1"/>
  <c r="F17" i="1"/>
  <c r="F8" i="1"/>
  <c r="F14" i="1"/>
  <c r="F6" i="1"/>
  <c r="F7" i="1"/>
  <c r="F13" i="1"/>
  <c r="F19" i="1" l="1"/>
  <c r="D19" i="1"/>
</calcChain>
</file>

<file path=xl/sharedStrings.xml><?xml version="1.0" encoding="utf-8"?>
<sst xmlns="http://schemas.openxmlformats.org/spreadsheetml/2006/main" count="101" uniqueCount="94">
  <si>
    <t>DESCRIPTION</t>
  </si>
  <si>
    <t>Bar Codes</t>
  </si>
  <si>
    <t>9319696015030</t>
  </si>
  <si>
    <t>9319696150106</t>
  </si>
  <si>
    <t>9319696015054</t>
  </si>
  <si>
    <t>9319696150649</t>
  </si>
  <si>
    <t xml:space="preserve">GD CODE </t>
  </si>
  <si>
    <t>9319696150144</t>
  </si>
  <si>
    <t>9319696020027</t>
  </si>
  <si>
    <t>9319696020034</t>
  </si>
  <si>
    <t>9319696200139</t>
  </si>
  <si>
    <t>PP 1503 P/RISER M X M
80 x 15MM</t>
  </si>
  <si>
    <t>PP 1505 P/RISER M X M
125 x 15MM</t>
  </si>
  <si>
    <t>CUT 15 Flexi Cut Off Riser
15MM</t>
  </si>
  <si>
    <t>CUTMF 15 M/F Cut Off Riser
15MM</t>
  </si>
  <si>
    <t>PP 2002 P/RISER M X M
50 X 20MM</t>
  </si>
  <si>
    <t>PP 2003 P/RISER M X M
80 X 20MM</t>
  </si>
  <si>
    <t>FFC 20 F/F Couplings
20MM</t>
  </si>
  <si>
    <t>MFA 15 M/F Adaptors
15MM</t>
  </si>
  <si>
    <t>TOTAL</t>
  </si>
  <si>
    <t>PP 2006 P/RISER M X M
150 X 20MM</t>
  </si>
  <si>
    <t>9319696020065</t>
  </si>
  <si>
    <t>Lables</t>
  </si>
  <si>
    <t>TYPE</t>
  </si>
  <si>
    <t>UPS</t>
  </si>
  <si>
    <t>SHEETS</t>
  </si>
  <si>
    <t>REQD</t>
  </si>
  <si>
    <t>9313146000454</t>
  </si>
  <si>
    <t>PPA 1506 ARTIC. P/RISER 
150 X 15MM</t>
  </si>
  <si>
    <t>9319696215065</t>
  </si>
  <si>
    <t>PPA 1508 ARTIC. P/RISER
200 X 15MM</t>
  </si>
  <si>
    <t>9319696215089</t>
  </si>
  <si>
    <t>PPA 2008 ARTIC. P/RISER
200 X 20MM</t>
  </si>
  <si>
    <t>9319696220083</t>
  </si>
  <si>
    <t>PP 2504 P/RISER M X M
100 X 25MM</t>
  </si>
  <si>
    <t>9319696025046</t>
  </si>
  <si>
    <t>PP 2506 P/RISER M X M
150 X 25MM</t>
  </si>
  <si>
    <t>9391696025060</t>
  </si>
  <si>
    <t>PP1503</t>
  </si>
  <si>
    <t>PP1505</t>
  </si>
  <si>
    <t>PPA1506</t>
  </si>
  <si>
    <t>PPA1508</t>
  </si>
  <si>
    <t>CUT15</t>
  </si>
  <si>
    <t>CUTMF15</t>
  </si>
  <si>
    <t>PP2002</t>
  </si>
  <si>
    <t>PP2003</t>
  </si>
  <si>
    <t>PP2006</t>
  </si>
  <si>
    <t>PPA2008</t>
  </si>
  <si>
    <t>FFC20</t>
  </si>
  <si>
    <t>PP2504</t>
  </si>
  <si>
    <t>PP2506</t>
  </si>
  <si>
    <t>PP2506PH</t>
  </si>
  <si>
    <t>MFA15</t>
  </si>
  <si>
    <t>90443200 P/RISER M X M
1" x 1" x 150 MM</t>
  </si>
  <si>
    <t>PO NO : 03455 DT 16.02.2026</t>
  </si>
  <si>
    <t>Sheets</t>
  </si>
  <si>
    <t>Reqd</t>
  </si>
  <si>
    <t>GRE15</t>
  </si>
  <si>
    <t>15MM F/F ELBOW</t>
  </si>
  <si>
    <t>GRE20</t>
  </si>
  <si>
    <t>20MM F/F ELBOW</t>
  </si>
  <si>
    <t>GRE25</t>
  </si>
  <si>
    <t>25MM F/F ELBOW</t>
  </si>
  <si>
    <t>GRFTF-15</t>
  </si>
  <si>
    <t>15 mm GR F/M TANK FITTING</t>
  </si>
  <si>
    <t>9319696500208</t>
  </si>
  <si>
    <t>GRFTF-20</t>
  </si>
  <si>
    <t>20 mm GR F/M TANK FITTING</t>
  </si>
  <si>
    <t>9319696500307</t>
  </si>
  <si>
    <t>GRFTF-25</t>
  </si>
  <si>
    <t>25 mm GR F/M TANK FITTING</t>
  </si>
  <si>
    <t>9319696500406</t>
  </si>
  <si>
    <t>GRMHT15</t>
  </si>
  <si>
    <t>15MM MALE HOSE TAIL</t>
  </si>
  <si>
    <t>GRMHT20</t>
  </si>
  <si>
    <t>20MM MALE HOSE TAIL</t>
  </si>
  <si>
    <t>GRMHT25</t>
  </si>
  <si>
    <t>25MM MALE HOSE TAIL</t>
  </si>
  <si>
    <t>GRN15</t>
  </si>
  <si>
    <t>15MM NIPPLE</t>
  </si>
  <si>
    <t>GRN20</t>
  </si>
  <si>
    <t>20MM NIPPLE</t>
  </si>
  <si>
    <t>GRN25</t>
  </si>
  <si>
    <t>25MM NIPPLE</t>
  </si>
  <si>
    <t>GRRB2015</t>
  </si>
  <si>
    <t>20 X 15MM RED. BUSH</t>
  </si>
  <si>
    <t>GRRB2515</t>
  </si>
  <si>
    <t>25 X 15MM RED. BUSH</t>
  </si>
  <si>
    <t>GRRB2520</t>
  </si>
  <si>
    <t>25 X 20MM RED. BUSH</t>
  </si>
  <si>
    <t>GRRB4025</t>
  </si>
  <si>
    <t>40 X 25MM RED. BUSH</t>
  </si>
  <si>
    <t>GRS20</t>
  </si>
  <si>
    <t>20MM 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</si>
</sst>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57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shrinkToFit="1"/>
    </xf>
    <xf numFmtId="0" fontId="2" fillId="0" borderId="1" xfId="0" quotePrefix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/>
    </xf>
    <xf numFmtId="4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F19"/>
  <sheetViews>
    <sheetView tabSelected="1" workbookViewId="0">
      <selection sqref="A1:F1"/>
    </sheetView>
  </sheetViews>
  <sheetFormatPr defaultColWidth="9.140625" defaultRowHeight="12.75" x14ac:dyDescent="0.2"/>
  <cols>
    <col min="1" max="1" width="11.28515625" style="4" bestFit="1" customWidth="1"/>
    <col min="2" max="2" width="32.7109375" style="4" bestFit="1" customWidth="1"/>
    <col min="3" max="3" width="14.140625" style="4" bestFit="1" customWidth="1"/>
    <col min="4" max="4" width="7" style="4" bestFit="1" customWidth="1"/>
    <col min="5" max="5" width="7" style="4" customWidth="1"/>
    <col min="6" max="6" width="8.28515625" style="4" bestFit="1" customWidth="1"/>
    <col min="7" max="16384" width="9.140625" style="4"/>
  </cols>
  <sheetData>
    <row r="1" spans="1:6" x14ac:dyDescent="0.2">
      <c r="A1" s="20" t="s">
        <v>54</v>
      </c>
      <c r="B1" s="21"/>
      <c r="C1" s="21"/>
      <c r="D1" s="21"/>
      <c r="E1" s="21"/>
      <c r="F1" s="22"/>
    </row>
    <row r="2" spans="1:6" ht="19.5" customHeight="1" x14ac:dyDescent="0.2">
      <c r="A2" s="13" t="s">
        <v>6</v>
      </c>
      <c r="B2" s="13" t="s">
        <v>0</v>
      </c>
      <c r="C2" s="14" t="s">
        <v>1</v>
      </c>
      <c r="D2" s="14" t="s">
        <v>22</v>
      </c>
      <c r="E2" s="14" t="s">
        <v>23</v>
      </c>
      <c r="F2" s="14" t="s">
        <v>25</v>
      </c>
    </row>
    <row r="3" spans="1:6" ht="19.5" customHeight="1" x14ac:dyDescent="0.2">
      <c r="A3" s="6"/>
      <c r="B3" s="1"/>
      <c r="C3" s="14"/>
      <c r="D3" s="15"/>
      <c r="E3" s="14" t="s">
        <v>24</v>
      </c>
      <c r="F3" s="14" t="s">
        <v>26</v>
      </c>
    </row>
    <row r="4" spans="1:6" ht="25.5" x14ac:dyDescent="0.2">
      <c r="A4" s="7" t="s">
        <v>42</v>
      </c>
      <c r="B4" s="3" t="s">
        <v>13</v>
      </c>
      <c r="C4" s="16" t="s">
        <v>5</v>
      </c>
      <c r="D4" s="15">
        <v>3712</v>
      </c>
      <c r="E4" s="15">
        <v>64</v>
      </c>
      <c r="F4" s="6">
        <f t="shared" ref="F4:F7" si="0">ROUNDUP(D4/E4,)</f>
        <v>58</v>
      </c>
    </row>
    <row r="5" spans="1:6" ht="25.5" x14ac:dyDescent="0.2">
      <c r="A5" s="7" t="s">
        <v>43</v>
      </c>
      <c r="B5" s="3" t="s">
        <v>14</v>
      </c>
      <c r="C5" s="16" t="s">
        <v>7</v>
      </c>
      <c r="D5" s="15">
        <v>11040</v>
      </c>
      <c r="E5" s="15">
        <v>276</v>
      </c>
      <c r="F5" s="6">
        <f t="shared" si="0"/>
        <v>40</v>
      </c>
    </row>
    <row r="6" spans="1:6" ht="25.5" x14ac:dyDescent="0.2">
      <c r="A6" s="7" t="s">
        <v>48</v>
      </c>
      <c r="B6" s="2" t="s">
        <v>17</v>
      </c>
      <c r="C6" s="16" t="s">
        <v>10</v>
      </c>
      <c r="D6" s="15">
        <v>2208</v>
      </c>
      <c r="E6" s="15">
        <v>276</v>
      </c>
      <c r="F6" s="6">
        <f t="shared" si="0"/>
        <v>8</v>
      </c>
    </row>
    <row r="7" spans="1:6" ht="25.5" x14ac:dyDescent="0.2">
      <c r="A7" s="7" t="s">
        <v>52</v>
      </c>
      <c r="B7" s="3" t="s">
        <v>18</v>
      </c>
      <c r="C7" s="16" t="s">
        <v>3</v>
      </c>
      <c r="D7" s="15">
        <v>2208</v>
      </c>
      <c r="E7" s="15">
        <v>276</v>
      </c>
      <c r="F7" s="6">
        <f t="shared" si="0"/>
        <v>8</v>
      </c>
    </row>
    <row r="8" spans="1:6" ht="25.5" x14ac:dyDescent="0.2">
      <c r="A8" s="7" t="s">
        <v>38</v>
      </c>
      <c r="B8" s="3" t="s">
        <v>11</v>
      </c>
      <c r="C8" s="16" t="s">
        <v>2</v>
      </c>
      <c r="D8" s="15">
        <v>22356</v>
      </c>
      <c r="E8" s="15">
        <v>276</v>
      </c>
      <c r="F8" s="6">
        <f t="shared" ref="F8:F18" si="1">ROUNDUP(D8/E8,)</f>
        <v>81</v>
      </c>
    </row>
    <row r="9" spans="1:6" ht="25.5" x14ac:dyDescent="0.2">
      <c r="A9" s="7" t="s">
        <v>39</v>
      </c>
      <c r="B9" s="3" t="s">
        <v>12</v>
      </c>
      <c r="C9" s="16" t="s">
        <v>4</v>
      </c>
      <c r="D9" s="15">
        <v>10800</v>
      </c>
      <c r="E9" s="15">
        <v>144</v>
      </c>
      <c r="F9" s="6">
        <f t="shared" si="1"/>
        <v>75</v>
      </c>
    </row>
    <row r="10" spans="1:6" ht="25.5" x14ac:dyDescent="0.2">
      <c r="A10" s="7" t="s">
        <v>44</v>
      </c>
      <c r="B10" s="3" t="s">
        <v>15</v>
      </c>
      <c r="C10" s="16" t="s">
        <v>8</v>
      </c>
      <c r="D10" s="15">
        <v>3168</v>
      </c>
      <c r="E10" s="15">
        <v>144</v>
      </c>
      <c r="F10" s="6">
        <f t="shared" si="1"/>
        <v>22</v>
      </c>
    </row>
    <row r="11" spans="1:6" ht="25.5" x14ac:dyDescent="0.2">
      <c r="A11" s="7" t="s">
        <v>45</v>
      </c>
      <c r="B11" s="3" t="s">
        <v>16</v>
      </c>
      <c r="C11" s="16" t="s">
        <v>9</v>
      </c>
      <c r="D11" s="15">
        <v>2016</v>
      </c>
      <c r="E11" s="15">
        <v>144</v>
      </c>
      <c r="F11" s="6">
        <f t="shared" si="1"/>
        <v>14</v>
      </c>
    </row>
    <row r="12" spans="1:6" ht="25.5" x14ac:dyDescent="0.2">
      <c r="A12" s="7" t="s">
        <v>46</v>
      </c>
      <c r="B12" s="3" t="s">
        <v>20</v>
      </c>
      <c r="C12" s="16" t="s">
        <v>21</v>
      </c>
      <c r="D12" s="15">
        <v>2304</v>
      </c>
      <c r="E12" s="15">
        <v>144</v>
      </c>
      <c r="F12" s="6">
        <f t="shared" si="1"/>
        <v>16</v>
      </c>
    </row>
    <row r="13" spans="1:6" ht="25.5" x14ac:dyDescent="0.2">
      <c r="A13" s="10" t="s">
        <v>49</v>
      </c>
      <c r="B13" s="12" t="s">
        <v>34</v>
      </c>
      <c r="C13" s="17" t="s">
        <v>35</v>
      </c>
      <c r="D13" s="15">
        <v>1008</v>
      </c>
      <c r="E13" s="15">
        <v>144</v>
      </c>
      <c r="F13" s="6">
        <f t="shared" si="1"/>
        <v>7</v>
      </c>
    </row>
    <row r="14" spans="1:6" ht="25.5" x14ac:dyDescent="0.2">
      <c r="A14" s="10" t="s">
        <v>50</v>
      </c>
      <c r="B14" s="12" t="s">
        <v>36</v>
      </c>
      <c r="C14" s="18" t="s">
        <v>37</v>
      </c>
      <c r="D14" s="15">
        <v>432</v>
      </c>
      <c r="E14" s="15">
        <v>144</v>
      </c>
      <c r="F14" s="6">
        <f t="shared" si="1"/>
        <v>3</v>
      </c>
    </row>
    <row r="15" spans="1:6" ht="25.5" x14ac:dyDescent="0.2">
      <c r="A15" s="1" t="s">
        <v>51</v>
      </c>
      <c r="B15" s="3" t="s">
        <v>53</v>
      </c>
      <c r="C15" s="19" t="s">
        <v>27</v>
      </c>
      <c r="D15" s="15">
        <v>1152</v>
      </c>
      <c r="E15" s="15">
        <v>144</v>
      </c>
      <c r="F15" s="6">
        <f t="shared" si="1"/>
        <v>8</v>
      </c>
    </row>
    <row r="16" spans="1:6" ht="25.5" x14ac:dyDescent="0.2">
      <c r="A16" s="10" t="s">
        <v>40</v>
      </c>
      <c r="B16" s="11" t="s">
        <v>28</v>
      </c>
      <c r="C16" s="18" t="s">
        <v>29</v>
      </c>
      <c r="D16" s="15">
        <v>2448</v>
      </c>
      <c r="E16" s="15">
        <v>144</v>
      </c>
      <c r="F16" s="6">
        <f t="shared" si="1"/>
        <v>17</v>
      </c>
    </row>
    <row r="17" spans="1:6" ht="25.5" x14ac:dyDescent="0.2">
      <c r="A17" s="10" t="s">
        <v>41</v>
      </c>
      <c r="B17" s="11" t="s">
        <v>30</v>
      </c>
      <c r="C17" s="18" t="s">
        <v>31</v>
      </c>
      <c r="D17" s="15">
        <v>720</v>
      </c>
      <c r="E17" s="15">
        <v>144</v>
      </c>
      <c r="F17" s="6">
        <f t="shared" si="1"/>
        <v>5</v>
      </c>
    </row>
    <row r="18" spans="1:6" ht="25.5" x14ac:dyDescent="0.2">
      <c r="A18" s="10" t="s">
        <v>47</v>
      </c>
      <c r="B18" s="11" t="s">
        <v>32</v>
      </c>
      <c r="C18" s="18" t="s">
        <v>33</v>
      </c>
      <c r="D18" s="15">
        <v>432</v>
      </c>
      <c r="E18" s="15">
        <v>144</v>
      </c>
      <c r="F18" s="6">
        <f t="shared" si="1"/>
        <v>3</v>
      </c>
    </row>
    <row r="19" spans="1:6" x14ac:dyDescent="0.2">
      <c r="A19" s="8"/>
      <c r="B19" s="9"/>
      <c r="C19" s="5" t="s">
        <v>19</v>
      </c>
      <c r="D19" s="14">
        <f>SUBTOTAL(9,D4:D18)</f>
        <v>66004</v>
      </c>
      <c r="E19" s="1"/>
      <c r="F19" s="5">
        <f>SUM(F4:F18)</f>
        <v>365</v>
      </c>
    </row>
  </sheetData>
  <sortState ref="A5:AI47">
    <sortCondition ref="A5"/>
  </sortState>
  <mergeCells count="1">
    <mergeCell ref="A1:F1"/>
  </mergeCells>
  <phoneticPr fontId="0" type="noConversion"/>
  <pageMargins left="0.5" right="0.5" top="0.5" bottom="0.5" header="0" footer="0"/>
  <pageSetup paperSize="9"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J21"/>
  <sheetViews>
    <sheetView workbookViewId="0">
      <selection sqref="A1:F1"/>
    </sheetView>
  </sheetViews>
  <sheetFormatPr defaultColWidth="9.140625" defaultRowHeight="12.75" x14ac:dyDescent="0.2"/>
  <cols>
    <col min="1" max="1" width="11.28515625" style="43" bestFit="1" customWidth="1"/>
    <col min="2" max="2" width="32.7109375" style="43" bestFit="1" customWidth="1"/>
    <col min="3" max="3" width="14.140625" style="43" bestFit="1" customWidth="1"/>
    <col min="4" max="6" width="9.140625" style="43"/>
    <col min="7" max="16384" width="9.140625" style="4"/>
  </cols>
  <sheetData>
    <row r="1" spans="1:10" x14ac:dyDescent="0.2">
      <c r="A1" s="23" t="s">
        <v>54</v>
      </c>
      <c r="B1" s="24"/>
      <c r="C1" s="24"/>
      <c r="D1" s="24"/>
      <c r="E1" s="24"/>
      <c r="F1" s="25"/>
    </row>
    <row r="2" spans="1:10" ht="20.25" customHeight="1" x14ac:dyDescent="0.2">
      <c r="A2" s="26" t="s">
        <v>6</v>
      </c>
      <c r="B2" s="26" t="s">
        <v>0</v>
      </c>
      <c r="C2" s="26" t="s">
        <v>1</v>
      </c>
      <c r="D2" s="26" t="s">
        <v>22</v>
      </c>
      <c r="E2" s="26" t="s">
        <v>23</v>
      </c>
      <c r="F2" s="26" t="s">
        <v>55</v>
      </c>
    </row>
    <row r="3" spans="1:10" ht="20.25" customHeight="1" x14ac:dyDescent="0.2">
      <c r="A3" s="27"/>
      <c r="B3" s="28"/>
      <c r="C3" s="26"/>
      <c r="D3" s="29"/>
      <c r="E3" s="29"/>
      <c r="F3" s="26" t="s">
        <v>56</v>
      </c>
    </row>
    <row r="4" spans="1:10" x14ac:dyDescent="0.2">
      <c r="A4" s="30" t="s">
        <v>57</v>
      </c>
      <c r="B4" s="11" t="s">
        <v>58</v>
      </c>
      <c r="C4" s="31">
        <v>9319696300150</v>
      </c>
      <c r="D4" s="27">
        <v>5888</v>
      </c>
      <c r="E4" s="32">
        <v>184</v>
      </c>
      <c r="F4" s="27">
        <f t="shared" ref="F4:F20" si="0">ROUNDUP(D4/E4,)</f>
        <v>32</v>
      </c>
    </row>
    <row r="5" spans="1:10" x14ac:dyDescent="0.2">
      <c r="A5" s="30" t="s">
        <v>59</v>
      </c>
      <c r="B5" s="11" t="s">
        <v>60</v>
      </c>
      <c r="C5" s="31">
        <v>9319696300204</v>
      </c>
      <c r="D5" s="27">
        <v>5336</v>
      </c>
      <c r="E5" s="32">
        <v>184</v>
      </c>
      <c r="F5" s="27">
        <f t="shared" si="0"/>
        <v>29</v>
      </c>
    </row>
    <row r="6" spans="1:10" x14ac:dyDescent="0.2">
      <c r="A6" s="30" t="s">
        <v>61</v>
      </c>
      <c r="B6" s="11" t="s">
        <v>62</v>
      </c>
      <c r="C6" s="31">
        <v>9319696300259</v>
      </c>
      <c r="D6" s="27">
        <v>2208</v>
      </c>
      <c r="E6" s="29">
        <v>276</v>
      </c>
      <c r="F6" s="27">
        <f t="shared" si="0"/>
        <v>8</v>
      </c>
    </row>
    <row r="7" spans="1:10" x14ac:dyDescent="0.2">
      <c r="A7" s="30" t="s">
        <v>63</v>
      </c>
      <c r="B7" s="33" t="s">
        <v>64</v>
      </c>
      <c r="C7" s="34" t="s">
        <v>65</v>
      </c>
      <c r="D7" s="27">
        <v>2760</v>
      </c>
      <c r="E7" s="32">
        <v>184</v>
      </c>
      <c r="F7" s="27">
        <f t="shared" si="0"/>
        <v>15</v>
      </c>
    </row>
    <row r="8" spans="1:10" x14ac:dyDescent="0.2">
      <c r="A8" s="30" t="s">
        <v>66</v>
      </c>
      <c r="B8" s="33" t="s">
        <v>67</v>
      </c>
      <c r="C8" s="34" t="s">
        <v>68</v>
      </c>
      <c r="D8" s="27">
        <v>3036</v>
      </c>
      <c r="E8" s="29">
        <v>276</v>
      </c>
      <c r="F8" s="27">
        <f t="shared" si="0"/>
        <v>11</v>
      </c>
    </row>
    <row r="9" spans="1:10" x14ac:dyDescent="0.2">
      <c r="A9" s="30" t="s">
        <v>69</v>
      </c>
      <c r="B9" s="33" t="s">
        <v>70</v>
      </c>
      <c r="C9" s="34" t="s">
        <v>71</v>
      </c>
      <c r="D9" s="27">
        <v>2760</v>
      </c>
      <c r="E9" s="29">
        <v>276</v>
      </c>
      <c r="F9" s="27">
        <f t="shared" si="0"/>
        <v>10</v>
      </c>
    </row>
    <row r="10" spans="1:10" x14ac:dyDescent="0.2">
      <c r="A10" s="30" t="s">
        <v>72</v>
      </c>
      <c r="B10" s="12" t="s">
        <v>73</v>
      </c>
      <c r="C10" s="31">
        <v>9319696120154</v>
      </c>
      <c r="D10" s="27">
        <v>3864</v>
      </c>
      <c r="E10" s="35">
        <v>276</v>
      </c>
      <c r="F10" s="27">
        <f t="shared" si="0"/>
        <v>14</v>
      </c>
    </row>
    <row r="11" spans="1:10" x14ac:dyDescent="0.2">
      <c r="A11" s="30" t="s">
        <v>74</v>
      </c>
      <c r="B11" s="11" t="s">
        <v>75</v>
      </c>
      <c r="C11" s="31">
        <v>9319696120208</v>
      </c>
      <c r="D11" s="27">
        <v>1932</v>
      </c>
      <c r="E11" s="29">
        <v>276</v>
      </c>
      <c r="F11" s="27">
        <f t="shared" si="0"/>
        <v>7</v>
      </c>
    </row>
    <row r="12" spans="1:10" x14ac:dyDescent="0.2">
      <c r="A12" s="30" t="s">
        <v>76</v>
      </c>
      <c r="B12" s="11" t="s">
        <v>77</v>
      </c>
      <c r="C12" s="31">
        <v>9319696120253</v>
      </c>
      <c r="D12" s="27">
        <v>2760</v>
      </c>
      <c r="E12" s="29">
        <v>276</v>
      </c>
      <c r="F12" s="27">
        <f t="shared" si="0"/>
        <v>10</v>
      </c>
    </row>
    <row r="13" spans="1:10" x14ac:dyDescent="0.2">
      <c r="A13" s="36" t="s">
        <v>78</v>
      </c>
      <c r="B13" s="3" t="s">
        <v>79</v>
      </c>
      <c r="C13" s="37">
        <v>9319696400157</v>
      </c>
      <c r="D13" s="6">
        <v>23000</v>
      </c>
      <c r="E13" s="35">
        <v>184</v>
      </c>
      <c r="F13" s="6">
        <f t="shared" si="0"/>
        <v>125</v>
      </c>
      <c r="I13" s="38"/>
      <c r="J13" s="39"/>
    </row>
    <row r="14" spans="1:10" x14ac:dyDescent="0.2">
      <c r="A14" s="36" t="s">
        <v>80</v>
      </c>
      <c r="B14" s="3" t="s">
        <v>81</v>
      </c>
      <c r="C14" s="37">
        <v>9319696400201</v>
      </c>
      <c r="D14" s="6">
        <v>9752</v>
      </c>
      <c r="E14" s="35">
        <v>184</v>
      </c>
      <c r="F14" s="6">
        <f t="shared" si="0"/>
        <v>53</v>
      </c>
      <c r="I14" s="38"/>
      <c r="J14" s="39"/>
    </row>
    <row r="15" spans="1:10" x14ac:dyDescent="0.2">
      <c r="A15" s="36" t="s">
        <v>82</v>
      </c>
      <c r="B15" s="3" t="s">
        <v>83</v>
      </c>
      <c r="C15" s="37">
        <v>9319696400256</v>
      </c>
      <c r="D15" s="6">
        <v>8832</v>
      </c>
      <c r="E15" s="35">
        <v>184</v>
      </c>
      <c r="F15" s="6">
        <f t="shared" si="0"/>
        <v>48</v>
      </c>
      <c r="I15" s="38"/>
      <c r="J15" s="39"/>
    </row>
    <row r="16" spans="1:10" x14ac:dyDescent="0.2">
      <c r="A16" s="30" t="s">
        <v>84</v>
      </c>
      <c r="B16" s="11" t="s">
        <v>85</v>
      </c>
      <c r="C16" s="31">
        <v>9319696720156</v>
      </c>
      <c r="D16" s="27">
        <v>9752</v>
      </c>
      <c r="E16" s="32">
        <v>184</v>
      </c>
      <c r="F16" s="27">
        <f t="shared" si="0"/>
        <v>53</v>
      </c>
    </row>
    <row r="17" spans="1:6" x14ac:dyDescent="0.2">
      <c r="A17" s="30" t="s">
        <v>86</v>
      </c>
      <c r="B17" s="11" t="s">
        <v>87</v>
      </c>
      <c r="C17" s="31">
        <v>9319696725151</v>
      </c>
      <c r="D17" s="27">
        <v>2944</v>
      </c>
      <c r="E17" s="32">
        <v>184</v>
      </c>
      <c r="F17" s="27">
        <f t="shared" si="0"/>
        <v>16</v>
      </c>
    </row>
    <row r="18" spans="1:6" x14ac:dyDescent="0.2">
      <c r="A18" s="30" t="s">
        <v>88</v>
      </c>
      <c r="B18" s="11" t="s">
        <v>89</v>
      </c>
      <c r="C18" s="31">
        <v>9319696725205</v>
      </c>
      <c r="D18" s="27">
        <v>5336</v>
      </c>
      <c r="E18" s="32">
        <v>184</v>
      </c>
      <c r="F18" s="27">
        <f t="shared" si="0"/>
        <v>29</v>
      </c>
    </row>
    <row r="19" spans="1:6" x14ac:dyDescent="0.2">
      <c r="A19" s="30" t="s">
        <v>90</v>
      </c>
      <c r="B19" s="11" t="s">
        <v>91</v>
      </c>
      <c r="C19" s="31">
        <v>9319696740253</v>
      </c>
      <c r="D19" s="27">
        <v>2576</v>
      </c>
      <c r="E19" s="32">
        <v>184</v>
      </c>
      <c r="F19" s="27">
        <f t="shared" si="0"/>
        <v>14</v>
      </c>
    </row>
    <row r="20" spans="1:6" x14ac:dyDescent="0.2">
      <c r="A20" s="30" t="s">
        <v>92</v>
      </c>
      <c r="B20" s="12" t="s">
        <v>93</v>
      </c>
      <c r="C20" s="31">
        <v>9319696502004</v>
      </c>
      <c r="D20" s="27">
        <v>11040</v>
      </c>
      <c r="E20" s="32">
        <v>184</v>
      </c>
      <c r="F20" s="27">
        <f t="shared" si="0"/>
        <v>60</v>
      </c>
    </row>
    <row r="21" spans="1:6" x14ac:dyDescent="0.2">
      <c r="A21" s="40"/>
      <c r="B21" s="41"/>
      <c r="C21" s="42" t="s">
        <v>19</v>
      </c>
      <c r="D21" s="42">
        <f>SUBTOTAL(9,D4:D20)</f>
        <v>103776</v>
      </c>
      <c r="F21" s="42">
        <f>SUBTOTAL(9,F4:F20)</f>
        <v>534</v>
      </c>
    </row>
  </sheetData>
  <mergeCells count="1">
    <mergeCell ref="A1:F1"/>
  </mergeCells>
  <pageMargins left="0.51181102362204722" right="0.51181102362204722" top="0.51181102362204722" bottom="0.51181102362204722" header="0" footer="0"/>
  <pageSetup paperSize="9" scale="4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BarcodePP</vt:lpstr>
      <vt:lpstr>BarcodeGRN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2021-08-10T05:25:17Z</cp:lastPrinted>
  <dcterms:created xsi:type="dcterms:W3CDTF">2008-10-02T09:29:29Z</dcterms:created>
  <dcterms:modified xsi:type="dcterms:W3CDTF">2026-05-29T10:39:51Z</dcterms:modified>
</cp:coreProperties>
</file>