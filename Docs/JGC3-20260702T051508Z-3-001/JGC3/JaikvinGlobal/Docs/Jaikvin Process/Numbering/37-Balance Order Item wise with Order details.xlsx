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19425" windowHeight="10305"/>
  </bookViews>
  <sheets>
    <sheet name="Balance Orders" sheetId="3" r:id="rId1"/>
  </sheets>
  <definedNames>
    <definedName name="_xlnm._FilterDatabase" localSheetId="0" hidden="1">'Balance Orders'!$A$6:$X$257</definedName>
    <definedName name="_xlnm.Print_Titles" localSheetId="0">'Balance Orders'!$4:$6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59" i="3" l="1"/>
  <c r="M259" i="3"/>
  <c r="N259" i="3"/>
  <c r="P224" i="3" l="1"/>
  <c r="Q224" i="3" s="1"/>
  <c r="S224" i="3" s="1"/>
  <c r="U224" i="3" l="1"/>
  <c r="P198" i="3"/>
  <c r="Q198" i="3" s="1"/>
  <c r="U198" i="3" l="1"/>
  <c r="S198" i="3"/>
  <c r="O259" i="3" l="1"/>
  <c r="K259" i="3"/>
  <c r="J259" i="3"/>
  <c r="I259" i="3"/>
  <c r="H259" i="3"/>
  <c r="G259" i="3"/>
  <c r="P108" i="3" l="1"/>
  <c r="Q108" i="3" s="1"/>
  <c r="S108" i="3" l="1"/>
  <c r="U108" i="3"/>
  <c r="Q261" i="3"/>
  <c r="Q260" i="3"/>
  <c r="P257" i="3" l="1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7" i="3"/>
  <c r="P196" i="3"/>
  <c r="P195" i="3"/>
  <c r="P194" i="3"/>
  <c r="P193" i="3"/>
  <c r="P192" i="3"/>
  <c r="P191" i="3"/>
  <c r="P190" i="3"/>
  <c r="P189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Q114" i="3" s="1"/>
  <c r="P113" i="3"/>
  <c r="P112" i="3"/>
  <c r="P111" i="3"/>
  <c r="P109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S114" i="3" l="1"/>
  <c r="U114" i="3"/>
  <c r="P259" i="3"/>
  <c r="Q256" i="3" l="1"/>
  <c r="Q250" i="3"/>
  <c r="Q249" i="3"/>
  <c r="Q245" i="3"/>
  <c r="Q223" i="3"/>
  <c r="Q222" i="3"/>
  <c r="Q211" i="3"/>
  <c r="S250" i="3" l="1"/>
  <c r="U250" i="3"/>
  <c r="S211" i="3"/>
  <c r="U211" i="3"/>
  <c r="S256" i="3"/>
  <c r="U256" i="3"/>
  <c r="S222" i="3"/>
  <c r="U222" i="3"/>
  <c r="S223" i="3"/>
  <c r="U223" i="3"/>
  <c r="S245" i="3"/>
  <c r="U245" i="3"/>
  <c r="S249" i="3"/>
  <c r="U249" i="3"/>
  <c r="Q257" i="3" l="1"/>
  <c r="Q255" i="3"/>
  <c r="Q254" i="3"/>
  <c r="Q253" i="3"/>
  <c r="Q252" i="3"/>
  <c r="Q251" i="3"/>
  <c r="Q248" i="3"/>
  <c r="Q247" i="3"/>
  <c r="Q246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1" i="3"/>
  <c r="Q220" i="3"/>
  <c r="Q219" i="3"/>
  <c r="Q218" i="3"/>
  <c r="Q217" i="3"/>
  <c r="Q216" i="3"/>
  <c r="Q215" i="3"/>
  <c r="Q214" i="3"/>
  <c r="Q213" i="3"/>
  <c r="Q212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7" i="3"/>
  <c r="Q196" i="3"/>
  <c r="Q195" i="3"/>
  <c r="Q194" i="3"/>
  <c r="Q193" i="3"/>
  <c r="Q192" i="3"/>
  <c r="Q191" i="3"/>
  <c r="Q190" i="3"/>
  <c r="Q189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3" i="3"/>
  <c r="Q112" i="3"/>
  <c r="Q111" i="3"/>
  <c r="Q109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S29" i="3" l="1"/>
  <c r="U29" i="3"/>
  <c r="S46" i="3"/>
  <c r="U46" i="3"/>
  <c r="S71" i="3"/>
  <c r="U71" i="3"/>
  <c r="S97" i="3"/>
  <c r="U97" i="3"/>
  <c r="S130" i="3"/>
  <c r="U130" i="3"/>
  <c r="S168" i="3"/>
  <c r="U168" i="3"/>
  <c r="S180" i="3"/>
  <c r="U180" i="3"/>
  <c r="S200" i="3"/>
  <c r="U200" i="3"/>
  <c r="S206" i="3"/>
  <c r="U206" i="3"/>
  <c r="S228" i="3"/>
  <c r="U228" i="3"/>
  <c r="S234" i="3"/>
  <c r="U234" i="3"/>
  <c r="S255" i="3"/>
  <c r="U255" i="3"/>
  <c r="S12" i="3"/>
  <c r="U12" i="3"/>
  <c r="S41" i="3"/>
  <c r="U41" i="3"/>
  <c r="S66" i="3"/>
  <c r="U66" i="3"/>
  <c r="S92" i="3"/>
  <c r="U92" i="3"/>
  <c r="S104" i="3"/>
  <c r="U104" i="3"/>
  <c r="S125" i="3"/>
  <c r="U125" i="3"/>
  <c r="S150" i="3"/>
  <c r="U150" i="3"/>
  <c r="S175" i="3"/>
  <c r="U175" i="3"/>
  <c r="S194" i="3"/>
  <c r="U194" i="3"/>
  <c r="S214" i="3"/>
  <c r="U214" i="3"/>
  <c r="S248" i="3"/>
  <c r="U248" i="3"/>
  <c r="S19" i="3"/>
  <c r="U19" i="3"/>
  <c r="S48" i="3"/>
  <c r="U48" i="3"/>
  <c r="S74" i="3"/>
  <c r="U74" i="3"/>
  <c r="S93" i="3"/>
  <c r="U93" i="3"/>
  <c r="S105" i="3"/>
  <c r="U105" i="3"/>
  <c r="S113" i="3"/>
  <c r="U113" i="3"/>
  <c r="S132" i="3"/>
  <c r="U132" i="3"/>
  <c r="S144" i="3"/>
  <c r="U144" i="3"/>
  <c r="S158" i="3"/>
  <c r="U158" i="3"/>
  <c r="S176" i="3"/>
  <c r="U176" i="3"/>
  <c r="S182" i="3"/>
  <c r="U182" i="3"/>
  <c r="S202" i="3"/>
  <c r="U202" i="3"/>
  <c r="S208" i="3"/>
  <c r="U208" i="3"/>
  <c r="S215" i="3"/>
  <c r="U215" i="3"/>
  <c r="S221" i="3"/>
  <c r="U221" i="3"/>
  <c r="S230" i="3"/>
  <c r="U230" i="3"/>
  <c r="S236" i="3"/>
  <c r="U236" i="3"/>
  <c r="S242" i="3"/>
  <c r="U242" i="3"/>
  <c r="S32" i="3"/>
  <c r="U32" i="3"/>
  <c r="S55" i="3"/>
  <c r="U55" i="3"/>
  <c r="S81" i="3"/>
  <c r="U81" i="3"/>
  <c r="S94" i="3"/>
  <c r="U94" i="3"/>
  <c r="S115" i="3"/>
  <c r="U115" i="3"/>
  <c r="S121" i="3"/>
  <c r="U121" i="3"/>
  <c r="S127" i="3"/>
  <c r="U127" i="3"/>
  <c r="S133" i="3"/>
  <c r="U133" i="3"/>
  <c r="S139" i="3"/>
  <c r="U139" i="3"/>
  <c r="S146" i="3"/>
  <c r="U146" i="3"/>
  <c r="S152" i="3"/>
  <c r="U152" i="3"/>
  <c r="S155" i="3"/>
  <c r="U155" i="3"/>
  <c r="S159" i="3"/>
  <c r="U159" i="3"/>
  <c r="S165" i="3"/>
  <c r="U165" i="3"/>
  <c r="S171" i="3"/>
  <c r="U171" i="3"/>
  <c r="S177" i="3"/>
  <c r="U177" i="3"/>
  <c r="S183" i="3"/>
  <c r="U183" i="3"/>
  <c r="S190" i="3"/>
  <c r="U190" i="3"/>
  <c r="S196" i="3"/>
  <c r="U196" i="3"/>
  <c r="S203" i="3"/>
  <c r="U203" i="3"/>
  <c r="S209" i="3"/>
  <c r="U209" i="3"/>
  <c r="S216" i="3"/>
  <c r="U216" i="3"/>
  <c r="S225" i="3"/>
  <c r="U225" i="3"/>
  <c r="S231" i="3"/>
  <c r="U231" i="3"/>
  <c r="S237" i="3"/>
  <c r="U237" i="3"/>
  <c r="S243" i="3"/>
  <c r="U243" i="3"/>
  <c r="S252" i="3"/>
  <c r="U252" i="3"/>
  <c r="S11" i="3"/>
  <c r="U11" i="3"/>
  <c r="S24" i="3"/>
  <c r="U24" i="3"/>
  <c r="S65" i="3"/>
  <c r="U65" i="3"/>
  <c r="S91" i="3"/>
  <c r="U91" i="3"/>
  <c r="S124" i="3"/>
  <c r="U124" i="3"/>
  <c r="S186" i="3"/>
  <c r="U186" i="3"/>
  <c r="S219" i="3"/>
  <c r="U219" i="3"/>
  <c r="S240" i="3"/>
  <c r="U240" i="3"/>
  <c r="S30" i="3"/>
  <c r="U30" i="3"/>
  <c r="S53" i="3"/>
  <c r="U53" i="3"/>
  <c r="S85" i="3"/>
  <c r="U85" i="3"/>
  <c r="S112" i="3"/>
  <c r="U112" i="3"/>
  <c r="S137" i="3"/>
  <c r="U137" i="3"/>
  <c r="S169" i="3"/>
  <c r="U169" i="3"/>
  <c r="S187" i="3"/>
  <c r="U187" i="3"/>
  <c r="S207" i="3"/>
  <c r="U207" i="3"/>
  <c r="S229" i="3"/>
  <c r="U229" i="3"/>
  <c r="S241" i="3"/>
  <c r="U241" i="3"/>
  <c r="S31" i="3"/>
  <c r="U31" i="3"/>
  <c r="S61" i="3"/>
  <c r="U61" i="3"/>
  <c r="S86" i="3"/>
  <c r="U86" i="3"/>
  <c r="S120" i="3"/>
  <c r="U120" i="3"/>
  <c r="S151" i="3"/>
  <c r="U151" i="3"/>
  <c r="S170" i="3"/>
  <c r="U170" i="3"/>
  <c r="S189" i="3"/>
  <c r="U189" i="3"/>
  <c r="S14" i="3"/>
  <c r="U14" i="3"/>
  <c r="S26" i="3"/>
  <c r="U26" i="3"/>
  <c r="S39" i="3"/>
  <c r="U39" i="3"/>
  <c r="S49" i="3"/>
  <c r="U49" i="3"/>
  <c r="S62" i="3"/>
  <c r="U62" i="3"/>
  <c r="S68" i="3"/>
  <c r="U68" i="3"/>
  <c r="S75" i="3"/>
  <c r="U75" i="3"/>
  <c r="S87" i="3"/>
  <c r="U87" i="3"/>
  <c r="S100" i="3"/>
  <c r="U100" i="3"/>
  <c r="S15" i="3"/>
  <c r="U15" i="3"/>
  <c r="S22" i="3"/>
  <c r="U22" i="3"/>
  <c r="S27" i="3"/>
  <c r="U27" i="3"/>
  <c r="S33" i="3"/>
  <c r="U33" i="3"/>
  <c r="S40" i="3"/>
  <c r="U40" i="3"/>
  <c r="S44" i="3"/>
  <c r="U44" i="3"/>
  <c r="S50" i="3"/>
  <c r="U50" i="3"/>
  <c r="S56" i="3"/>
  <c r="U56" i="3"/>
  <c r="S63" i="3"/>
  <c r="U63" i="3"/>
  <c r="S69" i="3"/>
  <c r="U69" i="3"/>
  <c r="S76" i="3"/>
  <c r="U76" i="3"/>
  <c r="S82" i="3"/>
  <c r="U82" i="3"/>
  <c r="S88" i="3"/>
  <c r="U88" i="3"/>
  <c r="S95" i="3"/>
  <c r="U95" i="3"/>
  <c r="S101" i="3"/>
  <c r="U101" i="3"/>
  <c r="S107" i="3"/>
  <c r="U107" i="3"/>
  <c r="S116" i="3"/>
  <c r="U116" i="3"/>
  <c r="S122" i="3"/>
  <c r="U122" i="3"/>
  <c r="S128" i="3"/>
  <c r="U128" i="3"/>
  <c r="S134" i="3"/>
  <c r="U134" i="3"/>
  <c r="S140" i="3"/>
  <c r="U140" i="3"/>
  <c r="S147" i="3"/>
  <c r="U147" i="3"/>
  <c r="S156" i="3"/>
  <c r="U156" i="3"/>
  <c r="S160" i="3"/>
  <c r="U160" i="3"/>
  <c r="S166" i="3"/>
  <c r="U166" i="3"/>
  <c r="S172" i="3"/>
  <c r="U172" i="3"/>
  <c r="S178" i="3"/>
  <c r="U178" i="3"/>
  <c r="S184" i="3"/>
  <c r="U184" i="3"/>
  <c r="S191" i="3"/>
  <c r="U191" i="3"/>
  <c r="S197" i="3"/>
  <c r="U197" i="3"/>
  <c r="S204" i="3"/>
  <c r="U204" i="3"/>
  <c r="S210" i="3"/>
  <c r="U210" i="3"/>
  <c r="S217" i="3"/>
  <c r="U217" i="3"/>
  <c r="S226" i="3"/>
  <c r="U226" i="3"/>
  <c r="S232" i="3"/>
  <c r="U232" i="3"/>
  <c r="S238" i="3"/>
  <c r="U238" i="3"/>
  <c r="S244" i="3"/>
  <c r="U244" i="3"/>
  <c r="S253" i="3"/>
  <c r="U253" i="3"/>
  <c r="S17" i="3"/>
  <c r="U17" i="3"/>
  <c r="S35" i="3"/>
  <c r="U35" i="3"/>
  <c r="S52" i="3"/>
  <c r="U52" i="3"/>
  <c r="S59" i="3"/>
  <c r="U59" i="3"/>
  <c r="S78" i="3"/>
  <c r="U78" i="3"/>
  <c r="S84" i="3"/>
  <c r="U84" i="3"/>
  <c r="S103" i="3"/>
  <c r="U103" i="3"/>
  <c r="S111" i="3"/>
  <c r="U111" i="3"/>
  <c r="S118" i="3"/>
  <c r="U118" i="3"/>
  <c r="S136" i="3"/>
  <c r="U136" i="3"/>
  <c r="S142" i="3"/>
  <c r="U142" i="3"/>
  <c r="S149" i="3"/>
  <c r="U149" i="3"/>
  <c r="S162" i="3"/>
  <c r="U162" i="3"/>
  <c r="S174" i="3"/>
  <c r="U174" i="3"/>
  <c r="S193" i="3"/>
  <c r="U193" i="3"/>
  <c r="S213" i="3"/>
  <c r="U213" i="3"/>
  <c r="S247" i="3"/>
  <c r="U247" i="3"/>
  <c r="S8" i="3"/>
  <c r="U8" i="3"/>
  <c r="S18" i="3"/>
  <c r="U18" i="3"/>
  <c r="S36" i="3"/>
  <c r="U36" i="3"/>
  <c r="S47" i="3"/>
  <c r="U47" i="3"/>
  <c r="S60" i="3"/>
  <c r="U60" i="3"/>
  <c r="S72" i="3"/>
  <c r="U72" i="3"/>
  <c r="S79" i="3"/>
  <c r="U79" i="3"/>
  <c r="S98" i="3"/>
  <c r="U98" i="3"/>
  <c r="S119" i="3"/>
  <c r="U119" i="3"/>
  <c r="S131" i="3"/>
  <c r="U131" i="3"/>
  <c r="S143" i="3"/>
  <c r="U143" i="3"/>
  <c r="S153" i="3"/>
  <c r="U153" i="3"/>
  <c r="S163" i="3"/>
  <c r="U163" i="3"/>
  <c r="S181" i="3"/>
  <c r="U181" i="3"/>
  <c r="S201" i="3"/>
  <c r="U201" i="3"/>
  <c r="S220" i="3"/>
  <c r="U220" i="3"/>
  <c r="S235" i="3"/>
  <c r="U235" i="3"/>
  <c r="S257" i="3"/>
  <c r="U257" i="3"/>
  <c r="S13" i="3"/>
  <c r="U13" i="3"/>
  <c r="S25" i="3"/>
  <c r="U25" i="3"/>
  <c r="S37" i="3"/>
  <c r="U37" i="3"/>
  <c r="S42" i="3"/>
  <c r="U42" i="3"/>
  <c r="S54" i="3"/>
  <c r="U54" i="3"/>
  <c r="S67" i="3"/>
  <c r="U67" i="3"/>
  <c r="S80" i="3"/>
  <c r="U80" i="3"/>
  <c r="S99" i="3"/>
  <c r="U99" i="3"/>
  <c r="S126" i="3"/>
  <c r="U126" i="3"/>
  <c r="S138" i="3"/>
  <c r="U138" i="3"/>
  <c r="S154" i="3"/>
  <c r="U154" i="3"/>
  <c r="S164" i="3"/>
  <c r="U164" i="3"/>
  <c r="S195" i="3"/>
  <c r="U195" i="3"/>
  <c r="S251" i="3"/>
  <c r="U251" i="3"/>
  <c r="S20" i="3"/>
  <c r="U20" i="3"/>
  <c r="S43" i="3"/>
  <c r="U43" i="3"/>
  <c r="S106" i="3"/>
  <c r="U106" i="3"/>
  <c r="S9" i="3"/>
  <c r="U9" i="3"/>
  <c r="S10" i="3"/>
  <c r="U10" i="3"/>
  <c r="S16" i="3"/>
  <c r="U16" i="3"/>
  <c r="S23" i="3"/>
  <c r="U23" i="3"/>
  <c r="S28" i="3"/>
  <c r="U28" i="3"/>
  <c r="S34" i="3"/>
  <c r="U34" i="3"/>
  <c r="S45" i="3"/>
  <c r="U45" i="3"/>
  <c r="S51" i="3"/>
  <c r="U51" i="3"/>
  <c r="S58" i="3"/>
  <c r="U58" i="3"/>
  <c r="S64" i="3"/>
  <c r="U64" i="3"/>
  <c r="S70" i="3"/>
  <c r="U70" i="3"/>
  <c r="S77" i="3"/>
  <c r="U77" i="3"/>
  <c r="S83" i="3"/>
  <c r="U83" i="3"/>
  <c r="S89" i="3"/>
  <c r="U89" i="3"/>
  <c r="S96" i="3"/>
  <c r="U96" i="3"/>
  <c r="S102" i="3"/>
  <c r="U102" i="3"/>
  <c r="S109" i="3"/>
  <c r="U109" i="3"/>
  <c r="S117" i="3"/>
  <c r="U117" i="3"/>
  <c r="S123" i="3"/>
  <c r="U123" i="3"/>
  <c r="S129" i="3"/>
  <c r="U129" i="3"/>
  <c r="S135" i="3"/>
  <c r="U135" i="3"/>
  <c r="S141" i="3"/>
  <c r="U141" i="3"/>
  <c r="S148" i="3"/>
  <c r="U148" i="3"/>
  <c r="S157" i="3"/>
  <c r="U157" i="3"/>
  <c r="S161" i="3"/>
  <c r="U161" i="3"/>
  <c r="S167" i="3"/>
  <c r="U167" i="3"/>
  <c r="S173" i="3"/>
  <c r="U173" i="3"/>
  <c r="S179" i="3"/>
  <c r="U179" i="3"/>
  <c r="S185" i="3"/>
  <c r="U185" i="3"/>
  <c r="S192" i="3"/>
  <c r="U192" i="3"/>
  <c r="S199" i="3"/>
  <c r="U199" i="3"/>
  <c r="S205" i="3"/>
  <c r="U205" i="3"/>
  <c r="S212" i="3"/>
  <c r="U212" i="3"/>
  <c r="S218" i="3"/>
  <c r="U218" i="3"/>
  <c r="S227" i="3"/>
  <c r="U227" i="3"/>
  <c r="S233" i="3"/>
  <c r="U233" i="3"/>
  <c r="S239" i="3"/>
  <c r="U239" i="3"/>
  <c r="S246" i="3"/>
  <c r="U246" i="3"/>
  <c r="S254" i="3"/>
  <c r="U254" i="3"/>
  <c r="Q259" i="3" l="1"/>
  <c r="U259" i="3"/>
  <c r="S259" i="3"/>
</calcChain>
</file>

<file path=xl/sharedStrings.xml><?xml version="1.0" encoding="utf-8"?>
<sst xmlns="http://schemas.openxmlformats.org/spreadsheetml/2006/main" count="473" uniqueCount="316">
  <si>
    <t>GD CODE</t>
  </si>
  <si>
    <t xml:space="preserve">CODE </t>
  </si>
  <si>
    <t xml:space="preserve">SIZE </t>
  </si>
  <si>
    <t>LENGTH</t>
  </si>
  <si>
    <t xml:space="preserve">PACKING </t>
  </si>
  <si>
    <t>QUANTITY</t>
  </si>
  <si>
    <t>VOLUMN</t>
  </si>
  <si>
    <t xml:space="preserve">15 MM (1/2") </t>
  </si>
  <si>
    <t>MM / IN</t>
  </si>
  <si>
    <t>MM</t>
  </si>
  <si>
    <t>UNIT</t>
  </si>
  <si>
    <t>BOX</t>
  </si>
  <si>
    <t>PCS</t>
  </si>
  <si>
    <t>PER BOX</t>
  </si>
  <si>
    <t>TOTAL</t>
  </si>
  <si>
    <t>PE-1572</t>
  </si>
  <si>
    <t>PE-1560</t>
  </si>
  <si>
    <t>PE-1548</t>
  </si>
  <si>
    <t>PE-1536</t>
  </si>
  <si>
    <t>PE-1536-PH</t>
  </si>
  <si>
    <t>1/2"</t>
  </si>
  <si>
    <t>PE-1530</t>
  </si>
  <si>
    <t>PP-1524</t>
  </si>
  <si>
    <t>PP-1524-PH</t>
  </si>
  <si>
    <t>PP-1518</t>
  </si>
  <si>
    <t>PP-1518-PH</t>
  </si>
  <si>
    <t>PP-1515</t>
  </si>
  <si>
    <t xml:space="preserve">20MM(3/4") </t>
  </si>
  <si>
    <t>PE-2096</t>
  </si>
  <si>
    <t>PE-2083</t>
  </si>
  <si>
    <t>PE-2072</t>
  </si>
  <si>
    <t>PE-2060</t>
  </si>
  <si>
    <t>PE-2048</t>
  </si>
  <si>
    <t>PE-2036</t>
  </si>
  <si>
    <t>PE-2036-PH</t>
  </si>
  <si>
    <t>3/4"</t>
  </si>
  <si>
    <t>PE-2030</t>
  </si>
  <si>
    <t>PE-2030-PH</t>
  </si>
  <si>
    <t>PE-2024</t>
  </si>
  <si>
    <t>PE-2024-PH</t>
  </si>
  <si>
    <t>PE-2018</t>
  </si>
  <si>
    <t>PE-2018-PH</t>
  </si>
  <si>
    <t>PP-2010-PH</t>
  </si>
  <si>
    <t>PP-2004</t>
  </si>
  <si>
    <t>PP-2004-PH</t>
  </si>
  <si>
    <t>25mm(1")</t>
  </si>
  <si>
    <t>PE-2583-PH</t>
  </si>
  <si>
    <t>1"</t>
  </si>
  <si>
    <t>PE-2572</t>
  </si>
  <si>
    <t xml:space="preserve">PP-2572-PH </t>
  </si>
  <si>
    <t>PE-2565</t>
  </si>
  <si>
    <t>PE-2560</t>
  </si>
  <si>
    <t>PE-2548</t>
  </si>
  <si>
    <t>PE-2548-PH</t>
  </si>
  <si>
    <t>PE-2536</t>
  </si>
  <si>
    <t>PE-2536-PH</t>
  </si>
  <si>
    <t>PE-2530</t>
  </si>
  <si>
    <t>PE-2530-PH</t>
  </si>
  <si>
    <t>PE-2524</t>
  </si>
  <si>
    <t>PE-2524-PH</t>
  </si>
  <si>
    <t>PE-2518</t>
  </si>
  <si>
    <t>PE-2518-PH</t>
  </si>
  <si>
    <t>PE-2515</t>
  </si>
  <si>
    <t>PE 2515</t>
  </si>
  <si>
    <t>PP-2511-PH</t>
  </si>
  <si>
    <t>PP-2508</t>
  </si>
  <si>
    <t>32 MM (1.1/4")</t>
  </si>
  <si>
    <t>PE-3204</t>
  </si>
  <si>
    <t>PE-3206</t>
  </si>
  <si>
    <t>PE-3206-PH</t>
  </si>
  <si>
    <t>PE-3208</t>
  </si>
  <si>
    <t>PE-3212</t>
  </si>
  <si>
    <t>PE-3212-PH</t>
  </si>
  <si>
    <t>1-1/4"</t>
  </si>
  <si>
    <t>PE-3218</t>
  </si>
  <si>
    <t>PE-3218-PH</t>
  </si>
  <si>
    <t>PE-3224</t>
  </si>
  <si>
    <t>PE-3224-PH</t>
  </si>
  <si>
    <t>PE-3230</t>
  </si>
  <si>
    <t>PE-3236</t>
  </si>
  <si>
    <t>PE-3236-PH</t>
  </si>
  <si>
    <t>PE-3248</t>
  </si>
  <si>
    <t>PE-3272-PH</t>
  </si>
  <si>
    <t>40 MM (1.1/2")</t>
  </si>
  <si>
    <t>PE-4004</t>
  </si>
  <si>
    <t>PE-4006</t>
  </si>
  <si>
    <t>PE-4006-PH</t>
  </si>
  <si>
    <t>90447200</t>
  </si>
  <si>
    <t>PE-4008</t>
  </si>
  <si>
    <t>PE-4012</t>
  </si>
  <si>
    <t>PE-4012-PH</t>
  </si>
  <si>
    <t>1-1/2"</t>
  </si>
  <si>
    <t>PE-4018</t>
  </si>
  <si>
    <t>PE-4018-PH</t>
  </si>
  <si>
    <t>PE-4024</t>
  </si>
  <si>
    <t>PE-4024-PH</t>
  </si>
  <si>
    <t>PE-4030</t>
  </si>
  <si>
    <t>PE-4036</t>
  </si>
  <si>
    <t>PE-4036-PH</t>
  </si>
  <si>
    <t>PE-4048</t>
  </si>
  <si>
    <t>PE-4079</t>
  </si>
  <si>
    <t>50 MM (2")</t>
  </si>
  <si>
    <t>PE-5004</t>
  </si>
  <si>
    <t>PE-5006</t>
  </si>
  <si>
    <t>PE-5006-PH</t>
  </si>
  <si>
    <t>2"</t>
  </si>
  <si>
    <t>PE-5008</t>
  </si>
  <si>
    <t>PE-5012</t>
  </si>
  <si>
    <t>PE-5012-PH</t>
  </si>
  <si>
    <t>PE-5018</t>
  </si>
  <si>
    <t>PE-5018-PH</t>
  </si>
  <si>
    <t>PE-5024</t>
  </si>
  <si>
    <t>PE-5024-PH</t>
  </si>
  <si>
    <t>PE-5028-PH</t>
  </si>
  <si>
    <t>PE-5030</t>
  </si>
  <si>
    <t>PE-5036</t>
  </si>
  <si>
    <t>PE-5036-PH</t>
  </si>
  <si>
    <t>PE-5048</t>
  </si>
  <si>
    <t>PE-5048-PH</t>
  </si>
  <si>
    <t>90448800</t>
  </si>
  <si>
    <t>PE-5095-PH</t>
  </si>
  <si>
    <t>90448900</t>
  </si>
  <si>
    <t>PP PIPES M/F THREADED</t>
  </si>
  <si>
    <t>PMF-2006</t>
  </si>
  <si>
    <t>PMF-2006-PH</t>
  </si>
  <si>
    <t>PMF-2008</t>
  </si>
  <si>
    <t>PMF-2012</t>
  </si>
  <si>
    <t>PMF-2012-PH</t>
  </si>
  <si>
    <t>PMF-2018</t>
  </si>
  <si>
    <t>PMF-2018-PH</t>
  </si>
  <si>
    <t>PMF-2024</t>
  </si>
  <si>
    <t>PMF-2024-PH</t>
  </si>
  <si>
    <t>PMF-2030</t>
  </si>
  <si>
    <t>PMF-2030-PH</t>
  </si>
  <si>
    <t>PMF-2036</t>
  </si>
  <si>
    <t>PMF-2036-PH</t>
  </si>
  <si>
    <t>PMF-2048</t>
  </si>
  <si>
    <t>PMF 2060</t>
  </si>
  <si>
    <t>PMF-2072</t>
  </si>
  <si>
    <t>PMF-2506</t>
  </si>
  <si>
    <t>PMF-2506-PH</t>
  </si>
  <si>
    <t>PMF-2512</t>
  </si>
  <si>
    <t>PMF-2512-PH</t>
  </si>
  <si>
    <t>PMF-2518</t>
  </si>
  <si>
    <t>PMF-2518-PH</t>
  </si>
  <si>
    <t>PMF-2524</t>
  </si>
  <si>
    <t>PMF-2524-PH</t>
  </si>
  <si>
    <t>PMF-2530</t>
  </si>
  <si>
    <t>PMF-2530-PH</t>
  </si>
  <si>
    <t>90445700</t>
  </si>
  <si>
    <t>PMF-2536</t>
  </si>
  <si>
    <t>PMF-2536-PH</t>
  </si>
  <si>
    <t>90445800</t>
  </si>
  <si>
    <t>PMF-2548</t>
  </si>
  <si>
    <t>PMF-2560</t>
  </si>
  <si>
    <t>PMF-2572</t>
  </si>
  <si>
    <t>PMF-2572-PH</t>
  </si>
  <si>
    <t>PMF-2595-PH</t>
  </si>
  <si>
    <t>PP-1501 / 5</t>
  </si>
  <si>
    <t>PP-1504</t>
  </si>
  <si>
    <t>PP-1506</t>
  </si>
  <si>
    <t>PP-1506-PH</t>
  </si>
  <si>
    <t>FFC-15</t>
  </si>
  <si>
    <t>FFC-25</t>
  </si>
  <si>
    <t>PET-1512</t>
  </si>
  <si>
    <t>NYLON MOULDED FITTINGS</t>
  </si>
  <si>
    <t>PP MOULDED FITTINGS</t>
  </si>
  <si>
    <t>GRC15</t>
  </si>
  <si>
    <t>GRC20</t>
  </si>
  <si>
    <t>GRC25</t>
  </si>
  <si>
    <t>GRP15</t>
  </si>
  <si>
    <t>GRP20</t>
  </si>
  <si>
    <t>GRP25</t>
  </si>
  <si>
    <t>GRS15</t>
  </si>
  <si>
    <t>GRS20</t>
  </si>
  <si>
    <t>GRS25</t>
  </si>
  <si>
    <t>GRT15</t>
  </si>
  <si>
    <t>GRT20</t>
  </si>
  <si>
    <t>GRT25</t>
  </si>
  <si>
    <t>GRRS2015</t>
  </si>
  <si>
    <t>GRRS2520</t>
  </si>
  <si>
    <t>GRRN2015</t>
  </si>
  <si>
    <t>GRRN2515</t>
  </si>
  <si>
    <t>GRRN2520</t>
  </si>
  <si>
    <t>GRMFE15</t>
  </si>
  <si>
    <t>GRMFE20</t>
  </si>
  <si>
    <t>GRMFE25</t>
  </si>
  <si>
    <t>20*15</t>
  </si>
  <si>
    <t>25*20</t>
  </si>
  <si>
    <t>25*15</t>
  </si>
  <si>
    <t>PP-1502</t>
  </si>
  <si>
    <t>PP-1503</t>
  </si>
  <si>
    <t xml:space="preserve">PP-1505 </t>
  </si>
  <si>
    <t>PP-1505</t>
  </si>
  <si>
    <t>PP-1508</t>
  </si>
  <si>
    <t>PP-1509</t>
  </si>
  <si>
    <t>PP-1512</t>
  </si>
  <si>
    <t>PP-1512-PH</t>
  </si>
  <si>
    <t>PPA-1506</t>
  </si>
  <si>
    <t>PPA-1508</t>
  </si>
  <si>
    <t>PPA-1512</t>
  </si>
  <si>
    <t>MFE-15</t>
  </si>
  <si>
    <t>CAP-15</t>
  </si>
  <si>
    <t>CUTPL-15</t>
  </si>
  <si>
    <t>CUT-15</t>
  </si>
  <si>
    <t>CUTMF-15</t>
  </si>
  <si>
    <t>PP-2002</t>
  </si>
  <si>
    <t>PP-2003</t>
  </si>
  <si>
    <t>PP-2006</t>
  </si>
  <si>
    <t>PP-2006-PH</t>
  </si>
  <si>
    <t>PP-2008</t>
  </si>
  <si>
    <t>PP-2012</t>
  </si>
  <si>
    <t>PP-2012-PH</t>
  </si>
  <si>
    <t>PPA-2008</t>
  </si>
  <si>
    <t>PPA-2012</t>
  </si>
  <si>
    <t>MFE-20</t>
  </si>
  <si>
    <t>FFC-20</t>
  </si>
  <si>
    <t>PP-2504</t>
  </si>
  <si>
    <t>PP-2504-PH</t>
  </si>
  <si>
    <t>PP-2506</t>
  </si>
  <si>
    <t>PP-2506-PH</t>
  </si>
  <si>
    <t>PP-2512</t>
  </si>
  <si>
    <t>PP-2512-PH</t>
  </si>
  <si>
    <t>PPA-2512</t>
  </si>
  <si>
    <t>MFE-25</t>
  </si>
  <si>
    <t>MFA-15</t>
  </si>
  <si>
    <t>GRE15</t>
  </si>
  <si>
    <t>GRE20</t>
  </si>
  <si>
    <t>GRE25</t>
  </si>
  <si>
    <t>GRN15</t>
  </si>
  <si>
    <t>GRN20</t>
  </si>
  <si>
    <t>GRN25</t>
  </si>
  <si>
    <t>GRRB2015</t>
  </si>
  <si>
    <t>GRRB2515</t>
  </si>
  <si>
    <t>GRRB2520</t>
  </si>
  <si>
    <t>GRRB4025</t>
  </si>
  <si>
    <t>GRMHT15</t>
  </si>
  <si>
    <t>GRMHT20</t>
  </si>
  <si>
    <t>GRMHT25</t>
  </si>
  <si>
    <t>GRFTF-15</t>
  </si>
  <si>
    <t>GRFTF-20</t>
  </si>
  <si>
    <t>GRFTF-25</t>
  </si>
  <si>
    <t>40*25</t>
  </si>
  <si>
    <t>PE-1583</t>
  </si>
  <si>
    <t>PE-4072-PH</t>
  </si>
  <si>
    <t>GRFTF-50</t>
  </si>
  <si>
    <t>GRMHT40</t>
  </si>
  <si>
    <t>GRMHT50</t>
  </si>
  <si>
    <t>PMF-2548-PH</t>
  </si>
  <si>
    <t>GRFTF-40</t>
  </si>
  <si>
    <t xml:space="preserve"> </t>
  </si>
  <si>
    <t>GRMHT32</t>
  </si>
  <si>
    <t>GRFTF-32</t>
  </si>
  <si>
    <t>GRMFE50</t>
  </si>
  <si>
    <t>GRS50</t>
  </si>
  <si>
    <t>GRN32</t>
  </si>
  <si>
    <t>GRN40</t>
  </si>
  <si>
    <t>GRN50</t>
  </si>
  <si>
    <t>GRRB4032</t>
  </si>
  <si>
    <t>40*32</t>
  </si>
  <si>
    <t>GRC32</t>
  </si>
  <si>
    <t>GRC50</t>
  </si>
  <si>
    <t>GRT32</t>
  </si>
  <si>
    <t>GRT40</t>
  </si>
  <si>
    <t>GRC40</t>
  </si>
  <si>
    <t>GRE40</t>
  </si>
  <si>
    <t>GRE50</t>
  </si>
  <si>
    <t>GRRB5032</t>
  </si>
  <si>
    <t>50*32</t>
  </si>
  <si>
    <t>GRRB5040</t>
  </si>
  <si>
    <t>50*40</t>
  </si>
  <si>
    <t>TOTAL PCS</t>
  </si>
  <si>
    <t>TOTAL PACKAGES</t>
  </si>
  <si>
    <t>TOTAL VOLUME</t>
  </si>
  <si>
    <t>GRRB3225</t>
  </si>
  <si>
    <t>32*25</t>
  </si>
  <si>
    <t>GRMFE32</t>
  </si>
  <si>
    <t>GRRB4020</t>
  </si>
  <si>
    <t>40*20</t>
  </si>
  <si>
    <t>03417</t>
  </si>
  <si>
    <t>14.10.2025</t>
  </si>
  <si>
    <t>PE-5072-PH</t>
  </si>
  <si>
    <t>90448820</t>
  </si>
  <si>
    <t>03455</t>
  </si>
  <si>
    <t>04.11.2025</t>
  </si>
  <si>
    <t>03539</t>
  </si>
  <si>
    <t>08.01.2026</t>
  </si>
  <si>
    <t>GRMFE40</t>
  </si>
  <si>
    <t>GRP32</t>
  </si>
  <si>
    <t>GRP40</t>
  </si>
  <si>
    <t>GRRS4032</t>
  </si>
  <si>
    <t>GRS32</t>
  </si>
  <si>
    <t>GRS40</t>
  </si>
  <si>
    <t>GRT50</t>
  </si>
  <si>
    <t>03583</t>
  </si>
  <si>
    <t>12.02.2026</t>
  </si>
  <si>
    <t>03616</t>
  </si>
  <si>
    <t>04.03.2026</t>
  </si>
  <si>
    <t>PE-5076-PH</t>
  </si>
  <si>
    <t>03658</t>
  </si>
  <si>
    <t>02.04.2026</t>
  </si>
  <si>
    <t>Net Weight</t>
  </si>
  <si>
    <t>Per Box</t>
  </si>
  <si>
    <t xml:space="preserve">Total </t>
  </si>
  <si>
    <t>Total</t>
  </si>
  <si>
    <t>NEW QUOTE
15.04.2026</t>
  </si>
  <si>
    <t>OLD QUOTE
01.01.2025</t>
  </si>
  <si>
    <t>US$ / Pc</t>
  </si>
  <si>
    <t>US$ / 100 Pcs</t>
  </si>
  <si>
    <t>GRE32</t>
  </si>
  <si>
    <t>GRP50</t>
  </si>
  <si>
    <t>JG/2026/1075 DT 31.05.2026</t>
  </si>
  <si>
    <t>BALANCE ORDERS AS ON 31.05.2026 AFTER OUR INV NO JG/26-27/6003 DT 25.05.2026</t>
  </si>
  <si>
    <t>03671</t>
  </si>
  <si>
    <t>14.04.2026</t>
  </si>
  <si>
    <t>13.05.2026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</si>
</sst>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[$$-409]#,##0.00"/>
    <numFmt numFmtId="166" formatCode="[$$-C09]#,##0.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90">
    <xf numFmtId="0" fontId="0" fillId="0" borderId="0" xfId="0"/>
    <xf numFmtId="0" fontId="2" fillId="0" borderId="5" xfId="1" applyFont="1" applyBorder="1" applyAlignment="1">
      <alignment horizontal="left" vertical="center"/>
    </xf>
    <xf numFmtId="0" fontId="2" fillId="0" borderId="0" xfId="1" applyFont="1" applyAlignment="1">
      <alignment vertical="center"/>
    </xf>
    <xf numFmtId="0" fontId="1" fillId="0" borderId="11" xfId="0" applyFont="1" applyBorder="1" applyAlignment="1">
      <alignment horizontal="left"/>
    </xf>
    <xf numFmtId="0" fontId="2" fillId="0" borderId="11" xfId="1" applyFont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1" fillId="0" borderId="12" xfId="1" applyBorder="1" applyAlignment="1">
      <alignment horizontal="left" vertical="center"/>
    </xf>
    <xf numFmtId="14" fontId="2" fillId="0" borderId="0" xfId="1" applyNumberFormat="1" applyFont="1" applyAlignment="1">
      <alignment horizontal="left" vertical="center"/>
    </xf>
    <xf numFmtId="0" fontId="1" fillId="0" borderId="11" xfId="0" applyFont="1" applyBorder="1"/>
    <xf numFmtId="0" fontId="2" fillId="0" borderId="12" xfId="1" applyFont="1" applyBorder="1" applyAlignment="1">
      <alignment horizontal="left" vertical="center"/>
    </xf>
    <xf numFmtId="0" fontId="1" fillId="0" borderId="0" xfId="1" applyAlignment="1">
      <alignment vertical="center"/>
    </xf>
    <xf numFmtId="2" fontId="1" fillId="0" borderId="0" xfId="1" applyNumberFormat="1" applyAlignment="1">
      <alignment vertical="center"/>
    </xf>
    <xf numFmtId="0" fontId="1" fillId="0" borderId="5" xfId="1" applyBorder="1" applyAlignment="1">
      <alignment vertical="center"/>
    </xf>
    <xf numFmtId="0" fontId="1" fillId="0" borderId="11" xfId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1" applyBorder="1" applyAlignment="1">
      <alignment horizontal="center" vertical="center"/>
    </xf>
    <xf numFmtId="0" fontId="1" fillId="0" borderId="10" xfId="1" applyBorder="1" applyAlignment="1">
      <alignment vertical="center"/>
    </xf>
    <xf numFmtId="0" fontId="1" fillId="0" borderId="13" xfId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12" xfId="1" applyBorder="1" applyAlignment="1">
      <alignment vertical="center"/>
    </xf>
    <xf numFmtId="0" fontId="2" fillId="0" borderId="5" xfId="1" applyFont="1" applyBorder="1" applyAlignment="1">
      <alignment vertical="center"/>
    </xf>
    <xf numFmtId="0" fontId="1" fillId="0" borderId="14" xfId="1" applyBorder="1" applyAlignment="1">
      <alignment vertical="center"/>
    </xf>
    <xf numFmtId="2" fontId="1" fillId="0" borderId="11" xfId="1" applyNumberFormat="1" applyBorder="1" applyAlignment="1">
      <alignment vertical="center"/>
    </xf>
    <xf numFmtId="0" fontId="1" fillId="0" borderId="11" xfId="0" applyFont="1" applyBorder="1" applyAlignment="1">
      <alignment vertical="center"/>
    </xf>
    <xf numFmtId="1" fontId="1" fillId="0" borderId="11" xfId="0" applyNumberFormat="1" applyFont="1" applyBorder="1"/>
    <xf numFmtId="0" fontId="1" fillId="0" borderId="11" xfId="0" quotePrefix="1" applyFont="1" applyBorder="1"/>
    <xf numFmtId="2" fontId="1" fillId="0" borderId="12" xfId="1" applyNumberFormat="1" applyBorder="1" applyAlignment="1">
      <alignment vertical="center"/>
    </xf>
    <xf numFmtId="2" fontId="2" fillId="0" borderId="5" xfId="1" applyNumberFormat="1" applyFont="1" applyBorder="1" applyAlignment="1">
      <alignment vertical="center"/>
    </xf>
    <xf numFmtId="0" fontId="2" fillId="0" borderId="5" xfId="1" quotePrefix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164" fontId="1" fillId="0" borderId="11" xfId="1" applyNumberFormat="1" applyBorder="1" applyAlignment="1">
      <alignment vertical="center"/>
    </xf>
    <xf numFmtId="164" fontId="1" fillId="0" borderId="12" xfId="1" applyNumberFormat="1" applyBorder="1" applyAlignment="1">
      <alignment vertical="center"/>
    </xf>
    <xf numFmtId="165" fontId="6" fillId="0" borderId="5" xfId="1" applyNumberFormat="1" applyFont="1" applyBorder="1" applyAlignment="1">
      <alignment horizontal="center" vertical="center"/>
    </xf>
    <xf numFmtId="0" fontId="5" fillId="0" borderId="5" xfId="3" quotePrefix="1" applyFont="1" applyBorder="1" applyAlignment="1">
      <alignment horizontal="center" vertical="center"/>
    </xf>
    <xf numFmtId="0" fontId="4" fillId="0" borderId="5" xfId="3" quotePrefix="1" applyFont="1" applyBorder="1" applyAlignment="1">
      <alignment horizontal="center" vertical="center"/>
    </xf>
    <xf numFmtId="166" fontId="6" fillId="0" borderId="5" xfId="3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5" xfId="1" applyFont="1" applyBorder="1" applyAlignment="1">
      <alignment horizontal="center" vertical="center" shrinkToFit="1"/>
    </xf>
    <xf numFmtId="0" fontId="2" fillId="0" borderId="13" xfId="1" applyFont="1" applyBorder="1" applyAlignment="1">
      <alignment horizontal="left" vertical="center"/>
    </xf>
    <xf numFmtId="0" fontId="1" fillId="0" borderId="13" xfId="1" applyBorder="1" applyAlignment="1">
      <alignment horizontal="center" vertical="center"/>
    </xf>
    <xf numFmtId="2" fontId="1" fillId="0" borderId="13" xfId="1" applyNumberFormat="1" applyBorder="1" applyAlignment="1">
      <alignment vertical="center"/>
    </xf>
    <xf numFmtId="164" fontId="1" fillId="0" borderId="13" xfId="1" applyNumberFormat="1" applyBorder="1" applyAlignment="1">
      <alignment vertical="center"/>
    </xf>
    <xf numFmtId="0" fontId="2" fillId="0" borderId="11" xfId="1" applyFont="1" applyBorder="1" applyAlignment="1">
      <alignment horizontal="left" vertical="center" wrapText="1"/>
    </xf>
    <xf numFmtId="0" fontId="3" fillId="0" borderId="5" xfId="1" applyFont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2" fontId="1" fillId="0" borderId="5" xfId="1" applyNumberFormat="1" applyBorder="1" applyAlignment="1">
      <alignment vertical="center"/>
    </xf>
    <xf numFmtId="164" fontId="1" fillId="0" borderId="5" xfId="1" applyNumberFormat="1" applyBorder="1" applyAlignment="1">
      <alignment vertical="center"/>
    </xf>
    <xf numFmtId="0" fontId="6" fillId="0" borderId="0" xfId="1" applyFont="1" applyAlignment="1">
      <alignment vertical="center"/>
    </xf>
    <xf numFmtId="0" fontId="2" fillId="0" borderId="10" xfId="1" applyFont="1" applyBorder="1" applyAlignment="1">
      <alignment horizontal="left" vertical="center"/>
    </xf>
    <xf numFmtId="0" fontId="1" fillId="0" borderId="10" xfId="1" applyBorder="1" applyAlignment="1">
      <alignment horizontal="center" vertical="center"/>
    </xf>
    <xf numFmtId="2" fontId="1" fillId="0" borderId="10" xfId="1" applyNumberFormat="1" applyBorder="1" applyAlignment="1">
      <alignment vertical="center"/>
    </xf>
    <xf numFmtId="164" fontId="1" fillId="0" borderId="10" xfId="1" applyNumberFormat="1" applyBorder="1" applyAlignment="1">
      <alignment vertical="center"/>
    </xf>
    <xf numFmtId="164" fontId="2" fillId="0" borderId="5" xfId="1" applyNumberFormat="1" applyFont="1" applyBorder="1" applyAlignment="1">
      <alignment vertical="center"/>
    </xf>
    <xf numFmtId="0" fontId="2" fillId="0" borderId="11" xfId="1" quotePrefix="1" applyFont="1" applyBorder="1" applyAlignment="1">
      <alignment horizontal="left" vertical="center"/>
    </xf>
    <xf numFmtId="0" fontId="2" fillId="0" borderId="14" xfId="1" applyFont="1" applyBorder="1" applyAlignment="1">
      <alignment horizontal="left" vertical="center"/>
    </xf>
    <xf numFmtId="0" fontId="2" fillId="0" borderId="14" xfId="1" quotePrefix="1" applyFont="1" applyBorder="1" applyAlignment="1">
      <alignment horizontal="left" vertical="center"/>
    </xf>
    <xf numFmtId="0" fontId="1" fillId="0" borderId="14" xfId="1" applyBorder="1" applyAlignment="1">
      <alignment horizontal="center" vertical="center"/>
    </xf>
    <xf numFmtId="2" fontId="1" fillId="0" borderId="14" xfId="1" applyNumberFormat="1" applyBorder="1" applyAlignment="1">
      <alignment vertical="center"/>
    </xf>
    <xf numFmtId="164" fontId="1" fillId="0" borderId="14" xfId="1" applyNumberFormat="1" applyBorder="1" applyAlignment="1">
      <alignment vertical="center"/>
    </xf>
    <xf numFmtId="0" fontId="2" fillId="0" borderId="12" xfId="1" quotePrefix="1" applyFont="1" applyBorder="1" applyAlignment="1">
      <alignment horizontal="left" vertical="center"/>
    </xf>
    <xf numFmtId="0" fontId="4" fillId="0" borderId="1" xfId="3" quotePrefix="1" applyFont="1" applyBorder="1" applyAlignment="1">
      <alignment vertical="center"/>
    </xf>
    <xf numFmtId="0" fontId="5" fillId="0" borderId="5" xfId="3" quotePrefix="1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65" fontId="1" fillId="0" borderId="0" xfId="1" applyNumberFormat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2" fillId="0" borderId="0" xfId="1" applyFont="1" applyAlignment="1">
      <alignment horizontal="right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" xfId="3" quotePrefix="1" applyFont="1" applyBorder="1" applyAlignment="1">
      <alignment horizontal="center" vertical="center"/>
    </xf>
    <xf numFmtId="0" fontId="5" fillId="0" borderId="3" xfId="3" quotePrefix="1" applyFont="1" applyBorder="1" applyAlignment="1">
      <alignment horizontal="center" vertical="center"/>
    </xf>
  </cellXfs>
  <cellStyles count="4">
    <cellStyle name="Normal" xfId="0" builtinId="0"/>
    <cellStyle name="Normal 2" xfId="2"/>
    <cellStyle name="Normal 2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63"/>
  <sheetViews>
    <sheetView tabSelected="1" zoomScaleNormal="100" workbookViewId="0">
      <pane xSplit="6" ySplit="6" topLeftCell="G7" activePane="bottomRight" state="frozen"/>
      <selection pane="topRight" activeCell="G1" sqref="G1"/>
      <selection pane="bottomLeft" activeCell="A6" sqref="A6"/>
      <selection pane="bottomRight" activeCell="G7" sqref="G7"/>
    </sheetView>
  </sheetViews>
  <sheetFormatPr defaultColWidth="9.140625" defaultRowHeight="12.75" x14ac:dyDescent="0.25"/>
  <cols>
    <col min="1" max="1" width="12.5703125" style="11" customWidth="1"/>
    <col min="2" max="2" width="14" style="11" bestFit="1" customWidth="1"/>
    <col min="3" max="3" width="7.85546875" style="11" customWidth="1"/>
    <col min="4" max="4" width="8.5703125" style="11" customWidth="1"/>
    <col min="5" max="5" width="6.140625" style="11" customWidth="1"/>
    <col min="6" max="6" width="7.28515625" style="11" customWidth="1"/>
    <col min="7" max="15" width="10.140625" style="11" customWidth="1"/>
    <col min="16" max="16" width="10.7109375" style="11" customWidth="1"/>
    <col min="17" max="17" width="8.28515625" style="11" customWidth="1"/>
    <col min="18" max="18" width="9.42578125" style="11" customWidth="1"/>
    <col min="19" max="19" width="9.28515625" style="11" customWidth="1"/>
    <col min="20" max="20" width="9.42578125" style="11" customWidth="1"/>
    <col min="21" max="21" width="11" style="11" bestFit="1" customWidth="1"/>
    <col min="22" max="22" width="12.140625" style="11" customWidth="1"/>
    <col min="23" max="24" width="13.140625" style="11" bestFit="1" customWidth="1"/>
    <col min="25" max="16384" width="9.140625" style="11"/>
  </cols>
  <sheetData>
    <row r="1" spans="1:24" x14ac:dyDescent="0.25">
      <c r="A1" s="2" t="s">
        <v>311</v>
      </c>
    </row>
    <row r="2" spans="1:24" x14ac:dyDescent="0.25">
      <c r="A2" s="8" t="s">
        <v>250</v>
      </c>
    </row>
    <row r="3" spans="1:24" x14ac:dyDescent="0.25">
      <c r="A3" s="80" t="s">
        <v>312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</row>
    <row r="4" spans="1:24" ht="12.75" customHeight="1" x14ac:dyDescent="0.25">
      <c r="A4" s="82"/>
      <c r="B4" s="83"/>
      <c r="C4" s="83"/>
      <c r="D4" s="83"/>
      <c r="E4" s="83"/>
      <c r="F4" s="83"/>
      <c r="G4" s="6"/>
      <c r="H4" s="6"/>
      <c r="I4" s="6"/>
      <c r="J4" s="6"/>
      <c r="K4" s="6"/>
      <c r="L4" s="6"/>
      <c r="M4" s="6"/>
      <c r="N4" s="6"/>
      <c r="O4" s="6"/>
      <c r="P4" s="38"/>
      <c r="Q4" s="38"/>
      <c r="R4" s="38"/>
      <c r="S4" s="39"/>
      <c r="T4" s="38"/>
      <c r="U4" s="39"/>
      <c r="W4" s="85" t="s">
        <v>306</v>
      </c>
      <c r="X4" s="86" t="s">
        <v>305</v>
      </c>
    </row>
    <row r="5" spans="1:24" x14ac:dyDescent="0.25">
      <c r="A5" s="30" t="s">
        <v>0</v>
      </c>
      <c r="B5" s="30" t="s">
        <v>1</v>
      </c>
      <c r="C5" s="30" t="s">
        <v>2</v>
      </c>
      <c r="D5" s="30" t="s">
        <v>3</v>
      </c>
      <c r="E5" s="84" t="s">
        <v>4</v>
      </c>
      <c r="F5" s="84"/>
      <c r="G5" s="29" t="s">
        <v>279</v>
      </c>
      <c r="H5" s="29" t="s">
        <v>283</v>
      </c>
      <c r="I5" s="29" t="s">
        <v>285</v>
      </c>
      <c r="J5" s="29" t="s">
        <v>294</v>
      </c>
      <c r="K5" s="29" t="s">
        <v>296</v>
      </c>
      <c r="L5" s="29" t="s">
        <v>299</v>
      </c>
      <c r="M5" s="29" t="s">
        <v>313</v>
      </c>
      <c r="N5" s="29">
        <v>2035005</v>
      </c>
      <c r="O5" s="29"/>
      <c r="P5" s="84" t="s">
        <v>5</v>
      </c>
      <c r="Q5" s="84"/>
      <c r="R5" s="84" t="s">
        <v>6</v>
      </c>
      <c r="S5" s="84"/>
      <c r="T5" s="84" t="s">
        <v>301</v>
      </c>
      <c r="U5" s="84" t="s">
        <v>303</v>
      </c>
      <c r="W5" s="85"/>
      <c r="X5" s="87"/>
    </row>
    <row r="6" spans="1:24" ht="12.75" customHeight="1" x14ac:dyDescent="0.25">
      <c r="A6" s="1"/>
      <c r="B6" s="1"/>
      <c r="C6" s="40" t="s">
        <v>8</v>
      </c>
      <c r="D6" s="30" t="s">
        <v>9</v>
      </c>
      <c r="E6" s="30" t="s">
        <v>10</v>
      </c>
      <c r="F6" s="30" t="s">
        <v>11</v>
      </c>
      <c r="G6" s="30" t="s">
        <v>280</v>
      </c>
      <c r="H6" s="30" t="s">
        <v>284</v>
      </c>
      <c r="I6" s="30" t="s">
        <v>286</v>
      </c>
      <c r="J6" s="30" t="s">
        <v>295</v>
      </c>
      <c r="K6" s="30" t="s">
        <v>297</v>
      </c>
      <c r="L6" s="77" t="s">
        <v>300</v>
      </c>
      <c r="M6" s="77" t="s">
        <v>314</v>
      </c>
      <c r="N6" s="77" t="s">
        <v>315</v>
      </c>
      <c r="O6" s="30"/>
      <c r="P6" s="30" t="s">
        <v>12</v>
      </c>
      <c r="Q6" s="30" t="s">
        <v>11</v>
      </c>
      <c r="R6" s="30" t="s">
        <v>13</v>
      </c>
      <c r="S6" s="30" t="s">
        <v>14</v>
      </c>
      <c r="T6" s="30" t="s">
        <v>302</v>
      </c>
      <c r="U6" s="30" t="s">
        <v>304</v>
      </c>
      <c r="W6" s="35" t="s">
        <v>307</v>
      </c>
      <c r="X6" s="34" t="s">
        <v>307</v>
      </c>
    </row>
    <row r="7" spans="1:24" x14ac:dyDescent="0.25">
      <c r="A7" s="1" t="s">
        <v>7</v>
      </c>
      <c r="B7" s="1"/>
      <c r="C7" s="40"/>
      <c r="D7" s="30"/>
      <c r="E7" s="30"/>
      <c r="F7" s="30"/>
      <c r="G7" s="1"/>
      <c r="H7" s="1"/>
      <c r="I7" s="1"/>
      <c r="J7" s="1"/>
      <c r="K7" s="1"/>
      <c r="L7" s="1"/>
      <c r="M7" s="1"/>
      <c r="N7" s="1"/>
      <c r="O7" s="1"/>
      <c r="P7" s="21"/>
      <c r="Q7" s="21"/>
      <c r="R7" s="30"/>
      <c r="S7" s="30"/>
      <c r="T7" s="30"/>
      <c r="U7" s="30"/>
      <c r="W7" s="35"/>
      <c r="X7" s="34"/>
    </row>
    <row r="8" spans="1:24" x14ac:dyDescent="0.25">
      <c r="A8" s="41" t="s">
        <v>195</v>
      </c>
      <c r="B8" s="41" t="s">
        <v>195</v>
      </c>
      <c r="C8" s="42">
        <v>15</v>
      </c>
      <c r="D8" s="42">
        <v>225</v>
      </c>
      <c r="E8" s="42">
        <v>10</v>
      </c>
      <c r="F8" s="42">
        <v>400</v>
      </c>
      <c r="G8" s="18"/>
      <c r="H8" s="18"/>
      <c r="I8" s="18"/>
      <c r="J8" s="18">
        <v>6000</v>
      </c>
      <c r="K8" s="18">
        <v>8000</v>
      </c>
      <c r="L8" s="18">
        <v>6000</v>
      </c>
      <c r="M8" s="18"/>
      <c r="N8" s="18">
        <v>6000</v>
      </c>
      <c r="O8" s="18"/>
      <c r="P8" s="18">
        <f>SUM(G8:O8)</f>
        <v>26000</v>
      </c>
      <c r="Q8" s="18">
        <f>$P8/$F8</f>
        <v>65</v>
      </c>
      <c r="R8" s="43">
        <v>0.06</v>
      </c>
      <c r="S8" s="43">
        <f t="shared" ref="S8:S20" si="0">$Q8*$R8</f>
        <v>3.9</v>
      </c>
      <c r="T8" s="44">
        <v>16.14</v>
      </c>
      <c r="U8" s="44">
        <f t="shared" ref="U8:U20" si="1">T8*Q8</f>
        <v>1049.1000000000001</v>
      </c>
      <c r="W8" s="33">
        <v>0.06</v>
      </c>
      <c r="X8" s="37">
        <v>7.0000000000000007E-2</v>
      </c>
    </row>
    <row r="9" spans="1:24" x14ac:dyDescent="0.25">
      <c r="A9" s="4" t="s">
        <v>26</v>
      </c>
      <c r="B9" s="4" t="s">
        <v>26</v>
      </c>
      <c r="C9" s="14">
        <v>15</v>
      </c>
      <c r="D9" s="14">
        <v>375</v>
      </c>
      <c r="E9" s="14">
        <v>10</v>
      </c>
      <c r="F9" s="14">
        <v>200</v>
      </c>
      <c r="G9" s="19"/>
      <c r="H9" s="19"/>
      <c r="I9" s="19"/>
      <c r="J9" s="19"/>
      <c r="K9" s="19"/>
      <c r="L9" s="19">
        <v>400</v>
      </c>
      <c r="M9" s="19"/>
      <c r="N9" s="19">
        <v>400</v>
      </c>
      <c r="O9" s="19"/>
      <c r="P9" s="18">
        <f>SUM(G9:O9)</f>
        <v>800</v>
      </c>
      <c r="Q9" s="19">
        <f>$P9/$F9</f>
        <v>4</v>
      </c>
      <c r="R9" s="23">
        <v>0.06</v>
      </c>
      <c r="S9" s="23">
        <f t="shared" si="0"/>
        <v>0.24</v>
      </c>
      <c r="T9" s="31">
        <v>12.84</v>
      </c>
      <c r="U9" s="31">
        <f t="shared" si="1"/>
        <v>51.36</v>
      </c>
      <c r="W9" s="33">
        <v>0.18</v>
      </c>
      <c r="X9" s="37">
        <v>0.22</v>
      </c>
    </row>
    <row r="10" spans="1:24" x14ac:dyDescent="0.25">
      <c r="A10" s="4" t="s">
        <v>24</v>
      </c>
      <c r="B10" s="4" t="s">
        <v>24</v>
      </c>
      <c r="C10" s="14">
        <v>15</v>
      </c>
      <c r="D10" s="14">
        <v>457</v>
      </c>
      <c r="E10" s="14">
        <v>10</v>
      </c>
      <c r="F10" s="14">
        <v>200</v>
      </c>
      <c r="G10" s="19"/>
      <c r="H10" s="19"/>
      <c r="I10" s="19"/>
      <c r="J10" s="19">
        <v>5800</v>
      </c>
      <c r="K10" s="19">
        <v>5000</v>
      </c>
      <c r="L10" s="19">
        <v>5000</v>
      </c>
      <c r="M10" s="19"/>
      <c r="N10" s="19">
        <v>5000</v>
      </c>
      <c r="O10" s="19"/>
      <c r="P10" s="18">
        <f>SUM(G10:O10)</f>
        <v>20800</v>
      </c>
      <c r="Q10" s="19">
        <f>$P10/$F10</f>
        <v>104</v>
      </c>
      <c r="R10" s="23">
        <v>0.05</v>
      </c>
      <c r="S10" s="23">
        <f t="shared" si="0"/>
        <v>5.2</v>
      </c>
      <c r="T10" s="31">
        <v>16.14</v>
      </c>
      <c r="U10" s="31">
        <f t="shared" si="1"/>
        <v>1678.56</v>
      </c>
      <c r="W10" s="33">
        <v>0.2</v>
      </c>
      <c r="X10" s="37">
        <v>0.24</v>
      </c>
    </row>
    <row r="11" spans="1:24" x14ac:dyDescent="0.25">
      <c r="A11" s="4" t="s">
        <v>25</v>
      </c>
      <c r="B11" s="4">
        <v>90441400</v>
      </c>
      <c r="C11" s="14" t="s">
        <v>20</v>
      </c>
      <c r="D11" s="14">
        <v>450</v>
      </c>
      <c r="E11" s="14">
        <v>10</v>
      </c>
      <c r="F11" s="14">
        <v>200</v>
      </c>
      <c r="G11" s="19"/>
      <c r="H11" s="19"/>
      <c r="I11" s="19"/>
      <c r="J11" s="19">
        <v>400</v>
      </c>
      <c r="K11" s="19">
        <v>1000</v>
      </c>
      <c r="L11" s="19">
        <v>1000</v>
      </c>
      <c r="M11" s="19">
        <v>1000</v>
      </c>
      <c r="N11" s="19">
        <v>2000</v>
      </c>
      <c r="O11" s="19"/>
      <c r="P11" s="18">
        <f>SUM(G11:O11)</f>
        <v>5400</v>
      </c>
      <c r="Q11" s="19">
        <f>$P11/$F11</f>
        <v>27</v>
      </c>
      <c r="R11" s="23">
        <v>0.05</v>
      </c>
      <c r="S11" s="23">
        <f t="shared" si="0"/>
        <v>1.35</v>
      </c>
      <c r="T11" s="31">
        <v>16.14</v>
      </c>
      <c r="U11" s="31">
        <f t="shared" si="1"/>
        <v>435.78000000000003</v>
      </c>
      <c r="W11" s="33">
        <v>0.2</v>
      </c>
      <c r="X11" s="37">
        <v>0.24</v>
      </c>
    </row>
    <row r="12" spans="1:24" x14ac:dyDescent="0.25">
      <c r="A12" s="4" t="s">
        <v>22</v>
      </c>
      <c r="B12" s="4" t="s">
        <v>22</v>
      </c>
      <c r="C12" s="14">
        <v>15</v>
      </c>
      <c r="D12" s="14">
        <v>610</v>
      </c>
      <c r="E12" s="14">
        <v>10</v>
      </c>
      <c r="F12" s="14">
        <v>100</v>
      </c>
      <c r="G12" s="19"/>
      <c r="H12" s="19"/>
      <c r="I12" s="19"/>
      <c r="J12" s="19">
        <v>4500</v>
      </c>
      <c r="K12" s="19">
        <v>5000</v>
      </c>
      <c r="L12" s="19">
        <v>5000</v>
      </c>
      <c r="M12" s="19"/>
      <c r="N12" s="19">
        <v>5000</v>
      </c>
      <c r="O12" s="19"/>
      <c r="P12" s="18">
        <f>SUM(G12:O12)</f>
        <v>19500</v>
      </c>
      <c r="Q12" s="19">
        <f>$P12/$F12</f>
        <v>195</v>
      </c>
      <c r="R12" s="23">
        <v>0.04</v>
      </c>
      <c r="S12" s="23">
        <f t="shared" si="0"/>
        <v>7.8</v>
      </c>
      <c r="T12" s="31">
        <v>10.75</v>
      </c>
      <c r="U12" s="31">
        <f t="shared" si="1"/>
        <v>2096.25</v>
      </c>
      <c r="W12" s="33">
        <v>0.25</v>
      </c>
      <c r="X12" s="37">
        <v>0.3</v>
      </c>
    </row>
    <row r="13" spans="1:24" x14ac:dyDescent="0.25">
      <c r="A13" s="4" t="s">
        <v>23</v>
      </c>
      <c r="B13" s="4">
        <v>90441600</v>
      </c>
      <c r="C13" s="14" t="s">
        <v>20</v>
      </c>
      <c r="D13" s="14">
        <v>600</v>
      </c>
      <c r="E13" s="14">
        <v>10</v>
      </c>
      <c r="F13" s="14">
        <v>100</v>
      </c>
      <c r="G13" s="19"/>
      <c r="H13" s="19"/>
      <c r="I13" s="19"/>
      <c r="J13" s="19">
        <v>2400</v>
      </c>
      <c r="K13" s="19">
        <v>1000</v>
      </c>
      <c r="L13" s="19">
        <v>1000</v>
      </c>
      <c r="M13" s="19">
        <v>1000</v>
      </c>
      <c r="N13" s="19">
        <v>2000</v>
      </c>
      <c r="O13" s="19"/>
      <c r="P13" s="18">
        <f>SUM(G13:O13)</f>
        <v>7400</v>
      </c>
      <c r="Q13" s="19">
        <f>$P13/$F13</f>
        <v>74</v>
      </c>
      <c r="R13" s="23">
        <v>0.04</v>
      </c>
      <c r="S13" s="23">
        <f t="shared" si="0"/>
        <v>2.96</v>
      </c>
      <c r="T13" s="31">
        <v>10.75</v>
      </c>
      <c r="U13" s="31">
        <f t="shared" si="1"/>
        <v>795.5</v>
      </c>
      <c r="W13" s="33">
        <v>0.26</v>
      </c>
      <c r="X13" s="37">
        <v>0.31</v>
      </c>
    </row>
    <row r="14" spans="1:24" x14ac:dyDescent="0.25">
      <c r="A14" s="4" t="s">
        <v>21</v>
      </c>
      <c r="B14" s="4" t="s">
        <v>21</v>
      </c>
      <c r="C14" s="14">
        <v>15</v>
      </c>
      <c r="D14" s="14">
        <v>760</v>
      </c>
      <c r="E14" s="14">
        <v>10</v>
      </c>
      <c r="F14" s="14">
        <v>100</v>
      </c>
      <c r="G14" s="19"/>
      <c r="H14" s="19"/>
      <c r="I14" s="19"/>
      <c r="J14" s="19"/>
      <c r="K14" s="19">
        <v>500</v>
      </c>
      <c r="L14" s="19">
        <v>1500</v>
      </c>
      <c r="M14" s="19"/>
      <c r="N14" s="19">
        <v>1000</v>
      </c>
      <c r="O14" s="19"/>
      <c r="P14" s="18">
        <f>SUM(G14:O14)</f>
        <v>3000</v>
      </c>
      <c r="Q14" s="19">
        <f>$P14/$F14</f>
        <v>30</v>
      </c>
      <c r="R14" s="23">
        <v>0.04</v>
      </c>
      <c r="S14" s="23">
        <f t="shared" si="0"/>
        <v>1.2</v>
      </c>
      <c r="T14" s="31">
        <v>13.8</v>
      </c>
      <c r="U14" s="31">
        <f t="shared" si="1"/>
        <v>414</v>
      </c>
      <c r="W14" s="33">
        <v>0.28999999999999998</v>
      </c>
      <c r="X14" s="37">
        <v>0.35</v>
      </c>
    </row>
    <row r="15" spans="1:24" x14ac:dyDescent="0.25">
      <c r="A15" s="4" t="s">
        <v>18</v>
      </c>
      <c r="B15" s="4" t="s">
        <v>18</v>
      </c>
      <c r="C15" s="14">
        <v>15</v>
      </c>
      <c r="D15" s="14">
        <v>915</v>
      </c>
      <c r="E15" s="14">
        <v>10</v>
      </c>
      <c r="F15" s="14">
        <v>100</v>
      </c>
      <c r="G15" s="19"/>
      <c r="H15" s="19"/>
      <c r="I15" s="19"/>
      <c r="J15" s="19"/>
      <c r="K15" s="19"/>
      <c r="L15" s="19">
        <v>1000</v>
      </c>
      <c r="M15" s="19"/>
      <c r="N15" s="19">
        <v>1000</v>
      </c>
      <c r="O15" s="19"/>
      <c r="P15" s="18">
        <f>SUM(G15:O15)</f>
        <v>2000</v>
      </c>
      <c r="Q15" s="19">
        <f>$P15/$F15</f>
        <v>20</v>
      </c>
      <c r="R15" s="23">
        <v>0.05</v>
      </c>
      <c r="S15" s="23">
        <f t="shared" si="0"/>
        <v>1</v>
      </c>
      <c r="T15" s="31">
        <v>16.14</v>
      </c>
      <c r="U15" s="31">
        <f t="shared" si="1"/>
        <v>322.8</v>
      </c>
      <c r="W15" s="33">
        <v>0.34</v>
      </c>
      <c r="X15" s="37">
        <v>0.41</v>
      </c>
    </row>
    <row r="16" spans="1:24" x14ac:dyDescent="0.25">
      <c r="A16" s="45" t="s">
        <v>19</v>
      </c>
      <c r="B16" s="45">
        <v>90441800</v>
      </c>
      <c r="C16" s="14" t="s">
        <v>20</v>
      </c>
      <c r="D16" s="14">
        <v>900</v>
      </c>
      <c r="E16" s="14">
        <v>10</v>
      </c>
      <c r="F16" s="14">
        <v>100</v>
      </c>
      <c r="G16" s="19"/>
      <c r="H16" s="19"/>
      <c r="I16" s="19"/>
      <c r="J16" s="19"/>
      <c r="K16" s="19"/>
      <c r="L16" s="19">
        <v>1000</v>
      </c>
      <c r="M16" s="19">
        <v>1000</v>
      </c>
      <c r="N16" s="19">
        <v>1000</v>
      </c>
      <c r="O16" s="19"/>
      <c r="P16" s="18">
        <f>SUM(G16:O16)</f>
        <v>3000</v>
      </c>
      <c r="Q16" s="19">
        <f>$P16/$F16</f>
        <v>30</v>
      </c>
      <c r="R16" s="23">
        <v>0.05</v>
      </c>
      <c r="S16" s="23">
        <f t="shared" si="0"/>
        <v>1.5</v>
      </c>
      <c r="T16" s="31">
        <v>16.14</v>
      </c>
      <c r="U16" s="31">
        <f t="shared" si="1"/>
        <v>484.20000000000005</v>
      </c>
      <c r="W16" s="33">
        <v>0.36</v>
      </c>
      <c r="X16" s="37">
        <v>0.44</v>
      </c>
    </row>
    <row r="17" spans="1:24" x14ac:dyDescent="0.25">
      <c r="A17" s="4" t="s">
        <v>17</v>
      </c>
      <c r="B17" s="4" t="s">
        <v>17</v>
      </c>
      <c r="C17" s="14">
        <v>15</v>
      </c>
      <c r="D17" s="14">
        <v>1220</v>
      </c>
      <c r="E17" s="14">
        <v>10</v>
      </c>
      <c r="F17" s="14">
        <v>50</v>
      </c>
      <c r="G17" s="19"/>
      <c r="H17" s="19"/>
      <c r="I17" s="19"/>
      <c r="J17" s="19"/>
      <c r="K17" s="19"/>
      <c r="L17" s="19">
        <v>1000</v>
      </c>
      <c r="M17" s="19"/>
      <c r="N17" s="19">
        <v>1000</v>
      </c>
      <c r="O17" s="19"/>
      <c r="P17" s="18">
        <f>SUM(G17:O17)</f>
        <v>2000</v>
      </c>
      <c r="Q17" s="19">
        <f>$P17/$F17</f>
        <v>40</v>
      </c>
      <c r="R17" s="23">
        <v>0.04</v>
      </c>
      <c r="S17" s="23">
        <f t="shared" si="0"/>
        <v>1.6</v>
      </c>
      <c r="T17" s="31">
        <v>10.75</v>
      </c>
      <c r="U17" s="31">
        <f t="shared" si="1"/>
        <v>430</v>
      </c>
      <c r="W17" s="33">
        <v>0.44</v>
      </c>
      <c r="X17" s="37">
        <v>0.53</v>
      </c>
    </row>
    <row r="18" spans="1:24" x14ac:dyDescent="0.25">
      <c r="A18" s="4" t="s">
        <v>16</v>
      </c>
      <c r="B18" s="4" t="s">
        <v>16</v>
      </c>
      <c r="C18" s="14">
        <v>15</v>
      </c>
      <c r="D18" s="14">
        <v>1524</v>
      </c>
      <c r="E18" s="14">
        <v>10</v>
      </c>
      <c r="F18" s="14">
        <v>50</v>
      </c>
      <c r="G18" s="19"/>
      <c r="H18" s="19"/>
      <c r="I18" s="19"/>
      <c r="J18" s="19"/>
      <c r="K18" s="19"/>
      <c r="L18" s="19"/>
      <c r="M18" s="19"/>
      <c r="N18" s="19"/>
      <c r="O18" s="19"/>
      <c r="P18" s="18">
        <f>SUM(G18:O18)</f>
        <v>0</v>
      </c>
      <c r="Q18" s="19">
        <f>$P18/$F18</f>
        <v>0</v>
      </c>
      <c r="R18" s="23">
        <v>0.05</v>
      </c>
      <c r="S18" s="23">
        <f t="shared" si="0"/>
        <v>0</v>
      </c>
      <c r="T18" s="31">
        <v>13.4</v>
      </c>
      <c r="U18" s="31">
        <f t="shared" si="1"/>
        <v>0</v>
      </c>
      <c r="W18" s="33">
        <v>0.54</v>
      </c>
      <c r="X18" s="37">
        <v>0.65</v>
      </c>
    </row>
    <row r="19" spans="1:24" x14ac:dyDescent="0.25">
      <c r="A19" s="4" t="s">
        <v>15</v>
      </c>
      <c r="B19" s="4" t="s">
        <v>15</v>
      </c>
      <c r="C19" s="14">
        <v>15</v>
      </c>
      <c r="D19" s="14">
        <v>1800</v>
      </c>
      <c r="E19" s="14">
        <v>10</v>
      </c>
      <c r="F19" s="14">
        <v>50</v>
      </c>
      <c r="G19" s="19"/>
      <c r="H19" s="19"/>
      <c r="I19" s="19"/>
      <c r="J19" s="19"/>
      <c r="K19" s="19"/>
      <c r="L19" s="19"/>
      <c r="M19" s="19"/>
      <c r="N19" s="19"/>
      <c r="O19" s="19"/>
      <c r="P19" s="18">
        <f>SUM(G19:O19)</f>
        <v>0</v>
      </c>
      <c r="Q19" s="19">
        <f>$P19/$F19</f>
        <v>0</v>
      </c>
      <c r="R19" s="23">
        <v>0.06</v>
      </c>
      <c r="S19" s="23">
        <f t="shared" si="0"/>
        <v>0</v>
      </c>
      <c r="T19" s="31">
        <v>16.7</v>
      </c>
      <c r="U19" s="31">
        <f t="shared" si="1"/>
        <v>0</v>
      </c>
      <c r="W19" s="33">
        <v>0.62</v>
      </c>
      <c r="X19" s="37">
        <v>0.75</v>
      </c>
    </row>
    <row r="20" spans="1:24" x14ac:dyDescent="0.25">
      <c r="A20" s="10" t="s">
        <v>243</v>
      </c>
      <c r="B20" s="10" t="s">
        <v>243</v>
      </c>
      <c r="C20" s="16">
        <v>15</v>
      </c>
      <c r="D20" s="16">
        <v>2100</v>
      </c>
      <c r="E20" s="16">
        <v>10</v>
      </c>
      <c r="F20" s="16">
        <v>50</v>
      </c>
      <c r="G20" s="20"/>
      <c r="H20" s="20"/>
      <c r="I20" s="20"/>
      <c r="J20" s="20"/>
      <c r="K20" s="20"/>
      <c r="L20" s="20"/>
      <c r="M20" s="20"/>
      <c r="N20" s="20"/>
      <c r="O20" s="20"/>
      <c r="P20" s="18">
        <f>SUM(G20:O20)</f>
        <v>0</v>
      </c>
      <c r="Q20" s="20">
        <f>$P20/$F20</f>
        <v>0</v>
      </c>
      <c r="R20" s="27">
        <v>0.06</v>
      </c>
      <c r="S20" s="27">
        <f t="shared" si="0"/>
        <v>0</v>
      </c>
      <c r="T20" s="32"/>
      <c r="U20" s="32">
        <f t="shared" si="1"/>
        <v>0</v>
      </c>
      <c r="W20" s="33">
        <v>0.72</v>
      </c>
      <c r="X20" s="37">
        <v>0.86</v>
      </c>
    </row>
    <row r="21" spans="1:24" ht="15" x14ac:dyDescent="0.25">
      <c r="A21" s="46" t="s">
        <v>27</v>
      </c>
      <c r="B21" s="46"/>
      <c r="C21" s="47"/>
      <c r="D21" s="48"/>
      <c r="E21" s="48"/>
      <c r="F21" s="4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49"/>
      <c r="T21" s="50"/>
      <c r="U21" s="50"/>
      <c r="W21" s="51"/>
    </row>
    <row r="22" spans="1:24" x14ac:dyDescent="0.25">
      <c r="A22" s="52" t="s">
        <v>43</v>
      </c>
      <c r="B22" s="52" t="s">
        <v>43</v>
      </c>
      <c r="C22" s="53">
        <v>20</v>
      </c>
      <c r="D22" s="53">
        <v>100</v>
      </c>
      <c r="E22" s="53">
        <v>10</v>
      </c>
      <c r="F22" s="53">
        <v>500</v>
      </c>
      <c r="G22" s="17"/>
      <c r="H22" s="17"/>
      <c r="I22" s="17"/>
      <c r="J22" s="17">
        <v>500</v>
      </c>
      <c r="K22" s="17">
        <v>500</v>
      </c>
      <c r="L22" s="17">
        <v>500</v>
      </c>
      <c r="M22" s="17"/>
      <c r="N22" s="17">
        <v>500</v>
      </c>
      <c r="O22" s="17"/>
      <c r="P22" s="18">
        <f>SUM(G22:O22)</f>
        <v>2000</v>
      </c>
      <c r="Q22" s="17">
        <f>$P22/$F22</f>
        <v>4</v>
      </c>
      <c r="R22" s="54">
        <v>0.06</v>
      </c>
      <c r="S22" s="54">
        <f t="shared" ref="S22:S37" si="2">$Q22*$R22</f>
        <v>0.24</v>
      </c>
      <c r="T22" s="55">
        <v>14</v>
      </c>
      <c r="U22" s="55">
        <f t="shared" ref="U22:U37" si="3">T22*Q22</f>
        <v>56</v>
      </c>
      <c r="W22" s="33">
        <v>0.11</v>
      </c>
      <c r="X22" s="37">
        <v>0.13</v>
      </c>
    </row>
    <row r="23" spans="1:24" x14ac:dyDescent="0.25">
      <c r="A23" s="4" t="s">
        <v>44</v>
      </c>
      <c r="B23" s="4">
        <v>90442100</v>
      </c>
      <c r="C23" s="14" t="s">
        <v>35</v>
      </c>
      <c r="D23" s="14">
        <v>100</v>
      </c>
      <c r="E23" s="14">
        <v>10</v>
      </c>
      <c r="F23" s="14">
        <v>500</v>
      </c>
      <c r="G23" s="19"/>
      <c r="H23" s="19"/>
      <c r="I23" s="19"/>
      <c r="J23" s="19"/>
      <c r="K23" s="19"/>
      <c r="L23" s="19"/>
      <c r="M23" s="19">
        <v>500</v>
      </c>
      <c r="N23" s="19"/>
      <c r="O23" s="19"/>
      <c r="P23" s="18">
        <f>SUM(G23:O23)</f>
        <v>500</v>
      </c>
      <c r="Q23" s="19">
        <f>$P23/$F23</f>
        <v>1</v>
      </c>
      <c r="R23" s="23">
        <v>0.06</v>
      </c>
      <c r="S23" s="23">
        <f t="shared" si="2"/>
        <v>0.06</v>
      </c>
      <c r="T23" s="31">
        <v>14</v>
      </c>
      <c r="U23" s="31">
        <f t="shared" si="3"/>
        <v>14</v>
      </c>
      <c r="W23" s="33">
        <v>0.11</v>
      </c>
      <c r="X23" s="37">
        <v>0.13</v>
      </c>
    </row>
    <row r="24" spans="1:24" x14ac:dyDescent="0.25">
      <c r="A24" s="4" t="s">
        <v>42</v>
      </c>
      <c r="B24" s="4">
        <v>90447000</v>
      </c>
      <c r="C24" s="14" t="s">
        <v>35</v>
      </c>
      <c r="D24" s="14">
        <v>240</v>
      </c>
      <c r="E24" s="14">
        <v>10</v>
      </c>
      <c r="F24" s="14">
        <v>250</v>
      </c>
      <c r="G24" s="19"/>
      <c r="H24" s="19"/>
      <c r="I24" s="19"/>
      <c r="J24" s="19">
        <v>1750</v>
      </c>
      <c r="K24" s="19"/>
      <c r="L24" s="19">
        <v>3000</v>
      </c>
      <c r="M24" s="19">
        <v>3000</v>
      </c>
      <c r="N24" s="19"/>
      <c r="O24" s="19"/>
      <c r="P24" s="18">
        <f>SUM(G24:O24)</f>
        <v>7750</v>
      </c>
      <c r="Q24" s="19">
        <f>$P24/$F24</f>
        <v>31</v>
      </c>
      <c r="R24" s="23">
        <v>0.06</v>
      </c>
      <c r="S24" s="23">
        <f t="shared" si="2"/>
        <v>1.8599999999999999</v>
      </c>
      <c r="T24" s="31">
        <v>16</v>
      </c>
      <c r="U24" s="31">
        <f t="shared" si="3"/>
        <v>496</v>
      </c>
      <c r="W24" s="33">
        <v>0.18</v>
      </c>
      <c r="X24" s="37">
        <v>0.22</v>
      </c>
    </row>
    <row r="25" spans="1:24" x14ac:dyDescent="0.25">
      <c r="A25" s="4" t="s">
        <v>40</v>
      </c>
      <c r="B25" s="4" t="s">
        <v>40</v>
      </c>
      <c r="C25" s="14">
        <v>20</v>
      </c>
      <c r="D25" s="14">
        <v>457</v>
      </c>
      <c r="E25" s="14">
        <v>10</v>
      </c>
      <c r="F25" s="14">
        <v>100</v>
      </c>
      <c r="G25" s="19"/>
      <c r="H25" s="19"/>
      <c r="I25" s="19"/>
      <c r="J25" s="19"/>
      <c r="K25" s="19"/>
      <c r="L25" s="19"/>
      <c r="M25" s="19"/>
      <c r="N25" s="19">
        <v>600</v>
      </c>
      <c r="O25" s="19"/>
      <c r="P25" s="18">
        <f>SUM(G25:O25)</f>
        <v>600</v>
      </c>
      <c r="Q25" s="19">
        <f>$P25/$F25</f>
        <v>6</v>
      </c>
      <c r="R25" s="23">
        <v>0.04</v>
      </c>
      <c r="S25" s="23">
        <f t="shared" si="2"/>
        <v>0.24</v>
      </c>
      <c r="T25" s="31">
        <v>13</v>
      </c>
      <c r="U25" s="31">
        <f t="shared" si="3"/>
        <v>78</v>
      </c>
      <c r="W25" s="33">
        <v>0.28999999999999998</v>
      </c>
      <c r="X25" s="37">
        <v>0.35</v>
      </c>
    </row>
    <row r="26" spans="1:24" x14ac:dyDescent="0.25">
      <c r="A26" s="4" t="s">
        <v>41</v>
      </c>
      <c r="B26" s="4">
        <v>90442400</v>
      </c>
      <c r="C26" s="14" t="s">
        <v>35</v>
      </c>
      <c r="D26" s="14">
        <v>450</v>
      </c>
      <c r="E26" s="14">
        <v>10</v>
      </c>
      <c r="F26" s="14">
        <v>100</v>
      </c>
      <c r="G26" s="19"/>
      <c r="H26" s="19"/>
      <c r="I26" s="19"/>
      <c r="J26" s="19"/>
      <c r="K26" s="19">
        <v>400</v>
      </c>
      <c r="L26" s="19">
        <v>2000</v>
      </c>
      <c r="M26" s="19">
        <v>2000</v>
      </c>
      <c r="N26" s="19">
        <v>1000</v>
      </c>
      <c r="O26" s="19"/>
      <c r="P26" s="18">
        <f>SUM(G26:O26)</f>
        <v>5400</v>
      </c>
      <c r="Q26" s="19">
        <f>$P26/$F26</f>
        <v>54</v>
      </c>
      <c r="R26" s="23">
        <v>0.04</v>
      </c>
      <c r="S26" s="23">
        <f t="shared" si="2"/>
        <v>2.16</v>
      </c>
      <c r="T26" s="31">
        <v>13</v>
      </c>
      <c r="U26" s="31">
        <f t="shared" si="3"/>
        <v>702</v>
      </c>
      <c r="W26" s="33">
        <v>0.3</v>
      </c>
      <c r="X26" s="37">
        <v>0.36</v>
      </c>
    </row>
    <row r="27" spans="1:24" x14ac:dyDescent="0.25">
      <c r="A27" s="4" t="s">
        <v>38</v>
      </c>
      <c r="B27" s="4" t="s">
        <v>38</v>
      </c>
      <c r="C27" s="14">
        <v>20</v>
      </c>
      <c r="D27" s="14">
        <v>610</v>
      </c>
      <c r="E27" s="14">
        <v>10</v>
      </c>
      <c r="F27" s="14">
        <v>100</v>
      </c>
      <c r="G27" s="19"/>
      <c r="H27" s="19"/>
      <c r="I27" s="19"/>
      <c r="J27" s="19"/>
      <c r="K27" s="19"/>
      <c r="L27" s="19">
        <v>1000</v>
      </c>
      <c r="M27" s="19"/>
      <c r="N27" s="19">
        <v>1000</v>
      </c>
      <c r="O27" s="19"/>
      <c r="P27" s="18">
        <f>SUM(G27:O27)</f>
        <v>2000</v>
      </c>
      <c r="Q27" s="19">
        <f>$P27/$F27</f>
        <v>20</v>
      </c>
      <c r="R27" s="23">
        <v>0.06</v>
      </c>
      <c r="S27" s="23">
        <f t="shared" si="2"/>
        <v>1.2</v>
      </c>
      <c r="T27" s="31">
        <v>17</v>
      </c>
      <c r="U27" s="31">
        <f t="shared" si="3"/>
        <v>340</v>
      </c>
      <c r="W27" s="33">
        <v>0.37</v>
      </c>
      <c r="X27" s="37">
        <v>0.45</v>
      </c>
    </row>
    <row r="28" spans="1:24" x14ac:dyDescent="0.25">
      <c r="A28" s="4" t="s">
        <v>39</v>
      </c>
      <c r="B28" s="4">
        <v>90442600</v>
      </c>
      <c r="C28" s="14" t="s">
        <v>35</v>
      </c>
      <c r="D28" s="14">
        <v>600</v>
      </c>
      <c r="E28" s="14">
        <v>10</v>
      </c>
      <c r="F28" s="14">
        <v>100</v>
      </c>
      <c r="G28" s="19"/>
      <c r="H28" s="19"/>
      <c r="I28" s="19"/>
      <c r="J28" s="19"/>
      <c r="K28" s="19"/>
      <c r="L28" s="19">
        <v>2000</v>
      </c>
      <c r="M28" s="19">
        <v>2000</v>
      </c>
      <c r="N28" s="19">
        <v>2000</v>
      </c>
      <c r="O28" s="19"/>
      <c r="P28" s="18">
        <f>SUM(G28:O28)</f>
        <v>6000</v>
      </c>
      <c r="Q28" s="19">
        <f>$P28/$F28</f>
        <v>60</v>
      </c>
      <c r="R28" s="23">
        <v>0.06</v>
      </c>
      <c r="S28" s="23">
        <f t="shared" si="2"/>
        <v>3.5999999999999996</v>
      </c>
      <c r="T28" s="31">
        <v>17</v>
      </c>
      <c r="U28" s="31">
        <f t="shared" si="3"/>
        <v>1020</v>
      </c>
      <c r="W28" s="33">
        <v>0.38</v>
      </c>
      <c r="X28" s="37">
        <v>0.46</v>
      </c>
    </row>
    <row r="29" spans="1:24" x14ac:dyDescent="0.25">
      <c r="A29" s="4" t="s">
        <v>36</v>
      </c>
      <c r="B29" s="4" t="s">
        <v>36</v>
      </c>
      <c r="C29" s="14">
        <v>20</v>
      </c>
      <c r="D29" s="14">
        <v>760</v>
      </c>
      <c r="E29" s="14">
        <v>10</v>
      </c>
      <c r="F29" s="14">
        <v>100</v>
      </c>
      <c r="G29" s="19"/>
      <c r="H29" s="19"/>
      <c r="I29" s="19"/>
      <c r="J29" s="19"/>
      <c r="K29" s="19"/>
      <c r="L29" s="19"/>
      <c r="M29" s="19"/>
      <c r="N29" s="19"/>
      <c r="O29" s="19"/>
      <c r="P29" s="18">
        <f>SUM(G29:O29)</f>
        <v>0</v>
      </c>
      <c r="Q29" s="19">
        <f>$P29/$F29</f>
        <v>0</v>
      </c>
      <c r="R29" s="23">
        <v>7.0000000000000007E-2</v>
      </c>
      <c r="S29" s="23">
        <f t="shared" si="2"/>
        <v>0</v>
      </c>
      <c r="T29" s="31">
        <v>22</v>
      </c>
      <c r="U29" s="31">
        <f t="shared" si="3"/>
        <v>0</v>
      </c>
      <c r="W29" s="33">
        <v>0.44</v>
      </c>
      <c r="X29" s="37">
        <v>0.53</v>
      </c>
    </row>
    <row r="30" spans="1:24" x14ac:dyDescent="0.25">
      <c r="A30" s="4" t="s">
        <v>37</v>
      </c>
      <c r="B30" s="4">
        <v>90442700</v>
      </c>
      <c r="C30" s="14" t="s">
        <v>35</v>
      </c>
      <c r="D30" s="14">
        <v>750</v>
      </c>
      <c r="E30" s="14">
        <v>10</v>
      </c>
      <c r="F30" s="14">
        <v>100</v>
      </c>
      <c r="G30" s="19"/>
      <c r="H30" s="19"/>
      <c r="I30" s="19"/>
      <c r="J30" s="19"/>
      <c r="K30" s="19"/>
      <c r="L30" s="19">
        <v>500</v>
      </c>
      <c r="M30" s="19">
        <v>2000</v>
      </c>
      <c r="N30" s="19">
        <v>2000</v>
      </c>
      <c r="O30" s="19"/>
      <c r="P30" s="18">
        <f>SUM(G30:O30)</f>
        <v>4500</v>
      </c>
      <c r="Q30" s="19">
        <f>$P30/$F30</f>
        <v>45</v>
      </c>
      <c r="R30" s="23">
        <v>7.0000000000000007E-2</v>
      </c>
      <c r="S30" s="23">
        <f t="shared" si="2"/>
        <v>3.1500000000000004</v>
      </c>
      <c r="T30" s="31">
        <v>22</v>
      </c>
      <c r="U30" s="31">
        <f t="shared" si="3"/>
        <v>990</v>
      </c>
      <c r="W30" s="33">
        <v>0.47</v>
      </c>
      <c r="X30" s="37">
        <v>0.56000000000000005</v>
      </c>
    </row>
    <row r="31" spans="1:24" x14ac:dyDescent="0.25">
      <c r="A31" s="4" t="s">
        <v>33</v>
      </c>
      <c r="B31" s="4" t="s">
        <v>33</v>
      </c>
      <c r="C31" s="14">
        <v>20</v>
      </c>
      <c r="D31" s="14">
        <v>915</v>
      </c>
      <c r="E31" s="14">
        <v>10</v>
      </c>
      <c r="F31" s="14">
        <v>50</v>
      </c>
      <c r="G31" s="19"/>
      <c r="H31" s="19"/>
      <c r="I31" s="19"/>
      <c r="J31" s="19"/>
      <c r="K31" s="19"/>
      <c r="L31" s="19">
        <v>1000</v>
      </c>
      <c r="M31" s="19"/>
      <c r="N31" s="19">
        <v>1000</v>
      </c>
      <c r="O31" s="19"/>
      <c r="P31" s="18">
        <f>SUM(G31:O31)</f>
        <v>2000</v>
      </c>
      <c r="Q31" s="19">
        <f>$P31/$F31</f>
        <v>40</v>
      </c>
      <c r="R31" s="23">
        <v>0.04</v>
      </c>
      <c r="S31" s="23">
        <f t="shared" si="2"/>
        <v>1.6</v>
      </c>
      <c r="T31" s="31">
        <v>13</v>
      </c>
      <c r="U31" s="31">
        <f t="shared" si="3"/>
        <v>520</v>
      </c>
      <c r="W31" s="33">
        <v>0.52</v>
      </c>
      <c r="X31" s="37">
        <v>0.63</v>
      </c>
    </row>
    <row r="32" spans="1:24" x14ac:dyDescent="0.25">
      <c r="A32" s="4" t="s">
        <v>34</v>
      </c>
      <c r="B32" s="4">
        <v>90442800</v>
      </c>
      <c r="C32" s="14" t="s">
        <v>35</v>
      </c>
      <c r="D32" s="14">
        <v>900</v>
      </c>
      <c r="E32" s="14">
        <v>10</v>
      </c>
      <c r="F32" s="14">
        <v>50</v>
      </c>
      <c r="G32" s="19"/>
      <c r="H32" s="19"/>
      <c r="I32" s="19"/>
      <c r="J32" s="19"/>
      <c r="K32" s="19"/>
      <c r="L32" s="19">
        <v>2000</v>
      </c>
      <c r="M32" s="19">
        <v>2000</v>
      </c>
      <c r="N32" s="19">
        <v>2000</v>
      </c>
      <c r="O32" s="19"/>
      <c r="P32" s="18">
        <f>SUM(G32:O32)</f>
        <v>6000</v>
      </c>
      <c r="Q32" s="19">
        <f>$P32/$F32</f>
        <v>120</v>
      </c>
      <c r="R32" s="23">
        <v>0.04</v>
      </c>
      <c r="S32" s="23">
        <f t="shared" si="2"/>
        <v>4.8</v>
      </c>
      <c r="T32" s="31">
        <v>13</v>
      </c>
      <c r="U32" s="31">
        <f t="shared" si="3"/>
        <v>1560</v>
      </c>
      <c r="W32" s="33">
        <v>0.55000000000000004</v>
      </c>
      <c r="X32" s="37">
        <v>0.66</v>
      </c>
    </row>
    <row r="33" spans="1:24" x14ac:dyDescent="0.25">
      <c r="A33" s="4" t="s">
        <v>32</v>
      </c>
      <c r="B33" s="4" t="s">
        <v>32</v>
      </c>
      <c r="C33" s="14">
        <v>20</v>
      </c>
      <c r="D33" s="14">
        <v>1220</v>
      </c>
      <c r="E33" s="14">
        <v>10</v>
      </c>
      <c r="F33" s="14">
        <v>50</v>
      </c>
      <c r="G33" s="19"/>
      <c r="H33" s="19"/>
      <c r="I33" s="19"/>
      <c r="J33" s="19"/>
      <c r="K33" s="19"/>
      <c r="L33" s="19">
        <v>1000</v>
      </c>
      <c r="M33" s="19"/>
      <c r="N33" s="19">
        <v>1000</v>
      </c>
      <c r="O33" s="19"/>
      <c r="P33" s="18">
        <f>SUM(G33:O33)</f>
        <v>2000</v>
      </c>
      <c r="Q33" s="19">
        <f>$P33/$F33</f>
        <v>40</v>
      </c>
      <c r="R33" s="23">
        <v>0.06</v>
      </c>
      <c r="S33" s="23">
        <f t="shared" si="2"/>
        <v>2.4</v>
      </c>
      <c r="T33" s="31">
        <v>17</v>
      </c>
      <c r="U33" s="31">
        <f t="shared" si="3"/>
        <v>680</v>
      </c>
      <c r="W33" s="33">
        <v>0.69</v>
      </c>
      <c r="X33" s="37">
        <v>0.83</v>
      </c>
    </row>
    <row r="34" spans="1:24" x14ac:dyDescent="0.25">
      <c r="A34" s="4" t="s">
        <v>31</v>
      </c>
      <c r="B34" s="4" t="s">
        <v>31</v>
      </c>
      <c r="C34" s="14">
        <v>20</v>
      </c>
      <c r="D34" s="14">
        <v>1524</v>
      </c>
      <c r="E34" s="14">
        <v>10</v>
      </c>
      <c r="F34" s="14">
        <v>50</v>
      </c>
      <c r="G34" s="19"/>
      <c r="H34" s="19"/>
      <c r="I34" s="19"/>
      <c r="J34" s="19"/>
      <c r="K34" s="19"/>
      <c r="L34" s="19"/>
      <c r="M34" s="19"/>
      <c r="N34" s="19"/>
      <c r="O34" s="19"/>
      <c r="P34" s="18">
        <f>SUM(G34:O34)</f>
        <v>0</v>
      </c>
      <c r="Q34" s="19">
        <f>$P34/$F34</f>
        <v>0</v>
      </c>
      <c r="R34" s="23">
        <v>7.0000000000000007E-2</v>
      </c>
      <c r="S34" s="23">
        <f t="shared" si="2"/>
        <v>0</v>
      </c>
      <c r="T34" s="31">
        <v>21.2</v>
      </c>
      <c r="U34" s="31">
        <f t="shared" si="3"/>
        <v>0</v>
      </c>
      <c r="W34" s="33">
        <v>0.84</v>
      </c>
      <c r="X34" s="37">
        <v>1.01</v>
      </c>
    </row>
    <row r="35" spans="1:24" x14ac:dyDescent="0.25">
      <c r="A35" s="4" t="s">
        <v>30</v>
      </c>
      <c r="B35" s="4" t="s">
        <v>30</v>
      </c>
      <c r="C35" s="14">
        <v>20</v>
      </c>
      <c r="D35" s="14">
        <v>1800</v>
      </c>
      <c r="E35" s="14">
        <v>10</v>
      </c>
      <c r="F35" s="14">
        <v>50</v>
      </c>
      <c r="G35" s="19"/>
      <c r="H35" s="19"/>
      <c r="I35" s="19"/>
      <c r="J35" s="19"/>
      <c r="K35" s="19"/>
      <c r="L35" s="19"/>
      <c r="M35" s="19"/>
      <c r="N35" s="19"/>
      <c r="O35" s="19"/>
      <c r="P35" s="18">
        <f>SUM(G35:O35)</f>
        <v>0</v>
      </c>
      <c r="Q35" s="19">
        <f>$P35/$F35</f>
        <v>0</v>
      </c>
      <c r="R35" s="23">
        <v>0.09</v>
      </c>
      <c r="S35" s="23">
        <f t="shared" si="2"/>
        <v>0</v>
      </c>
      <c r="T35" s="31">
        <v>26</v>
      </c>
      <c r="U35" s="31">
        <f t="shared" si="3"/>
        <v>0</v>
      </c>
      <c r="W35" s="33">
        <v>0.99</v>
      </c>
      <c r="X35" s="37">
        <v>1.19</v>
      </c>
    </row>
    <row r="36" spans="1:24" x14ac:dyDescent="0.25">
      <c r="A36" s="4" t="s">
        <v>29</v>
      </c>
      <c r="B36" s="4" t="s">
        <v>29</v>
      </c>
      <c r="C36" s="14">
        <v>20</v>
      </c>
      <c r="D36" s="14">
        <v>2100</v>
      </c>
      <c r="E36" s="14">
        <v>10</v>
      </c>
      <c r="F36" s="14">
        <v>50</v>
      </c>
      <c r="G36" s="19"/>
      <c r="H36" s="19"/>
      <c r="I36" s="19"/>
      <c r="J36" s="19"/>
      <c r="K36" s="19"/>
      <c r="L36" s="19"/>
      <c r="M36" s="19"/>
      <c r="N36" s="19"/>
      <c r="O36" s="19"/>
      <c r="P36" s="18">
        <f>SUM(G36:O36)</f>
        <v>0</v>
      </c>
      <c r="Q36" s="19">
        <f>$P36/$F36</f>
        <v>0</v>
      </c>
      <c r="R36" s="23">
        <v>7.0000000000000007E-2</v>
      </c>
      <c r="S36" s="23">
        <f t="shared" si="2"/>
        <v>0</v>
      </c>
      <c r="T36" s="31">
        <v>30</v>
      </c>
      <c r="U36" s="31">
        <f t="shared" si="3"/>
        <v>0</v>
      </c>
      <c r="W36" s="33">
        <v>1.1399999999999999</v>
      </c>
      <c r="X36" s="37">
        <v>1.37</v>
      </c>
    </row>
    <row r="37" spans="1:24" x14ac:dyDescent="0.25">
      <c r="A37" s="10" t="s">
        <v>28</v>
      </c>
      <c r="B37" s="10" t="s">
        <v>28</v>
      </c>
      <c r="C37" s="16">
        <v>20</v>
      </c>
      <c r="D37" s="16">
        <v>2400</v>
      </c>
      <c r="E37" s="16">
        <v>10</v>
      </c>
      <c r="F37" s="16">
        <v>50</v>
      </c>
      <c r="G37" s="20"/>
      <c r="H37" s="20"/>
      <c r="I37" s="20"/>
      <c r="J37" s="20"/>
      <c r="K37" s="20"/>
      <c r="L37" s="20"/>
      <c r="M37" s="20"/>
      <c r="N37" s="20"/>
      <c r="O37" s="20"/>
      <c r="P37" s="18">
        <f>SUM(G37:O37)</f>
        <v>0</v>
      </c>
      <c r="Q37" s="20">
        <f>$P37/$F37</f>
        <v>0</v>
      </c>
      <c r="R37" s="27">
        <v>7.0000000000000007E-2</v>
      </c>
      <c r="S37" s="27">
        <f t="shared" si="2"/>
        <v>0</v>
      </c>
      <c r="T37" s="32">
        <v>34.200000000000003</v>
      </c>
      <c r="U37" s="32">
        <f t="shared" si="3"/>
        <v>0</v>
      </c>
      <c r="W37" s="33">
        <v>1.33</v>
      </c>
      <c r="X37" s="37">
        <v>1.6</v>
      </c>
    </row>
    <row r="38" spans="1:24" ht="15" x14ac:dyDescent="0.25">
      <c r="A38" s="46" t="s">
        <v>45</v>
      </c>
      <c r="B38" s="1"/>
      <c r="C38" s="40"/>
      <c r="D38" s="30"/>
      <c r="E38" s="30"/>
      <c r="F38" s="30"/>
      <c r="G38" s="21"/>
      <c r="H38" s="21"/>
      <c r="I38" s="21"/>
      <c r="J38" s="21"/>
      <c r="K38" s="21"/>
      <c r="L38" s="78"/>
      <c r="M38" s="78"/>
      <c r="N38" s="78"/>
      <c r="O38" s="21"/>
      <c r="P38" s="21"/>
      <c r="Q38" s="21"/>
      <c r="R38" s="21"/>
      <c r="S38" s="21"/>
      <c r="T38" s="56"/>
      <c r="U38" s="56"/>
      <c r="W38" s="51"/>
    </row>
    <row r="39" spans="1:24" x14ac:dyDescent="0.25">
      <c r="A39" s="52" t="s">
        <v>65</v>
      </c>
      <c r="B39" s="52" t="s">
        <v>65</v>
      </c>
      <c r="C39" s="53" t="s">
        <v>47</v>
      </c>
      <c r="D39" s="53">
        <v>200</v>
      </c>
      <c r="E39" s="53">
        <v>10</v>
      </c>
      <c r="F39" s="53">
        <v>150</v>
      </c>
      <c r="G39" s="17"/>
      <c r="H39" s="17"/>
      <c r="I39" s="17"/>
      <c r="J39" s="17"/>
      <c r="K39" s="17">
        <v>300</v>
      </c>
      <c r="L39" s="17">
        <v>300</v>
      </c>
      <c r="M39" s="17"/>
      <c r="N39" s="17">
        <v>300</v>
      </c>
      <c r="O39" s="17"/>
      <c r="P39" s="18">
        <f>SUM(G39:O39)</f>
        <v>900</v>
      </c>
      <c r="Q39" s="17">
        <f>$P39/$F39</f>
        <v>6</v>
      </c>
      <c r="R39" s="54">
        <v>0.06</v>
      </c>
      <c r="S39" s="54">
        <f t="shared" ref="S39:S56" si="4">$Q39*$R39</f>
        <v>0.36</v>
      </c>
      <c r="T39" s="55">
        <v>10.8</v>
      </c>
      <c r="U39" s="55">
        <f t="shared" ref="U39:U56" si="5">T39*Q39</f>
        <v>64.800000000000011</v>
      </c>
      <c r="W39" s="33">
        <v>0.2</v>
      </c>
      <c r="X39" s="37">
        <v>0.24</v>
      </c>
    </row>
    <row r="40" spans="1:24" x14ac:dyDescent="0.25">
      <c r="A40" s="4" t="s">
        <v>64</v>
      </c>
      <c r="B40" s="4">
        <v>90448000</v>
      </c>
      <c r="C40" s="14" t="s">
        <v>47</v>
      </c>
      <c r="D40" s="14">
        <v>270</v>
      </c>
      <c r="E40" s="14">
        <v>10</v>
      </c>
      <c r="F40" s="14">
        <v>100</v>
      </c>
      <c r="G40" s="19"/>
      <c r="H40" s="19"/>
      <c r="I40" s="19"/>
      <c r="J40" s="19"/>
      <c r="K40" s="19"/>
      <c r="L40" s="19">
        <v>1000</v>
      </c>
      <c r="M40" s="19"/>
      <c r="N40" s="19"/>
      <c r="O40" s="19"/>
      <c r="P40" s="18">
        <f>SUM(G40:O40)</f>
        <v>1000</v>
      </c>
      <c r="Q40" s="19">
        <f>$P40/$F40</f>
        <v>10</v>
      </c>
      <c r="R40" s="23">
        <v>0.06</v>
      </c>
      <c r="S40" s="23">
        <f t="shared" si="4"/>
        <v>0.6</v>
      </c>
      <c r="T40" s="31">
        <v>9.8000000000000007</v>
      </c>
      <c r="U40" s="31">
        <f t="shared" si="5"/>
        <v>98</v>
      </c>
      <c r="W40" s="33">
        <v>0.28999999999999998</v>
      </c>
      <c r="X40" s="37">
        <v>0.35</v>
      </c>
    </row>
    <row r="41" spans="1:24" x14ac:dyDescent="0.25">
      <c r="A41" s="4" t="s">
        <v>62</v>
      </c>
      <c r="B41" s="4" t="s">
        <v>63</v>
      </c>
      <c r="C41" s="14">
        <v>25</v>
      </c>
      <c r="D41" s="14">
        <v>375</v>
      </c>
      <c r="E41" s="14">
        <v>10</v>
      </c>
      <c r="F41" s="14">
        <v>100</v>
      </c>
      <c r="G41" s="19"/>
      <c r="H41" s="19"/>
      <c r="I41" s="19"/>
      <c r="J41" s="19"/>
      <c r="K41" s="19">
        <v>500</v>
      </c>
      <c r="L41" s="19">
        <v>500</v>
      </c>
      <c r="M41" s="19"/>
      <c r="N41" s="19">
        <v>1000</v>
      </c>
      <c r="O41" s="19"/>
      <c r="P41" s="18">
        <f>SUM(G41:O41)</f>
        <v>2000</v>
      </c>
      <c r="Q41" s="19">
        <f>$P41/$F41</f>
        <v>20</v>
      </c>
      <c r="R41" s="23">
        <v>0.06</v>
      </c>
      <c r="S41" s="23">
        <f t="shared" si="4"/>
        <v>1.2</v>
      </c>
      <c r="T41" s="31">
        <v>13.7</v>
      </c>
      <c r="U41" s="31">
        <f t="shared" si="5"/>
        <v>274</v>
      </c>
      <c r="W41" s="33">
        <v>0.32</v>
      </c>
      <c r="X41" s="37">
        <v>0.39</v>
      </c>
    </row>
    <row r="42" spans="1:24" x14ac:dyDescent="0.25">
      <c r="A42" s="4" t="s">
        <v>60</v>
      </c>
      <c r="B42" s="4" t="s">
        <v>60</v>
      </c>
      <c r="C42" s="14">
        <v>25</v>
      </c>
      <c r="D42" s="14">
        <v>457</v>
      </c>
      <c r="E42" s="14">
        <v>10</v>
      </c>
      <c r="F42" s="14">
        <v>100</v>
      </c>
      <c r="G42" s="19"/>
      <c r="H42" s="19"/>
      <c r="I42" s="19"/>
      <c r="J42" s="19"/>
      <c r="K42" s="19">
        <v>300</v>
      </c>
      <c r="L42" s="19">
        <v>1000</v>
      </c>
      <c r="M42" s="19"/>
      <c r="N42" s="19">
        <v>1000</v>
      </c>
      <c r="O42" s="19"/>
      <c r="P42" s="18">
        <f>SUM(G42:O42)</f>
        <v>2300</v>
      </c>
      <c r="Q42" s="19">
        <f>$P42/$F42</f>
        <v>23</v>
      </c>
      <c r="R42" s="23">
        <v>0.06</v>
      </c>
      <c r="S42" s="23">
        <f t="shared" si="4"/>
        <v>1.38</v>
      </c>
      <c r="T42" s="31">
        <v>17</v>
      </c>
      <c r="U42" s="31">
        <f t="shared" si="5"/>
        <v>391</v>
      </c>
      <c r="W42" s="33">
        <v>0.37</v>
      </c>
      <c r="X42" s="37">
        <v>0.45</v>
      </c>
    </row>
    <row r="43" spans="1:24" x14ac:dyDescent="0.25">
      <c r="A43" s="4" t="s">
        <v>61</v>
      </c>
      <c r="B43" s="4">
        <v>90443400</v>
      </c>
      <c r="C43" s="14" t="s">
        <v>47</v>
      </c>
      <c r="D43" s="14">
        <v>450</v>
      </c>
      <c r="E43" s="14">
        <v>10</v>
      </c>
      <c r="F43" s="14">
        <v>100</v>
      </c>
      <c r="G43" s="19"/>
      <c r="H43" s="19"/>
      <c r="I43" s="19"/>
      <c r="J43" s="19"/>
      <c r="K43" s="19">
        <v>200</v>
      </c>
      <c r="L43" s="19">
        <v>2000</v>
      </c>
      <c r="M43" s="19">
        <v>1000</v>
      </c>
      <c r="N43" s="19">
        <v>2000</v>
      </c>
      <c r="O43" s="19"/>
      <c r="P43" s="18">
        <f>SUM(G43:O43)</f>
        <v>5200</v>
      </c>
      <c r="Q43" s="19">
        <f>$P43/$F43</f>
        <v>52</v>
      </c>
      <c r="R43" s="23">
        <v>0.06</v>
      </c>
      <c r="S43" s="23">
        <f t="shared" si="4"/>
        <v>3.12</v>
      </c>
      <c r="T43" s="31">
        <v>17</v>
      </c>
      <c r="U43" s="31">
        <f t="shared" si="5"/>
        <v>884</v>
      </c>
      <c r="W43" s="33">
        <v>0.38</v>
      </c>
      <c r="X43" s="37">
        <v>0.46</v>
      </c>
    </row>
    <row r="44" spans="1:24" x14ac:dyDescent="0.25">
      <c r="A44" s="4" t="s">
        <v>58</v>
      </c>
      <c r="B44" s="4" t="s">
        <v>58</v>
      </c>
      <c r="C44" s="14">
        <v>25</v>
      </c>
      <c r="D44" s="14">
        <v>610</v>
      </c>
      <c r="E44" s="14">
        <v>10</v>
      </c>
      <c r="F44" s="14">
        <v>50</v>
      </c>
      <c r="G44" s="19"/>
      <c r="H44" s="19"/>
      <c r="I44" s="19"/>
      <c r="J44" s="19">
        <v>400</v>
      </c>
      <c r="K44" s="19"/>
      <c r="L44" s="19">
        <v>500</v>
      </c>
      <c r="M44" s="19"/>
      <c r="N44" s="19">
        <v>500</v>
      </c>
      <c r="O44" s="19"/>
      <c r="P44" s="18">
        <f>SUM(G44:O44)</f>
        <v>1400</v>
      </c>
      <c r="Q44" s="19">
        <f>$P44/$F44</f>
        <v>28</v>
      </c>
      <c r="R44" s="23">
        <v>0.04</v>
      </c>
      <c r="S44" s="23">
        <f t="shared" si="4"/>
        <v>1.1200000000000001</v>
      </c>
      <c r="T44" s="31">
        <v>11.75</v>
      </c>
      <c r="U44" s="31">
        <f t="shared" si="5"/>
        <v>329</v>
      </c>
      <c r="W44" s="33">
        <v>0.48</v>
      </c>
      <c r="X44" s="37">
        <v>0.57999999999999996</v>
      </c>
    </row>
    <row r="45" spans="1:24" x14ac:dyDescent="0.25">
      <c r="A45" s="4" t="s">
        <v>59</v>
      </c>
      <c r="B45" s="4">
        <v>90443600</v>
      </c>
      <c r="C45" s="14" t="s">
        <v>47</v>
      </c>
      <c r="D45" s="14">
        <v>600</v>
      </c>
      <c r="E45" s="14">
        <v>10</v>
      </c>
      <c r="F45" s="14">
        <v>50</v>
      </c>
      <c r="G45" s="19"/>
      <c r="H45" s="19"/>
      <c r="I45" s="19"/>
      <c r="J45" s="19"/>
      <c r="K45" s="19"/>
      <c r="L45" s="19">
        <v>1000</v>
      </c>
      <c r="M45" s="19">
        <v>1000</v>
      </c>
      <c r="N45" s="19">
        <v>1000</v>
      </c>
      <c r="O45" s="19"/>
      <c r="P45" s="18">
        <f>SUM(G45:O45)</f>
        <v>3000</v>
      </c>
      <c r="Q45" s="19">
        <f>$P45/$F45</f>
        <v>60</v>
      </c>
      <c r="R45" s="23">
        <v>0.04</v>
      </c>
      <c r="S45" s="23">
        <f t="shared" si="4"/>
        <v>2.4</v>
      </c>
      <c r="T45" s="31">
        <v>11.75</v>
      </c>
      <c r="U45" s="31">
        <f t="shared" si="5"/>
        <v>705</v>
      </c>
      <c r="W45" s="33">
        <v>0.5</v>
      </c>
      <c r="X45" s="37">
        <v>0.6</v>
      </c>
    </row>
    <row r="46" spans="1:24" x14ac:dyDescent="0.25">
      <c r="A46" s="4" t="s">
        <v>56</v>
      </c>
      <c r="B46" s="4" t="s">
        <v>56</v>
      </c>
      <c r="C46" s="14">
        <v>25</v>
      </c>
      <c r="D46" s="14">
        <v>750</v>
      </c>
      <c r="E46" s="14">
        <v>10</v>
      </c>
      <c r="F46" s="14">
        <v>50</v>
      </c>
      <c r="G46" s="19"/>
      <c r="H46" s="19"/>
      <c r="I46" s="19"/>
      <c r="J46" s="19"/>
      <c r="K46" s="19"/>
      <c r="L46" s="19"/>
      <c r="M46" s="19"/>
      <c r="N46" s="19">
        <v>500</v>
      </c>
      <c r="O46" s="19"/>
      <c r="P46" s="18">
        <f>SUM(G46:O46)</f>
        <v>500</v>
      </c>
      <c r="Q46" s="19">
        <f>$P46/$F46</f>
        <v>10</v>
      </c>
      <c r="R46" s="23">
        <v>0.05</v>
      </c>
      <c r="S46" s="23">
        <f t="shared" si="4"/>
        <v>0.5</v>
      </c>
      <c r="T46" s="31">
        <v>14.3</v>
      </c>
      <c r="U46" s="31">
        <f t="shared" si="5"/>
        <v>143</v>
      </c>
      <c r="W46" s="33">
        <v>0.59</v>
      </c>
      <c r="X46" s="37">
        <v>0.71</v>
      </c>
    </row>
    <row r="47" spans="1:24" x14ac:dyDescent="0.25">
      <c r="A47" s="4" t="s">
        <v>57</v>
      </c>
      <c r="B47" s="4">
        <v>90443700</v>
      </c>
      <c r="C47" s="14" t="s">
        <v>47</v>
      </c>
      <c r="D47" s="14">
        <v>750</v>
      </c>
      <c r="E47" s="14">
        <v>10</v>
      </c>
      <c r="F47" s="14">
        <v>50</v>
      </c>
      <c r="G47" s="19"/>
      <c r="H47" s="19"/>
      <c r="I47" s="19"/>
      <c r="J47" s="19">
        <v>500</v>
      </c>
      <c r="K47" s="19"/>
      <c r="L47" s="19">
        <v>500</v>
      </c>
      <c r="M47" s="19">
        <v>1000</v>
      </c>
      <c r="N47" s="19">
        <v>1000</v>
      </c>
      <c r="O47" s="19"/>
      <c r="P47" s="18">
        <f>SUM(G47:O47)</f>
        <v>3000</v>
      </c>
      <c r="Q47" s="19">
        <f>$P47/$F47</f>
        <v>60</v>
      </c>
      <c r="R47" s="23">
        <v>0.05</v>
      </c>
      <c r="S47" s="23">
        <f t="shared" si="4"/>
        <v>3</v>
      </c>
      <c r="T47" s="31">
        <v>14.3</v>
      </c>
      <c r="U47" s="31">
        <f t="shared" si="5"/>
        <v>858</v>
      </c>
      <c r="W47" s="33">
        <v>0.6</v>
      </c>
      <c r="X47" s="37">
        <v>0.72</v>
      </c>
    </row>
    <row r="48" spans="1:24" x14ac:dyDescent="0.25">
      <c r="A48" s="4" t="s">
        <v>54</v>
      </c>
      <c r="B48" s="4" t="s">
        <v>54</v>
      </c>
      <c r="C48" s="14">
        <v>25</v>
      </c>
      <c r="D48" s="14">
        <v>915</v>
      </c>
      <c r="E48" s="14">
        <v>10</v>
      </c>
      <c r="F48" s="14">
        <v>50</v>
      </c>
      <c r="G48" s="19"/>
      <c r="H48" s="19"/>
      <c r="I48" s="19"/>
      <c r="J48" s="19"/>
      <c r="K48" s="19">
        <v>500</v>
      </c>
      <c r="L48" s="19">
        <v>500</v>
      </c>
      <c r="M48" s="19"/>
      <c r="N48" s="19">
        <v>500</v>
      </c>
      <c r="O48" s="19"/>
      <c r="P48" s="18">
        <f>SUM(G48:O48)</f>
        <v>1500</v>
      </c>
      <c r="Q48" s="19">
        <f>$P48/$F48</f>
        <v>30</v>
      </c>
      <c r="R48" s="23">
        <v>0.06</v>
      </c>
      <c r="S48" s="23">
        <f t="shared" si="4"/>
        <v>1.7999999999999998</v>
      </c>
      <c r="T48" s="31">
        <v>17</v>
      </c>
      <c r="U48" s="31">
        <f t="shared" si="5"/>
        <v>510</v>
      </c>
      <c r="W48" s="33">
        <v>0.69</v>
      </c>
      <c r="X48" s="37">
        <v>0.83</v>
      </c>
    </row>
    <row r="49" spans="1:24" x14ac:dyDescent="0.25">
      <c r="A49" s="4" t="s">
        <v>55</v>
      </c>
      <c r="B49" s="4">
        <v>90443800</v>
      </c>
      <c r="C49" s="14" t="s">
        <v>47</v>
      </c>
      <c r="D49" s="14">
        <v>900</v>
      </c>
      <c r="E49" s="14">
        <v>10</v>
      </c>
      <c r="F49" s="14">
        <v>50</v>
      </c>
      <c r="G49" s="19"/>
      <c r="H49" s="19"/>
      <c r="I49" s="19"/>
      <c r="J49" s="19"/>
      <c r="K49" s="19"/>
      <c r="L49" s="19">
        <v>1000</v>
      </c>
      <c r="M49" s="19">
        <v>2000</v>
      </c>
      <c r="N49" s="19">
        <v>2000</v>
      </c>
      <c r="O49" s="19"/>
      <c r="P49" s="18">
        <f>SUM(G49:O49)</f>
        <v>5000</v>
      </c>
      <c r="Q49" s="19">
        <f>$P49/$F49</f>
        <v>100</v>
      </c>
      <c r="R49" s="23">
        <v>0.06</v>
      </c>
      <c r="S49" s="23">
        <f t="shared" si="4"/>
        <v>6</v>
      </c>
      <c r="T49" s="31">
        <v>17</v>
      </c>
      <c r="U49" s="31">
        <f t="shared" si="5"/>
        <v>1700</v>
      </c>
      <c r="W49" s="33">
        <v>0.72</v>
      </c>
      <c r="X49" s="37">
        <v>0.86</v>
      </c>
    </row>
    <row r="50" spans="1:24" x14ac:dyDescent="0.25">
      <c r="A50" s="4" t="s">
        <v>52</v>
      </c>
      <c r="B50" s="4" t="s">
        <v>52</v>
      </c>
      <c r="C50" s="14">
        <v>25</v>
      </c>
      <c r="D50" s="14">
        <v>1220</v>
      </c>
      <c r="E50" s="14">
        <v>10</v>
      </c>
      <c r="F50" s="14">
        <v>50</v>
      </c>
      <c r="G50" s="19"/>
      <c r="H50" s="19"/>
      <c r="I50" s="19"/>
      <c r="J50" s="19"/>
      <c r="K50" s="19"/>
      <c r="L50" s="19">
        <v>500</v>
      </c>
      <c r="M50" s="19"/>
      <c r="N50" s="19">
        <v>500</v>
      </c>
      <c r="O50" s="19"/>
      <c r="P50" s="18">
        <f>SUM(G50:O50)</f>
        <v>1000</v>
      </c>
      <c r="Q50" s="19">
        <f>$P50/$F50</f>
        <v>20</v>
      </c>
      <c r="R50" s="23">
        <v>0.08</v>
      </c>
      <c r="S50" s="23">
        <f t="shared" si="4"/>
        <v>1.6</v>
      </c>
      <c r="T50" s="31">
        <v>22</v>
      </c>
      <c r="U50" s="31">
        <f t="shared" si="5"/>
        <v>440</v>
      </c>
      <c r="W50" s="33">
        <v>0.91</v>
      </c>
      <c r="X50" s="37">
        <v>1.1000000000000001</v>
      </c>
    </row>
    <row r="51" spans="1:24" x14ac:dyDescent="0.25">
      <c r="A51" s="4" t="s">
        <v>53</v>
      </c>
      <c r="B51" s="4">
        <v>90444000</v>
      </c>
      <c r="C51" s="14" t="s">
        <v>47</v>
      </c>
      <c r="D51" s="14">
        <v>1200</v>
      </c>
      <c r="E51" s="14">
        <v>10</v>
      </c>
      <c r="F51" s="14">
        <v>50</v>
      </c>
      <c r="G51" s="19"/>
      <c r="H51" s="19"/>
      <c r="I51" s="19"/>
      <c r="J51" s="19"/>
      <c r="K51" s="19"/>
      <c r="L51" s="19">
        <v>500</v>
      </c>
      <c r="M51" s="19">
        <v>500</v>
      </c>
      <c r="N51" s="19">
        <v>1000</v>
      </c>
      <c r="O51" s="19"/>
      <c r="P51" s="18">
        <f>SUM(G51:O51)</f>
        <v>2000</v>
      </c>
      <c r="Q51" s="19">
        <f>$P51/$F51</f>
        <v>40</v>
      </c>
      <c r="R51" s="23">
        <v>0.08</v>
      </c>
      <c r="S51" s="23">
        <f t="shared" si="4"/>
        <v>3.2</v>
      </c>
      <c r="T51" s="31">
        <v>22</v>
      </c>
      <c r="U51" s="31">
        <f t="shared" si="5"/>
        <v>880</v>
      </c>
      <c r="W51" s="33">
        <v>0.94</v>
      </c>
      <c r="X51" s="37">
        <v>1.1299999999999999</v>
      </c>
    </row>
    <row r="52" spans="1:24" x14ac:dyDescent="0.25">
      <c r="A52" s="4" t="s">
        <v>51</v>
      </c>
      <c r="B52" s="4" t="s">
        <v>51</v>
      </c>
      <c r="C52" s="14">
        <v>25</v>
      </c>
      <c r="D52" s="14">
        <v>1500</v>
      </c>
      <c r="E52" s="14">
        <v>10</v>
      </c>
      <c r="F52" s="14">
        <v>50</v>
      </c>
      <c r="G52" s="19"/>
      <c r="H52" s="19"/>
      <c r="I52" s="19"/>
      <c r="J52" s="19"/>
      <c r="K52" s="19"/>
      <c r="L52" s="19"/>
      <c r="M52" s="19"/>
      <c r="N52" s="19">
        <v>200</v>
      </c>
      <c r="O52" s="19"/>
      <c r="P52" s="18">
        <f>SUM(G52:O52)</f>
        <v>200</v>
      </c>
      <c r="Q52" s="19">
        <f>$P52/$F52</f>
        <v>4</v>
      </c>
      <c r="R52" s="23">
        <v>0.11</v>
      </c>
      <c r="S52" s="23">
        <f t="shared" si="4"/>
        <v>0.44</v>
      </c>
      <c r="T52" s="31">
        <v>29.65</v>
      </c>
      <c r="U52" s="31">
        <f t="shared" si="5"/>
        <v>118.6</v>
      </c>
      <c r="W52" s="33">
        <v>1.2</v>
      </c>
      <c r="X52" s="37">
        <v>1.44</v>
      </c>
    </row>
    <row r="53" spans="1:24" x14ac:dyDescent="0.25">
      <c r="A53" s="4" t="s">
        <v>50</v>
      </c>
      <c r="B53" s="4" t="s">
        <v>50</v>
      </c>
      <c r="C53" s="14">
        <v>25</v>
      </c>
      <c r="D53" s="14">
        <v>1650</v>
      </c>
      <c r="E53" s="14">
        <v>10</v>
      </c>
      <c r="F53" s="14">
        <v>50</v>
      </c>
      <c r="G53" s="19"/>
      <c r="H53" s="19"/>
      <c r="I53" s="19"/>
      <c r="J53" s="19"/>
      <c r="K53" s="19"/>
      <c r="L53" s="19"/>
      <c r="M53" s="19"/>
      <c r="N53" s="19"/>
      <c r="O53" s="19"/>
      <c r="P53" s="18">
        <f>SUM(G53:O53)</f>
        <v>0</v>
      </c>
      <c r="Q53" s="19">
        <f>$P53/$F53</f>
        <v>0</v>
      </c>
      <c r="R53" s="23">
        <v>0.12</v>
      </c>
      <c r="S53" s="23">
        <f t="shared" si="4"/>
        <v>0</v>
      </c>
      <c r="T53" s="31">
        <v>30.5</v>
      </c>
      <c r="U53" s="31">
        <f t="shared" si="5"/>
        <v>0</v>
      </c>
      <c r="W53" s="33">
        <v>1.2</v>
      </c>
      <c r="X53" s="37">
        <v>1.44</v>
      </c>
    </row>
    <row r="54" spans="1:24" x14ac:dyDescent="0.25">
      <c r="A54" s="4" t="s">
        <v>48</v>
      </c>
      <c r="B54" s="4" t="s">
        <v>48</v>
      </c>
      <c r="C54" s="14">
        <v>25</v>
      </c>
      <c r="D54" s="14">
        <v>1800</v>
      </c>
      <c r="E54" s="14">
        <v>10</v>
      </c>
      <c r="F54" s="14">
        <v>50</v>
      </c>
      <c r="G54" s="19"/>
      <c r="H54" s="19"/>
      <c r="I54" s="19"/>
      <c r="J54" s="19"/>
      <c r="K54" s="19"/>
      <c r="L54" s="19"/>
      <c r="M54" s="19"/>
      <c r="N54" s="19"/>
      <c r="O54" s="19"/>
      <c r="P54" s="18">
        <f>SUM(G54:O54)</f>
        <v>0</v>
      </c>
      <c r="Q54" s="19">
        <f>$P54/$F54</f>
        <v>0</v>
      </c>
      <c r="R54" s="23">
        <v>0.12</v>
      </c>
      <c r="S54" s="23">
        <f t="shared" si="4"/>
        <v>0</v>
      </c>
      <c r="T54" s="31">
        <v>33</v>
      </c>
      <c r="U54" s="31">
        <f t="shared" si="5"/>
        <v>0</v>
      </c>
      <c r="W54" s="33">
        <v>1.31</v>
      </c>
      <c r="X54" s="37">
        <v>1.57</v>
      </c>
    </row>
    <row r="55" spans="1:24" x14ac:dyDescent="0.25">
      <c r="A55" s="4" t="s">
        <v>49</v>
      </c>
      <c r="B55" s="4">
        <v>90443900</v>
      </c>
      <c r="C55" s="14" t="s">
        <v>47</v>
      </c>
      <c r="D55" s="14">
        <v>1800</v>
      </c>
      <c r="E55" s="14">
        <v>10</v>
      </c>
      <c r="F55" s="14">
        <v>50</v>
      </c>
      <c r="G55" s="19"/>
      <c r="H55" s="19"/>
      <c r="I55" s="19"/>
      <c r="J55" s="19"/>
      <c r="K55" s="19">
        <v>200</v>
      </c>
      <c r="L55" s="19"/>
      <c r="M55" s="19"/>
      <c r="N55" s="19">
        <v>200</v>
      </c>
      <c r="O55" s="19"/>
      <c r="P55" s="18">
        <f>SUM(G55:O55)</f>
        <v>400</v>
      </c>
      <c r="Q55" s="19">
        <f>$P55/$F55</f>
        <v>8</v>
      </c>
      <c r="R55" s="23">
        <v>0.12</v>
      </c>
      <c r="S55" s="23">
        <f t="shared" si="4"/>
        <v>0.96</v>
      </c>
      <c r="T55" s="31">
        <v>33</v>
      </c>
      <c r="U55" s="31">
        <f t="shared" si="5"/>
        <v>264</v>
      </c>
      <c r="W55" s="33">
        <v>1.38</v>
      </c>
      <c r="X55" s="37">
        <v>1.66</v>
      </c>
    </row>
    <row r="56" spans="1:24" x14ac:dyDescent="0.25">
      <c r="A56" s="10" t="s">
        <v>46</v>
      </c>
      <c r="B56" s="10">
        <v>90443000</v>
      </c>
      <c r="C56" s="16" t="s">
        <v>47</v>
      </c>
      <c r="D56" s="16">
        <v>2100</v>
      </c>
      <c r="E56" s="16">
        <v>10</v>
      </c>
      <c r="F56" s="16">
        <v>50</v>
      </c>
      <c r="G56" s="20"/>
      <c r="H56" s="20"/>
      <c r="I56" s="20"/>
      <c r="J56" s="20"/>
      <c r="K56" s="20"/>
      <c r="L56" s="20"/>
      <c r="M56" s="20"/>
      <c r="N56" s="20"/>
      <c r="O56" s="20"/>
      <c r="P56" s="18">
        <f>SUM(G56:O56)</f>
        <v>0</v>
      </c>
      <c r="Q56" s="20">
        <f>$P56/$F56</f>
        <v>0</v>
      </c>
      <c r="R56" s="27">
        <v>0.09</v>
      </c>
      <c r="S56" s="27">
        <f t="shared" si="4"/>
        <v>0</v>
      </c>
      <c r="T56" s="32">
        <v>40</v>
      </c>
      <c r="U56" s="32">
        <f t="shared" si="5"/>
        <v>0</v>
      </c>
      <c r="W56" s="33">
        <v>1.66</v>
      </c>
      <c r="X56" s="37">
        <v>1.99</v>
      </c>
    </row>
    <row r="57" spans="1:24" x14ac:dyDescent="0.25">
      <c r="A57" s="21" t="s">
        <v>66</v>
      </c>
      <c r="B57" s="1"/>
      <c r="C57" s="40"/>
      <c r="D57" s="30"/>
      <c r="E57" s="30"/>
      <c r="F57" s="30"/>
      <c r="G57" s="21"/>
      <c r="H57" s="21"/>
      <c r="I57" s="21"/>
      <c r="J57" s="21"/>
      <c r="K57" s="21"/>
      <c r="L57" s="78"/>
      <c r="M57" s="78"/>
      <c r="N57" s="78"/>
      <c r="O57" s="21"/>
      <c r="P57" s="21"/>
      <c r="Q57" s="21"/>
      <c r="R57" s="21"/>
      <c r="S57" s="21"/>
      <c r="T57" s="56"/>
      <c r="U57" s="56"/>
      <c r="W57" s="51"/>
    </row>
    <row r="58" spans="1:24" x14ac:dyDescent="0.25">
      <c r="A58" s="52" t="s">
        <v>67</v>
      </c>
      <c r="B58" s="52" t="s">
        <v>67</v>
      </c>
      <c r="C58" s="53">
        <v>32</v>
      </c>
      <c r="D58" s="53">
        <v>100</v>
      </c>
      <c r="E58" s="53">
        <v>10</v>
      </c>
      <c r="F58" s="53">
        <v>300</v>
      </c>
      <c r="G58" s="17"/>
      <c r="H58" s="17"/>
      <c r="I58" s="17"/>
      <c r="J58" s="17"/>
      <c r="K58" s="17"/>
      <c r="L58" s="17"/>
      <c r="M58" s="17"/>
      <c r="N58" s="17"/>
      <c r="O58" s="17"/>
      <c r="P58" s="18">
        <f>SUM(G58:O58)</f>
        <v>0</v>
      </c>
      <c r="Q58" s="17">
        <f>$P58/$F58</f>
        <v>0</v>
      </c>
      <c r="R58" s="54">
        <v>0.09</v>
      </c>
      <c r="S58" s="54">
        <f t="shared" ref="S58:S72" si="6">$Q58*$R58</f>
        <v>0</v>
      </c>
      <c r="T58" s="55">
        <v>13.45</v>
      </c>
      <c r="U58" s="55">
        <f t="shared" ref="U58:U72" si="7">T58*Q58</f>
        <v>0</v>
      </c>
      <c r="W58" s="33">
        <v>0.2</v>
      </c>
      <c r="X58" s="37">
        <v>0.24</v>
      </c>
    </row>
    <row r="59" spans="1:24" x14ac:dyDescent="0.25">
      <c r="A59" s="4" t="s">
        <v>68</v>
      </c>
      <c r="B59" s="4" t="s">
        <v>68</v>
      </c>
      <c r="C59" s="14">
        <v>32</v>
      </c>
      <c r="D59" s="14">
        <v>150</v>
      </c>
      <c r="E59" s="14">
        <v>10</v>
      </c>
      <c r="F59" s="14">
        <v>300</v>
      </c>
      <c r="G59" s="19"/>
      <c r="H59" s="19"/>
      <c r="I59" s="19"/>
      <c r="J59" s="19"/>
      <c r="K59" s="19"/>
      <c r="L59" s="19"/>
      <c r="M59" s="19"/>
      <c r="N59" s="19">
        <v>300</v>
      </c>
      <c r="O59" s="19"/>
      <c r="P59" s="18">
        <f>SUM(G59:O59)</f>
        <v>300</v>
      </c>
      <c r="Q59" s="19">
        <f>$P59/$F59</f>
        <v>1</v>
      </c>
      <c r="R59" s="23">
        <v>0.09</v>
      </c>
      <c r="S59" s="23">
        <f t="shared" si="6"/>
        <v>0.09</v>
      </c>
      <c r="T59" s="31">
        <v>22.5</v>
      </c>
      <c r="U59" s="31">
        <f t="shared" si="7"/>
        <v>22.5</v>
      </c>
      <c r="W59" s="33">
        <v>0.23</v>
      </c>
      <c r="X59" s="37">
        <v>0.28000000000000003</v>
      </c>
    </row>
    <row r="60" spans="1:24" x14ac:dyDescent="0.25">
      <c r="A60" s="4" t="s">
        <v>69</v>
      </c>
      <c r="B60" s="4">
        <v>90446200</v>
      </c>
      <c r="C60" s="14">
        <v>32</v>
      </c>
      <c r="D60" s="14">
        <v>150</v>
      </c>
      <c r="E60" s="14">
        <v>10</v>
      </c>
      <c r="F60" s="14">
        <v>300</v>
      </c>
      <c r="G60" s="19"/>
      <c r="H60" s="19"/>
      <c r="I60" s="19"/>
      <c r="J60" s="19"/>
      <c r="K60" s="19"/>
      <c r="L60" s="19">
        <v>300</v>
      </c>
      <c r="M60" s="19"/>
      <c r="N60" s="19">
        <v>300</v>
      </c>
      <c r="O60" s="19"/>
      <c r="P60" s="18">
        <f>SUM(G60:O60)</f>
        <v>600</v>
      </c>
      <c r="Q60" s="19">
        <f>$P60/$F60</f>
        <v>2</v>
      </c>
      <c r="R60" s="23">
        <v>0.09</v>
      </c>
      <c r="S60" s="23">
        <f t="shared" si="6"/>
        <v>0.18</v>
      </c>
      <c r="T60" s="31">
        <v>22.5</v>
      </c>
      <c r="U60" s="31">
        <f t="shared" si="7"/>
        <v>45</v>
      </c>
      <c r="W60" s="33">
        <v>0.24</v>
      </c>
      <c r="X60" s="37">
        <v>0.28999999999999998</v>
      </c>
    </row>
    <row r="61" spans="1:24" x14ac:dyDescent="0.25">
      <c r="A61" s="4" t="s">
        <v>70</v>
      </c>
      <c r="B61" s="4" t="s">
        <v>70</v>
      </c>
      <c r="C61" s="14">
        <v>32</v>
      </c>
      <c r="D61" s="14">
        <v>200</v>
      </c>
      <c r="E61" s="14">
        <v>10</v>
      </c>
      <c r="F61" s="14">
        <v>300</v>
      </c>
      <c r="G61" s="19"/>
      <c r="H61" s="19"/>
      <c r="I61" s="19"/>
      <c r="J61" s="19"/>
      <c r="K61" s="19"/>
      <c r="L61" s="19"/>
      <c r="M61" s="19"/>
      <c r="N61" s="19">
        <v>300</v>
      </c>
      <c r="O61" s="19"/>
      <c r="P61" s="18">
        <f>SUM(G61:O61)</f>
        <v>300</v>
      </c>
      <c r="Q61" s="19">
        <f>$P61/$F61</f>
        <v>1</v>
      </c>
      <c r="R61" s="23">
        <v>0.09</v>
      </c>
      <c r="S61" s="23">
        <f t="shared" si="6"/>
        <v>0.09</v>
      </c>
      <c r="T61" s="31">
        <v>30</v>
      </c>
      <c r="U61" s="31">
        <f t="shared" si="7"/>
        <v>30</v>
      </c>
      <c r="W61" s="33">
        <v>0.27</v>
      </c>
      <c r="X61" s="37">
        <v>0.33</v>
      </c>
    </row>
    <row r="62" spans="1:24" x14ac:dyDescent="0.25">
      <c r="A62" s="4" t="s">
        <v>71</v>
      </c>
      <c r="B62" s="4" t="s">
        <v>71</v>
      </c>
      <c r="C62" s="14">
        <v>32</v>
      </c>
      <c r="D62" s="14">
        <v>300</v>
      </c>
      <c r="E62" s="14">
        <v>10</v>
      </c>
      <c r="F62" s="14">
        <v>150</v>
      </c>
      <c r="G62" s="19"/>
      <c r="H62" s="19"/>
      <c r="I62" s="19"/>
      <c r="J62" s="19"/>
      <c r="K62" s="19"/>
      <c r="L62" s="19"/>
      <c r="M62" s="19"/>
      <c r="N62" s="19">
        <v>300</v>
      </c>
      <c r="O62" s="19"/>
      <c r="P62" s="18">
        <f>SUM(G62:O62)</f>
        <v>300</v>
      </c>
      <c r="Q62" s="19">
        <f>$P62/$F62</f>
        <v>2</v>
      </c>
      <c r="R62" s="23">
        <v>0.09</v>
      </c>
      <c r="S62" s="23">
        <f t="shared" si="6"/>
        <v>0.18</v>
      </c>
      <c r="T62" s="31">
        <v>22.5</v>
      </c>
      <c r="U62" s="31">
        <f t="shared" si="7"/>
        <v>45</v>
      </c>
      <c r="W62" s="33">
        <v>0.36</v>
      </c>
      <c r="X62" s="37">
        <v>0.44</v>
      </c>
    </row>
    <row r="63" spans="1:24" x14ac:dyDescent="0.25">
      <c r="A63" s="4" t="s">
        <v>72</v>
      </c>
      <c r="B63" s="4">
        <v>90446300</v>
      </c>
      <c r="C63" s="14" t="s">
        <v>73</v>
      </c>
      <c r="D63" s="14">
        <v>300</v>
      </c>
      <c r="E63" s="14">
        <v>10</v>
      </c>
      <c r="F63" s="14">
        <v>150</v>
      </c>
      <c r="G63" s="19"/>
      <c r="H63" s="19"/>
      <c r="I63" s="19"/>
      <c r="J63" s="19"/>
      <c r="K63" s="19"/>
      <c r="L63" s="19">
        <v>150</v>
      </c>
      <c r="M63" s="19">
        <v>300</v>
      </c>
      <c r="N63" s="19">
        <v>300</v>
      </c>
      <c r="O63" s="19"/>
      <c r="P63" s="18">
        <f>SUM(G63:O63)</f>
        <v>750</v>
      </c>
      <c r="Q63" s="19">
        <f>$P63/$F63</f>
        <v>5</v>
      </c>
      <c r="R63" s="23">
        <v>0.09</v>
      </c>
      <c r="S63" s="23">
        <f t="shared" si="6"/>
        <v>0.44999999999999996</v>
      </c>
      <c r="T63" s="31">
        <v>22.5</v>
      </c>
      <c r="U63" s="31">
        <f t="shared" si="7"/>
        <v>112.5</v>
      </c>
      <c r="W63" s="33">
        <v>0.37</v>
      </c>
      <c r="X63" s="37">
        <v>0.45</v>
      </c>
    </row>
    <row r="64" spans="1:24" x14ac:dyDescent="0.25">
      <c r="A64" s="4" t="s">
        <v>74</v>
      </c>
      <c r="B64" s="4" t="s">
        <v>74</v>
      </c>
      <c r="C64" s="14">
        <v>32</v>
      </c>
      <c r="D64" s="14">
        <v>450</v>
      </c>
      <c r="E64" s="14">
        <v>10</v>
      </c>
      <c r="F64" s="14">
        <v>100</v>
      </c>
      <c r="G64" s="19"/>
      <c r="H64" s="19"/>
      <c r="I64" s="19"/>
      <c r="J64" s="19"/>
      <c r="K64" s="19"/>
      <c r="L64" s="19">
        <v>200</v>
      </c>
      <c r="M64" s="19"/>
      <c r="N64" s="19">
        <v>300</v>
      </c>
      <c r="O64" s="19"/>
      <c r="P64" s="18">
        <f>SUM(G64:O64)</f>
        <v>500</v>
      </c>
      <c r="Q64" s="19">
        <f>$P64/$F64</f>
        <v>5</v>
      </c>
      <c r="R64" s="23">
        <v>0.09</v>
      </c>
      <c r="S64" s="23">
        <f t="shared" si="6"/>
        <v>0.44999999999999996</v>
      </c>
      <c r="T64" s="31">
        <v>22.5</v>
      </c>
      <c r="U64" s="31">
        <f t="shared" si="7"/>
        <v>112.5</v>
      </c>
      <c r="W64" s="33">
        <v>0.5</v>
      </c>
      <c r="X64" s="37">
        <v>0.6</v>
      </c>
    </row>
    <row r="65" spans="1:24" x14ac:dyDescent="0.25">
      <c r="A65" s="4" t="s">
        <v>75</v>
      </c>
      <c r="B65" s="4">
        <v>90446400</v>
      </c>
      <c r="C65" s="14" t="s">
        <v>73</v>
      </c>
      <c r="D65" s="14">
        <v>450</v>
      </c>
      <c r="E65" s="14">
        <v>10</v>
      </c>
      <c r="F65" s="14">
        <v>100</v>
      </c>
      <c r="G65" s="19"/>
      <c r="H65" s="19"/>
      <c r="I65" s="19"/>
      <c r="J65" s="19"/>
      <c r="K65" s="19"/>
      <c r="L65" s="19">
        <v>200</v>
      </c>
      <c r="M65" s="19">
        <v>200</v>
      </c>
      <c r="N65" s="19">
        <v>300</v>
      </c>
      <c r="O65" s="19"/>
      <c r="P65" s="18">
        <f>SUM(G65:O65)</f>
        <v>700</v>
      </c>
      <c r="Q65" s="19">
        <f>$P65/$F65</f>
        <v>7</v>
      </c>
      <c r="R65" s="23">
        <v>0.09</v>
      </c>
      <c r="S65" s="23">
        <f t="shared" si="6"/>
        <v>0.63</v>
      </c>
      <c r="T65" s="31">
        <v>22.5</v>
      </c>
      <c r="U65" s="31">
        <f t="shared" si="7"/>
        <v>157.5</v>
      </c>
      <c r="W65" s="33">
        <v>0.52</v>
      </c>
      <c r="X65" s="37">
        <v>0.63</v>
      </c>
    </row>
    <row r="66" spans="1:24" x14ac:dyDescent="0.25">
      <c r="A66" s="4" t="s">
        <v>76</v>
      </c>
      <c r="B66" s="4" t="s">
        <v>76</v>
      </c>
      <c r="C66" s="14">
        <v>32</v>
      </c>
      <c r="D66" s="14">
        <v>600</v>
      </c>
      <c r="E66" s="14">
        <v>10</v>
      </c>
      <c r="F66" s="14">
        <v>100</v>
      </c>
      <c r="G66" s="19"/>
      <c r="H66" s="19"/>
      <c r="I66" s="19"/>
      <c r="J66" s="19">
        <v>100</v>
      </c>
      <c r="K66" s="19"/>
      <c r="L66" s="19">
        <v>100</v>
      </c>
      <c r="M66" s="19"/>
      <c r="N66" s="19">
        <v>200</v>
      </c>
      <c r="O66" s="19"/>
      <c r="P66" s="18">
        <f>SUM(G66:O66)</f>
        <v>400</v>
      </c>
      <c r="Q66" s="19">
        <f>$P66/$F66</f>
        <v>4</v>
      </c>
      <c r="R66" s="23">
        <v>0.12</v>
      </c>
      <c r="S66" s="23">
        <f t="shared" si="6"/>
        <v>0.48</v>
      </c>
      <c r="T66" s="31">
        <v>30</v>
      </c>
      <c r="U66" s="31">
        <f t="shared" si="7"/>
        <v>120</v>
      </c>
      <c r="W66" s="33">
        <v>0.63</v>
      </c>
      <c r="X66" s="37">
        <v>0.76</v>
      </c>
    </row>
    <row r="67" spans="1:24" x14ac:dyDescent="0.25">
      <c r="A67" s="4" t="s">
        <v>77</v>
      </c>
      <c r="B67" s="4">
        <v>90446600</v>
      </c>
      <c r="C67" s="14" t="s">
        <v>73</v>
      </c>
      <c r="D67" s="14">
        <v>600</v>
      </c>
      <c r="E67" s="14">
        <v>10</v>
      </c>
      <c r="F67" s="14">
        <v>100</v>
      </c>
      <c r="G67" s="19"/>
      <c r="H67" s="19"/>
      <c r="I67" s="19"/>
      <c r="J67" s="19"/>
      <c r="K67" s="19">
        <v>100</v>
      </c>
      <c r="L67" s="19">
        <v>200</v>
      </c>
      <c r="M67" s="19">
        <v>300</v>
      </c>
      <c r="N67" s="19">
        <v>300</v>
      </c>
      <c r="O67" s="19"/>
      <c r="P67" s="18">
        <f>SUM(G67:O67)</f>
        <v>900</v>
      </c>
      <c r="Q67" s="19">
        <f>$P67/$F67</f>
        <v>9</v>
      </c>
      <c r="R67" s="23">
        <v>0.12</v>
      </c>
      <c r="S67" s="23">
        <f t="shared" si="6"/>
        <v>1.08</v>
      </c>
      <c r="T67" s="31">
        <v>30</v>
      </c>
      <c r="U67" s="31">
        <f t="shared" si="7"/>
        <v>270</v>
      </c>
      <c r="W67" s="33">
        <v>0.66</v>
      </c>
      <c r="X67" s="37">
        <v>0.8</v>
      </c>
    </row>
    <row r="68" spans="1:24" x14ac:dyDescent="0.25">
      <c r="A68" s="4" t="s">
        <v>78</v>
      </c>
      <c r="B68" s="4" t="s">
        <v>78</v>
      </c>
      <c r="C68" s="14">
        <v>32</v>
      </c>
      <c r="D68" s="14">
        <v>750</v>
      </c>
      <c r="E68" s="14">
        <v>10</v>
      </c>
      <c r="F68" s="14">
        <v>60</v>
      </c>
      <c r="G68" s="19"/>
      <c r="H68" s="19"/>
      <c r="I68" s="19"/>
      <c r="J68" s="19">
        <v>60</v>
      </c>
      <c r="K68" s="19"/>
      <c r="L68" s="19">
        <v>180</v>
      </c>
      <c r="M68" s="19">
        <v>120</v>
      </c>
      <c r="N68" s="19">
        <v>120</v>
      </c>
      <c r="O68" s="19"/>
      <c r="P68" s="18">
        <f>SUM(G68:O68)</f>
        <v>480</v>
      </c>
      <c r="Q68" s="19">
        <f>$P68/$F68</f>
        <v>8</v>
      </c>
      <c r="R68" s="23">
        <v>0.09</v>
      </c>
      <c r="S68" s="23">
        <f t="shared" si="6"/>
        <v>0.72</v>
      </c>
      <c r="T68" s="31">
        <v>19.100000000000001</v>
      </c>
      <c r="U68" s="31">
        <f t="shared" si="7"/>
        <v>152.80000000000001</v>
      </c>
      <c r="W68" s="33">
        <v>0.77</v>
      </c>
      <c r="X68" s="37">
        <v>0.93</v>
      </c>
    </row>
    <row r="69" spans="1:24" x14ac:dyDescent="0.25">
      <c r="A69" s="4" t="s">
        <v>79</v>
      </c>
      <c r="B69" s="4" t="s">
        <v>79</v>
      </c>
      <c r="C69" s="14">
        <v>32</v>
      </c>
      <c r="D69" s="14">
        <v>900</v>
      </c>
      <c r="E69" s="14">
        <v>10</v>
      </c>
      <c r="F69" s="14">
        <v>50</v>
      </c>
      <c r="G69" s="19"/>
      <c r="H69" s="19"/>
      <c r="I69" s="19"/>
      <c r="J69" s="19"/>
      <c r="K69" s="19"/>
      <c r="L69" s="19"/>
      <c r="M69" s="19"/>
      <c r="N69" s="19">
        <v>100</v>
      </c>
      <c r="O69" s="19"/>
      <c r="P69" s="18">
        <f>SUM(G69:O69)</f>
        <v>100</v>
      </c>
      <c r="Q69" s="19">
        <f>$P69/$F69</f>
        <v>2</v>
      </c>
      <c r="R69" s="23">
        <v>0.09</v>
      </c>
      <c r="S69" s="23">
        <f t="shared" si="6"/>
        <v>0.18</v>
      </c>
      <c r="T69" s="31">
        <v>22.5</v>
      </c>
      <c r="U69" s="31">
        <f t="shared" si="7"/>
        <v>45</v>
      </c>
      <c r="W69" s="33">
        <v>0.9</v>
      </c>
      <c r="X69" s="37">
        <v>1.08</v>
      </c>
    </row>
    <row r="70" spans="1:24" x14ac:dyDescent="0.25">
      <c r="A70" s="4" t="s">
        <v>80</v>
      </c>
      <c r="B70" s="4">
        <v>90446700</v>
      </c>
      <c r="C70" s="14" t="s">
        <v>73</v>
      </c>
      <c r="D70" s="14">
        <v>900</v>
      </c>
      <c r="E70" s="14">
        <v>10</v>
      </c>
      <c r="F70" s="14">
        <v>50</v>
      </c>
      <c r="G70" s="19"/>
      <c r="H70" s="19"/>
      <c r="I70" s="19"/>
      <c r="J70" s="19"/>
      <c r="K70" s="19"/>
      <c r="L70" s="19">
        <v>100</v>
      </c>
      <c r="M70" s="19">
        <v>100</v>
      </c>
      <c r="N70" s="19">
        <v>100</v>
      </c>
      <c r="O70" s="19"/>
      <c r="P70" s="18">
        <f>SUM(G70:O70)</f>
        <v>300</v>
      </c>
      <c r="Q70" s="19">
        <f>$P70/$F70</f>
        <v>6</v>
      </c>
      <c r="R70" s="23">
        <v>0.09</v>
      </c>
      <c r="S70" s="23">
        <f t="shared" si="6"/>
        <v>0.54</v>
      </c>
      <c r="T70" s="31">
        <v>22.5</v>
      </c>
      <c r="U70" s="31">
        <f t="shared" si="7"/>
        <v>135</v>
      </c>
      <c r="W70" s="33">
        <v>0.96</v>
      </c>
      <c r="X70" s="37">
        <v>1.1499999999999999</v>
      </c>
    </row>
    <row r="71" spans="1:24" x14ac:dyDescent="0.25">
      <c r="A71" s="4" t="s">
        <v>81</v>
      </c>
      <c r="B71" s="4" t="s">
        <v>81</v>
      </c>
      <c r="C71" s="14">
        <v>32</v>
      </c>
      <c r="D71" s="14">
        <v>1200</v>
      </c>
      <c r="E71" s="14">
        <v>10</v>
      </c>
      <c r="F71" s="14">
        <v>50</v>
      </c>
      <c r="G71" s="19"/>
      <c r="H71" s="19"/>
      <c r="I71" s="19"/>
      <c r="J71" s="19"/>
      <c r="K71" s="19"/>
      <c r="L71" s="19"/>
      <c r="M71" s="19"/>
      <c r="N71" s="19"/>
      <c r="O71" s="19"/>
      <c r="P71" s="18">
        <f>SUM(G71:O71)</f>
        <v>0</v>
      </c>
      <c r="Q71" s="19">
        <f>$P71/$F71</f>
        <v>0</v>
      </c>
      <c r="R71" s="23">
        <v>0.12</v>
      </c>
      <c r="S71" s="23">
        <f t="shared" si="6"/>
        <v>0</v>
      </c>
      <c r="T71" s="31">
        <v>30</v>
      </c>
      <c r="U71" s="31">
        <f t="shared" si="7"/>
        <v>0</v>
      </c>
      <c r="W71" s="33">
        <v>1.21</v>
      </c>
      <c r="X71" s="37">
        <v>1.45</v>
      </c>
    </row>
    <row r="72" spans="1:24" x14ac:dyDescent="0.25">
      <c r="A72" s="10" t="s">
        <v>82</v>
      </c>
      <c r="B72" s="10">
        <v>90446800</v>
      </c>
      <c r="C72" s="16" t="s">
        <v>73</v>
      </c>
      <c r="D72" s="16">
        <v>1800</v>
      </c>
      <c r="E72" s="16">
        <v>10</v>
      </c>
      <c r="F72" s="16">
        <v>25</v>
      </c>
      <c r="G72" s="20"/>
      <c r="H72" s="20"/>
      <c r="I72" s="20"/>
      <c r="J72" s="20"/>
      <c r="K72" s="20"/>
      <c r="L72" s="20">
        <v>100</v>
      </c>
      <c r="M72" s="20"/>
      <c r="N72" s="20">
        <v>100</v>
      </c>
      <c r="O72" s="20"/>
      <c r="P72" s="18">
        <f>SUM(G72:O72)</f>
        <v>200</v>
      </c>
      <c r="Q72" s="20">
        <f>$P72/$F72</f>
        <v>8</v>
      </c>
      <c r="R72" s="27">
        <v>0.18</v>
      </c>
      <c r="S72" s="27">
        <f t="shared" si="6"/>
        <v>1.44</v>
      </c>
      <c r="T72" s="32">
        <v>23.9</v>
      </c>
      <c r="U72" s="32">
        <f t="shared" si="7"/>
        <v>191.2</v>
      </c>
      <c r="W72" s="33">
        <v>1.83</v>
      </c>
      <c r="X72" s="37">
        <v>2.2000000000000002</v>
      </c>
    </row>
    <row r="73" spans="1:24" x14ac:dyDescent="0.25">
      <c r="A73" s="21" t="s">
        <v>83</v>
      </c>
      <c r="B73" s="1"/>
      <c r="C73" s="40"/>
      <c r="D73" s="30"/>
      <c r="E73" s="30"/>
      <c r="F73" s="30"/>
      <c r="G73" s="21"/>
      <c r="H73" s="21"/>
      <c r="I73" s="21"/>
      <c r="J73" s="21"/>
      <c r="K73" s="21"/>
      <c r="L73" s="78"/>
      <c r="M73" s="78"/>
      <c r="N73" s="78"/>
      <c r="O73" s="21"/>
      <c r="P73" s="21"/>
      <c r="Q73" s="21"/>
      <c r="R73" s="21"/>
      <c r="S73" s="21"/>
      <c r="T73" s="56"/>
      <c r="U73" s="56"/>
      <c r="W73" s="51"/>
    </row>
    <row r="74" spans="1:24" x14ac:dyDescent="0.25">
      <c r="A74" s="52" t="s">
        <v>84</v>
      </c>
      <c r="B74" s="52" t="s">
        <v>84</v>
      </c>
      <c r="C74" s="53">
        <v>40</v>
      </c>
      <c r="D74" s="53">
        <v>100</v>
      </c>
      <c r="E74" s="53">
        <v>10</v>
      </c>
      <c r="F74" s="53">
        <v>300</v>
      </c>
      <c r="G74" s="17"/>
      <c r="H74" s="17"/>
      <c r="I74" s="17"/>
      <c r="J74" s="17"/>
      <c r="K74" s="17"/>
      <c r="L74" s="17"/>
      <c r="M74" s="17"/>
      <c r="N74" s="17"/>
      <c r="O74" s="17"/>
      <c r="P74" s="18">
        <f>SUM(G74:O74)</f>
        <v>0</v>
      </c>
      <c r="Q74" s="17">
        <f>$P74/$F74</f>
        <v>0</v>
      </c>
      <c r="R74" s="54">
        <v>0.13</v>
      </c>
      <c r="S74" s="54">
        <f t="shared" ref="S74:S89" si="8">$Q74*$R74</f>
        <v>0</v>
      </c>
      <c r="T74" s="55">
        <v>18</v>
      </c>
      <c r="U74" s="55">
        <f t="shared" ref="U74:U89" si="9">T74*Q74</f>
        <v>0</v>
      </c>
      <c r="W74" s="33">
        <v>0.26</v>
      </c>
      <c r="X74" s="37">
        <v>0.31</v>
      </c>
    </row>
    <row r="75" spans="1:24" x14ac:dyDescent="0.25">
      <c r="A75" s="4" t="s">
        <v>85</v>
      </c>
      <c r="B75" s="4" t="s">
        <v>85</v>
      </c>
      <c r="C75" s="14">
        <v>40</v>
      </c>
      <c r="D75" s="14">
        <v>150</v>
      </c>
      <c r="E75" s="14">
        <v>10</v>
      </c>
      <c r="F75" s="14">
        <v>300</v>
      </c>
      <c r="G75" s="19"/>
      <c r="H75" s="19"/>
      <c r="I75" s="19"/>
      <c r="J75" s="19"/>
      <c r="K75" s="19"/>
      <c r="L75" s="19">
        <v>300</v>
      </c>
      <c r="M75" s="19"/>
      <c r="N75" s="19">
        <v>300</v>
      </c>
      <c r="O75" s="19"/>
      <c r="P75" s="18">
        <f>SUM(G75:O75)</f>
        <v>600</v>
      </c>
      <c r="Q75" s="19">
        <f>$P75/$F75</f>
        <v>2</v>
      </c>
      <c r="R75" s="23">
        <v>0.13</v>
      </c>
      <c r="S75" s="23">
        <f t="shared" si="8"/>
        <v>0.26</v>
      </c>
      <c r="T75" s="31">
        <v>29.9</v>
      </c>
      <c r="U75" s="31">
        <f t="shared" si="9"/>
        <v>59.8</v>
      </c>
      <c r="W75" s="33">
        <v>0.28000000000000003</v>
      </c>
      <c r="X75" s="37">
        <v>0.34</v>
      </c>
    </row>
    <row r="76" spans="1:24" x14ac:dyDescent="0.25">
      <c r="A76" s="4" t="s">
        <v>86</v>
      </c>
      <c r="B76" s="57" t="s">
        <v>87</v>
      </c>
      <c r="C76" s="14">
        <v>40</v>
      </c>
      <c r="D76" s="14">
        <v>150</v>
      </c>
      <c r="E76" s="14">
        <v>10</v>
      </c>
      <c r="F76" s="14">
        <v>300</v>
      </c>
      <c r="G76" s="19"/>
      <c r="H76" s="19"/>
      <c r="I76" s="19"/>
      <c r="J76" s="19"/>
      <c r="K76" s="19"/>
      <c r="L76" s="19">
        <v>300</v>
      </c>
      <c r="M76" s="19">
        <v>300</v>
      </c>
      <c r="N76" s="19">
        <v>300</v>
      </c>
      <c r="O76" s="19"/>
      <c r="P76" s="18">
        <f>SUM(G76:O76)</f>
        <v>900</v>
      </c>
      <c r="Q76" s="19">
        <f>$P76/$F76</f>
        <v>3</v>
      </c>
      <c r="R76" s="23">
        <v>0.13</v>
      </c>
      <c r="S76" s="23">
        <f t="shared" si="8"/>
        <v>0.39</v>
      </c>
      <c r="T76" s="31">
        <v>29.9</v>
      </c>
      <c r="U76" s="31">
        <f t="shared" si="9"/>
        <v>89.699999999999989</v>
      </c>
      <c r="W76" s="33">
        <v>0.28000000000000003</v>
      </c>
      <c r="X76" s="37">
        <v>0.34</v>
      </c>
    </row>
    <row r="77" spans="1:24" x14ac:dyDescent="0.25">
      <c r="A77" s="4" t="s">
        <v>88</v>
      </c>
      <c r="B77" s="4" t="s">
        <v>88</v>
      </c>
      <c r="C77" s="14">
        <v>40</v>
      </c>
      <c r="D77" s="14">
        <v>200</v>
      </c>
      <c r="E77" s="14">
        <v>10</v>
      </c>
      <c r="F77" s="14">
        <v>150</v>
      </c>
      <c r="G77" s="19"/>
      <c r="H77" s="19"/>
      <c r="I77" s="19"/>
      <c r="J77" s="19">
        <v>150</v>
      </c>
      <c r="K77" s="19"/>
      <c r="L77" s="19">
        <v>150</v>
      </c>
      <c r="M77" s="19"/>
      <c r="N77" s="19">
        <v>300</v>
      </c>
      <c r="O77" s="19"/>
      <c r="P77" s="18">
        <f>SUM(G77:O77)</f>
        <v>600</v>
      </c>
      <c r="Q77" s="19">
        <f>$P77/$F77</f>
        <v>4</v>
      </c>
      <c r="R77" s="23">
        <v>0.13</v>
      </c>
      <c r="S77" s="23">
        <f t="shared" si="8"/>
        <v>0.52</v>
      </c>
      <c r="T77" s="31">
        <v>20.8</v>
      </c>
      <c r="U77" s="31">
        <f t="shared" si="9"/>
        <v>83.2</v>
      </c>
      <c r="W77" s="33">
        <v>0.36</v>
      </c>
      <c r="X77" s="37">
        <v>0.44</v>
      </c>
    </row>
    <row r="78" spans="1:24" x14ac:dyDescent="0.25">
      <c r="A78" s="4" t="s">
        <v>89</v>
      </c>
      <c r="B78" s="4" t="s">
        <v>89</v>
      </c>
      <c r="C78" s="14">
        <v>40</v>
      </c>
      <c r="D78" s="14">
        <v>300</v>
      </c>
      <c r="E78" s="14">
        <v>10</v>
      </c>
      <c r="F78" s="14">
        <v>150</v>
      </c>
      <c r="G78" s="19"/>
      <c r="H78" s="19"/>
      <c r="I78" s="19"/>
      <c r="J78" s="19"/>
      <c r="K78" s="19"/>
      <c r="L78" s="19">
        <v>150</v>
      </c>
      <c r="M78" s="19"/>
      <c r="N78" s="19">
        <v>300</v>
      </c>
      <c r="O78" s="19"/>
      <c r="P78" s="18">
        <f>SUM(G78:O78)</f>
        <v>450</v>
      </c>
      <c r="Q78" s="19">
        <f>$P78/$F78</f>
        <v>3</v>
      </c>
      <c r="R78" s="23">
        <v>0.13</v>
      </c>
      <c r="S78" s="23">
        <f t="shared" si="8"/>
        <v>0.39</v>
      </c>
      <c r="T78" s="31">
        <v>29.9</v>
      </c>
      <c r="U78" s="31">
        <f t="shared" si="9"/>
        <v>89.699999999999989</v>
      </c>
      <c r="W78" s="33">
        <v>0.48</v>
      </c>
      <c r="X78" s="37">
        <v>0.57999999999999996</v>
      </c>
    </row>
    <row r="79" spans="1:24" x14ac:dyDescent="0.25">
      <c r="A79" s="4" t="s">
        <v>90</v>
      </c>
      <c r="B79" s="4">
        <v>90447300</v>
      </c>
      <c r="C79" s="14" t="s">
        <v>91</v>
      </c>
      <c r="D79" s="14">
        <v>300</v>
      </c>
      <c r="E79" s="14">
        <v>10</v>
      </c>
      <c r="F79" s="14">
        <v>150</v>
      </c>
      <c r="G79" s="19"/>
      <c r="H79" s="19"/>
      <c r="I79" s="19"/>
      <c r="J79" s="19"/>
      <c r="K79" s="19"/>
      <c r="L79" s="19">
        <v>150</v>
      </c>
      <c r="M79" s="19">
        <v>300</v>
      </c>
      <c r="N79" s="19">
        <v>300</v>
      </c>
      <c r="O79" s="19"/>
      <c r="P79" s="18">
        <f>SUM(G79:O79)</f>
        <v>750</v>
      </c>
      <c r="Q79" s="19">
        <f>$P79/$F79</f>
        <v>5</v>
      </c>
      <c r="R79" s="23">
        <v>0.13</v>
      </c>
      <c r="S79" s="23">
        <f t="shared" si="8"/>
        <v>0.65</v>
      </c>
      <c r="T79" s="31">
        <v>29.9</v>
      </c>
      <c r="U79" s="31">
        <f t="shared" si="9"/>
        <v>149.5</v>
      </c>
      <c r="W79" s="33">
        <v>0.49</v>
      </c>
      <c r="X79" s="37">
        <v>0.59</v>
      </c>
    </row>
    <row r="80" spans="1:24" x14ac:dyDescent="0.25">
      <c r="A80" s="4" t="s">
        <v>92</v>
      </c>
      <c r="B80" s="4" t="s">
        <v>92</v>
      </c>
      <c r="C80" s="14">
        <v>40</v>
      </c>
      <c r="D80" s="14">
        <v>450</v>
      </c>
      <c r="E80" s="14">
        <v>10</v>
      </c>
      <c r="F80" s="14">
        <v>100</v>
      </c>
      <c r="G80" s="19"/>
      <c r="H80" s="19"/>
      <c r="I80" s="19"/>
      <c r="J80" s="19"/>
      <c r="K80" s="19"/>
      <c r="L80" s="19">
        <v>200</v>
      </c>
      <c r="M80" s="19"/>
      <c r="N80" s="19">
        <v>200</v>
      </c>
      <c r="O80" s="19"/>
      <c r="P80" s="18">
        <f>SUM(G80:O80)</f>
        <v>400</v>
      </c>
      <c r="Q80" s="19">
        <f>$P80/$F80</f>
        <v>4</v>
      </c>
      <c r="R80" s="23">
        <v>0.13</v>
      </c>
      <c r="S80" s="23">
        <f t="shared" si="8"/>
        <v>0.52</v>
      </c>
      <c r="T80" s="31">
        <v>29.9</v>
      </c>
      <c r="U80" s="31">
        <f t="shared" si="9"/>
        <v>119.6</v>
      </c>
      <c r="W80" s="33">
        <v>0.67</v>
      </c>
      <c r="X80" s="37">
        <v>0.81</v>
      </c>
    </row>
    <row r="81" spans="1:24" x14ac:dyDescent="0.25">
      <c r="A81" s="4" t="s">
        <v>93</v>
      </c>
      <c r="B81" s="4">
        <v>90447400</v>
      </c>
      <c r="C81" s="14" t="s">
        <v>91</v>
      </c>
      <c r="D81" s="14">
        <v>450</v>
      </c>
      <c r="E81" s="14">
        <v>10</v>
      </c>
      <c r="F81" s="14">
        <v>100</v>
      </c>
      <c r="G81" s="19"/>
      <c r="H81" s="19"/>
      <c r="I81" s="19"/>
      <c r="J81" s="19"/>
      <c r="K81" s="19">
        <v>200</v>
      </c>
      <c r="L81" s="19">
        <v>300</v>
      </c>
      <c r="M81" s="19">
        <v>300</v>
      </c>
      <c r="N81" s="19">
        <v>300</v>
      </c>
      <c r="O81" s="19"/>
      <c r="P81" s="18">
        <f>SUM(G81:O81)</f>
        <v>1100</v>
      </c>
      <c r="Q81" s="19">
        <f>$P81/$F81</f>
        <v>11</v>
      </c>
      <c r="R81" s="23">
        <v>0.13</v>
      </c>
      <c r="S81" s="23">
        <f t="shared" si="8"/>
        <v>1.4300000000000002</v>
      </c>
      <c r="T81" s="31">
        <v>29.9</v>
      </c>
      <c r="U81" s="31">
        <f t="shared" si="9"/>
        <v>328.9</v>
      </c>
      <c r="W81" s="33">
        <v>0.71</v>
      </c>
      <c r="X81" s="37">
        <v>0.86</v>
      </c>
    </row>
    <row r="82" spans="1:24" x14ac:dyDescent="0.25">
      <c r="A82" s="4" t="s">
        <v>94</v>
      </c>
      <c r="B82" s="4" t="s">
        <v>94</v>
      </c>
      <c r="C82" s="14">
        <v>40</v>
      </c>
      <c r="D82" s="14">
        <v>600</v>
      </c>
      <c r="E82" s="14">
        <v>10</v>
      </c>
      <c r="F82" s="14">
        <v>50</v>
      </c>
      <c r="G82" s="19"/>
      <c r="H82" s="19"/>
      <c r="I82" s="19"/>
      <c r="J82" s="19"/>
      <c r="K82" s="19"/>
      <c r="L82" s="19">
        <v>100</v>
      </c>
      <c r="M82" s="19"/>
      <c r="N82" s="19">
        <v>200</v>
      </c>
      <c r="O82" s="19"/>
      <c r="P82" s="18">
        <f>SUM(G82:O82)</f>
        <v>300</v>
      </c>
      <c r="Q82" s="19">
        <f>$P82/$F82</f>
        <v>6</v>
      </c>
      <c r="R82" s="23">
        <v>0.09</v>
      </c>
      <c r="S82" s="23">
        <f t="shared" si="8"/>
        <v>0.54</v>
      </c>
      <c r="T82" s="31">
        <v>20</v>
      </c>
      <c r="U82" s="31">
        <f t="shared" si="9"/>
        <v>120</v>
      </c>
      <c r="W82" s="33">
        <v>0.86</v>
      </c>
      <c r="X82" s="37">
        <v>1.04</v>
      </c>
    </row>
    <row r="83" spans="1:24" x14ac:dyDescent="0.25">
      <c r="A83" s="4" t="s">
        <v>95</v>
      </c>
      <c r="B83" s="4">
        <v>90447600</v>
      </c>
      <c r="C83" s="14" t="s">
        <v>91</v>
      </c>
      <c r="D83" s="14">
        <v>600</v>
      </c>
      <c r="E83" s="14">
        <v>10</v>
      </c>
      <c r="F83" s="14">
        <v>50</v>
      </c>
      <c r="G83" s="19"/>
      <c r="H83" s="19"/>
      <c r="I83" s="19"/>
      <c r="J83" s="19"/>
      <c r="K83" s="19"/>
      <c r="L83" s="19">
        <v>300</v>
      </c>
      <c r="M83" s="19">
        <v>300</v>
      </c>
      <c r="N83" s="19">
        <v>300</v>
      </c>
      <c r="O83" s="19"/>
      <c r="P83" s="18">
        <f>SUM(G83:O83)</f>
        <v>900</v>
      </c>
      <c r="Q83" s="19">
        <f>$P83/$F83</f>
        <v>18</v>
      </c>
      <c r="R83" s="23">
        <v>0.09</v>
      </c>
      <c r="S83" s="23">
        <f t="shared" si="8"/>
        <v>1.6199999999999999</v>
      </c>
      <c r="T83" s="31">
        <v>20</v>
      </c>
      <c r="U83" s="31">
        <f t="shared" si="9"/>
        <v>360</v>
      </c>
      <c r="W83" s="33">
        <v>0.91</v>
      </c>
      <c r="X83" s="37">
        <v>1.1000000000000001</v>
      </c>
    </row>
    <row r="84" spans="1:24" x14ac:dyDescent="0.25">
      <c r="A84" s="4" t="s">
        <v>96</v>
      </c>
      <c r="B84" s="4" t="s">
        <v>96</v>
      </c>
      <c r="C84" s="14">
        <v>40</v>
      </c>
      <c r="D84" s="14">
        <v>750</v>
      </c>
      <c r="E84" s="14">
        <v>10</v>
      </c>
      <c r="F84" s="14">
        <v>50</v>
      </c>
      <c r="G84" s="19"/>
      <c r="H84" s="19"/>
      <c r="I84" s="19"/>
      <c r="J84" s="19"/>
      <c r="K84" s="19"/>
      <c r="L84" s="19">
        <v>100</v>
      </c>
      <c r="M84" s="19"/>
      <c r="N84" s="19">
        <v>100</v>
      </c>
      <c r="O84" s="19"/>
      <c r="P84" s="18">
        <f>SUM(G84:O84)</f>
        <v>200</v>
      </c>
      <c r="Q84" s="19">
        <f>$P84/$F84</f>
        <v>4</v>
      </c>
      <c r="R84" s="23">
        <v>0.13</v>
      </c>
      <c r="S84" s="23">
        <f t="shared" si="8"/>
        <v>0.52</v>
      </c>
      <c r="T84" s="31">
        <v>25.6</v>
      </c>
      <c r="U84" s="31">
        <f t="shared" si="9"/>
        <v>102.4</v>
      </c>
      <c r="W84" s="33">
        <v>1.07</v>
      </c>
      <c r="X84" s="37">
        <v>1.28</v>
      </c>
    </row>
    <row r="85" spans="1:24" x14ac:dyDescent="0.25">
      <c r="A85" s="4" t="s">
        <v>97</v>
      </c>
      <c r="B85" s="4" t="s">
        <v>97</v>
      </c>
      <c r="C85" s="14">
        <v>40</v>
      </c>
      <c r="D85" s="14">
        <v>900</v>
      </c>
      <c r="E85" s="14">
        <v>10</v>
      </c>
      <c r="F85" s="14">
        <v>50</v>
      </c>
      <c r="G85" s="19"/>
      <c r="H85" s="19"/>
      <c r="I85" s="19"/>
      <c r="J85" s="19"/>
      <c r="K85" s="19"/>
      <c r="L85" s="19"/>
      <c r="M85" s="19"/>
      <c r="N85" s="19"/>
      <c r="O85" s="19"/>
      <c r="P85" s="18">
        <f>SUM(G85:O85)</f>
        <v>0</v>
      </c>
      <c r="Q85" s="19">
        <f>$P85/$F85</f>
        <v>0</v>
      </c>
      <c r="R85" s="23">
        <v>0.13</v>
      </c>
      <c r="S85" s="23">
        <f t="shared" si="8"/>
        <v>0</v>
      </c>
      <c r="T85" s="31">
        <v>29.9</v>
      </c>
      <c r="U85" s="31">
        <f t="shared" si="9"/>
        <v>0</v>
      </c>
      <c r="W85" s="33">
        <v>1.26</v>
      </c>
      <c r="X85" s="37">
        <v>1.51</v>
      </c>
    </row>
    <row r="86" spans="1:24" x14ac:dyDescent="0.25">
      <c r="A86" s="4" t="s">
        <v>98</v>
      </c>
      <c r="B86" s="4">
        <v>90447700</v>
      </c>
      <c r="C86" s="14" t="s">
        <v>91</v>
      </c>
      <c r="D86" s="14">
        <v>900</v>
      </c>
      <c r="E86" s="14">
        <v>10</v>
      </c>
      <c r="F86" s="14">
        <v>50</v>
      </c>
      <c r="G86" s="19"/>
      <c r="H86" s="19"/>
      <c r="I86" s="19"/>
      <c r="J86" s="19"/>
      <c r="K86" s="19"/>
      <c r="L86" s="19">
        <v>100</v>
      </c>
      <c r="M86" s="19">
        <v>200</v>
      </c>
      <c r="N86" s="19">
        <v>100</v>
      </c>
      <c r="O86" s="19"/>
      <c r="P86" s="18">
        <f>SUM(G86:O86)</f>
        <v>400</v>
      </c>
      <c r="Q86" s="19">
        <f>$P86/$F86</f>
        <v>8</v>
      </c>
      <c r="R86" s="23">
        <v>0.13</v>
      </c>
      <c r="S86" s="23">
        <f t="shared" si="8"/>
        <v>1.04</v>
      </c>
      <c r="T86" s="31">
        <v>29.9</v>
      </c>
      <c r="U86" s="31">
        <f t="shared" si="9"/>
        <v>239.2</v>
      </c>
      <c r="W86" s="33">
        <v>1.33</v>
      </c>
      <c r="X86" s="37">
        <v>1.6</v>
      </c>
    </row>
    <row r="87" spans="1:24" x14ac:dyDescent="0.25">
      <c r="A87" s="4" t="s">
        <v>99</v>
      </c>
      <c r="B87" s="4" t="s">
        <v>99</v>
      </c>
      <c r="C87" s="14">
        <v>40</v>
      </c>
      <c r="D87" s="14">
        <v>1200</v>
      </c>
      <c r="E87" s="14">
        <v>5</v>
      </c>
      <c r="F87" s="14">
        <v>25</v>
      </c>
      <c r="G87" s="19"/>
      <c r="H87" s="19"/>
      <c r="I87" s="19"/>
      <c r="J87" s="19"/>
      <c r="K87" s="19"/>
      <c r="L87" s="19"/>
      <c r="M87" s="19"/>
      <c r="N87" s="19"/>
      <c r="O87" s="19"/>
      <c r="P87" s="18">
        <f>SUM(G87:O87)</f>
        <v>0</v>
      </c>
      <c r="Q87" s="19">
        <f>$P87/$F87</f>
        <v>0</v>
      </c>
      <c r="R87" s="23">
        <v>0.08</v>
      </c>
      <c r="S87" s="23">
        <f t="shared" si="8"/>
        <v>0</v>
      </c>
      <c r="T87" s="31">
        <v>20</v>
      </c>
      <c r="U87" s="31">
        <f t="shared" si="9"/>
        <v>0</v>
      </c>
      <c r="W87" s="33">
        <v>1.63</v>
      </c>
      <c r="X87" s="37">
        <v>1.96</v>
      </c>
    </row>
    <row r="88" spans="1:24" x14ac:dyDescent="0.25">
      <c r="A88" s="4" t="s">
        <v>244</v>
      </c>
      <c r="B88" s="4">
        <v>90447800</v>
      </c>
      <c r="C88" s="14" t="s">
        <v>91</v>
      </c>
      <c r="D88" s="14">
        <v>1800</v>
      </c>
      <c r="E88" s="14">
        <v>5</v>
      </c>
      <c r="F88" s="14">
        <v>20</v>
      </c>
      <c r="G88" s="19"/>
      <c r="H88" s="19"/>
      <c r="I88" s="19"/>
      <c r="J88" s="19"/>
      <c r="K88" s="19"/>
      <c r="L88" s="19"/>
      <c r="M88" s="19"/>
      <c r="N88" s="19">
        <v>100</v>
      </c>
      <c r="O88" s="19"/>
      <c r="P88" s="18">
        <f>SUM(G88:O88)</f>
        <v>100</v>
      </c>
      <c r="Q88" s="19">
        <f>$P88/$F88</f>
        <v>5</v>
      </c>
      <c r="R88" s="23">
        <v>0.08</v>
      </c>
      <c r="S88" s="23">
        <f t="shared" si="8"/>
        <v>0.4</v>
      </c>
      <c r="T88" s="31">
        <v>24.8</v>
      </c>
      <c r="U88" s="31">
        <f t="shared" si="9"/>
        <v>124</v>
      </c>
      <c r="W88" s="33">
        <v>2.44</v>
      </c>
      <c r="X88" s="37">
        <v>2.93</v>
      </c>
    </row>
    <row r="89" spans="1:24" x14ac:dyDescent="0.25">
      <c r="A89" s="10" t="s">
        <v>100</v>
      </c>
      <c r="B89" s="10" t="s">
        <v>100</v>
      </c>
      <c r="C89" s="16">
        <v>40</v>
      </c>
      <c r="D89" s="16">
        <v>2000</v>
      </c>
      <c r="E89" s="16">
        <v>5</v>
      </c>
      <c r="F89" s="16">
        <v>25</v>
      </c>
      <c r="G89" s="20"/>
      <c r="H89" s="20"/>
      <c r="I89" s="20"/>
      <c r="J89" s="20"/>
      <c r="K89" s="20"/>
      <c r="L89" s="20"/>
      <c r="M89" s="20"/>
      <c r="N89" s="20"/>
      <c r="O89" s="20"/>
      <c r="P89" s="18">
        <f>SUM(G89:O89)</f>
        <v>0</v>
      </c>
      <c r="Q89" s="20">
        <f>$P89/$F89</f>
        <v>0</v>
      </c>
      <c r="R89" s="27">
        <v>0.08</v>
      </c>
      <c r="S89" s="27">
        <f t="shared" si="8"/>
        <v>0</v>
      </c>
      <c r="T89" s="32">
        <v>35.380000000000003</v>
      </c>
      <c r="U89" s="32">
        <f t="shared" si="9"/>
        <v>0</v>
      </c>
      <c r="W89" s="33">
        <v>2.71</v>
      </c>
      <c r="X89" s="37">
        <v>3.25</v>
      </c>
    </row>
    <row r="90" spans="1:24" x14ac:dyDescent="0.25">
      <c r="A90" s="21" t="s">
        <v>101</v>
      </c>
      <c r="B90" s="21"/>
      <c r="C90" s="48"/>
      <c r="D90" s="48"/>
      <c r="E90" s="48"/>
      <c r="F90" s="48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49"/>
      <c r="T90" s="50"/>
      <c r="U90" s="50"/>
      <c r="W90" s="51"/>
    </row>
    <row r="91" spans="1:24" x14ac:dyDescent="0.25">
      <c r="A91" s="52" t="s">
        <v>102</v>
      </c>
      <c r="B91" s="52" t="s">
        <v>102</v>
      </c>
      <c r="C91" s="53">
        <v>50</v>
      </c>
      <c r="D91" s="53">
        <v>100</v>
      </c>
      <c r="E91" s="53">
        <v>10</v>
      </c>
      <c r="F91" s="53">
        <v>150</v>
      </c>
      <c r="G91" s="17"/>
      <c r="H91" s="17"/>
      <c r="I91" s="17"/>
      <c r="J91" s="17"/>
      <c r="K91" s="17"/>
      <c r="L91" s="17">
        <v>150</v>
      </c>
      <c r="M91" s="17"/>
      <c r="N91" s="17"/>
      <c r="O91" s="17"/>
      <c r="P91" s="18">
        <f>SUM(G91:O91)</f>
        <v>150</v>
      </c>
      <c r="Q91" s="17">
        <f>$P91/$F91</f>
        <v>1</v>
      </c>
      <c r="R91" s="54">
        <v>0.1</v>
      </c>
      <c r="S91" s="54">
        <f t="shared" ref="S91:S109" si="10">$Q91*$R91</f>
        <v>0.1</v>
      </c>
      <c r="T91" s="55">
        <v>11.7</v>
      </c>
      <c r="U91" s="55">
        <f t="shared" ref="U91:U109" si="11">T91*Q91</f>
        <v>11.7</v>
      </c>
      <c r="W91" s="33">
        <v>0.28000000000000003</v>
      </c>
      <c r="X91" s="37">
        <v>0.34</v>
      </c>
    </row>
    <row r="92" spans="1:24" x14ac:dyDescent="0.25">
      <c r="A92" s="4" t="s">
        <v>103</v>
      </c>
      <c r="B92" s="4" t="s">
        <v>103</v>
      </c>
      <c r="C92" s="14">
        <v>50</v>
      </c>
      <c r="D92" s="14">
        <v>150</v>
      </c>
      <c r="E92" s="14">
        <v>10</v>
      </c>
      <c r="F92" s="14">
        <v>150</v>
      </c>
      <c r="G92" s="19"/>
      <c r="H92" s="19"/>
      <c r="I92" s="19"/>
      <c r="J92" s="19"/>
      <c r="K92" s="19"/>
      <c r="L92" s="19">
        <v>150</v>
      </c>
      <c r="M92" s="19"/>
      <c r="N92" s="19">
        <v>300</v>
      </c>
      <c r="O92" s="19"/>
      <c r="P92" s="18">
        <f>SUM(G92:O92)</f>
        <v>450</v>
      </c>
      <c r="Q92" s="19">
        <f>$P92/$F92</f>
        <v>3</v>
      </c>
      <c r="R92" s="23">
        <v>0.1</v>
      </c>
      <c r="S92" s="23">
        <f t="shared" si="10"/>
        <v>0.30000000000000004</v>
      </c>
      <c r="T92" s="31">
        <v>21</v>
      </c>
      <c r="U92" s="31">
        <f t="shared" si="11"/>
        <v>63</v>
      </c>
      <c r="W92" s="33">
        <v>0.34</v>
      </c>
      <c r="X92" s="37">
        <v>0.41</v>
      </c>
    </row>
    <row r="93" spans="1:24" x14ac:dyDescent="0.25">
      <c r="A93" s="4" t="s">
        <v>104</v>
      </c>
      <c r="B93" s="4">
        <v>90448200</v>
      </c>
      <c r="C93" s="14" t="s">
        <v>105</v>
      </c>
      <c r="D93" s="14">
        <v>150</v>
      </c>
      <c r="E93" s="14">
        <v>10</v>
      </c>
      <c r="F93" s="14">
        <v>150</v>
      </c>
      <c r="G93" s="19"/>
      <c r="H93" s="19"/>
      <c r="I93" s="19"/>
      <c r="J93" s="19"/>
      <c r="K93" s="19">
        <v>150</v>
      </c>
      <c r="L93" s="19">
        <v>300</v>
      </c>
      <c r="M93" s="19">
        <v>300</v>
      </c>
      <c r="N93" s="19">
        <v>300</v>
      </c>
      <c r="O93" s="19"/>
      <c r="P93" s="18">
        <f>SUM(G93:O93)</f>
        <v>1050</v>
      </c>
      <c r="Q93" s="19">
        <f>$P93/$F93</f>
        <v>7</v>
      </c>
      <c r="R93" s="23">
        <v>0.1</v>
      </c>
      <c r="S93" s="23">
        <f t="shared" si="10"/>
        <v>0.70000000000000007</v>
      </c>
      <c r="T93" s="31">
        <v>21</v>
      </c>
      <c r="U93" s="31">
        <f t="shared" si="11"/>
        <v>147</v>
      </c>
      <c r="W93" s="33">
        <v>0.35</v>
      </c>
      <c r="X93" s="37">
        <v>0.42</v>
      </c>
    </row>
    <row r="94" spans="1:24" x14ac:dyDescent="0.25">
      <c r="A94" s="4" t="s">
        <v>106</v>
      </c>
      <c r="B94" s="4" t="s">
        <v>106</v>
      </c>
      <c r="C94" s="14">
        <v>50</v>
      </c>
      <c r="D94" s="14">
        <v>200</v>
      </c>
      <c r="E94" s="14">
        <v>10</v>
      </c>
      <c r="F94" s="14">
        <v>150</v>
      </c>
      <c r="G94" s="19"/>
      <c r="H94" s="19"/>
      <c r="I94" s="19"/>
      <c r="J94" s="19"/>
      <c r="K94" s="19"/>
      <c r="L94" s="19">
        <v>150</v>
      </c>
      <c r="M94" s="19"/>
      <c r="N94" s="19">
        <v>150</v>
      </c>
      <c r="O94" s="19"/>
      <c r="P94" s="18">
        <f>SUM(G94:O94)</f>
        <v>300</v>
      </c>
      <c r="Q94" s="19">
        <f>$P94/$F94</f>
        <v>2</v>
      </c>
      <c r="R94" s="23">
        <v>0.1</v>
      </c>
      <c r="S94" s="23">
        <f t="shared" si="10"/>
        <v>0.2</v>
      </c>
      <c r="T94" s="31">
        <v>23.96</v>
      </c>
      <c r="U94" s="31">
        <f t="shared" si="11"/>
        <v>47.92</v>
      </c>
      <c r="W94" s="33">
        <v>0.44</v>
      </c>
      <c r="X94" s="37">
        <v>0.53</v>
      </c>
    </row>
    <row r="95" spans="1:24" x14ac:dyDescent="0.25">
      <c r="A95" s="4" t="s">
        <v>107</v>
      </c>
      <c r="B95" s="4" t="s">
        <v>107</v>
      </c>
      <c r="C95" s="14">
        <v>50</v>
      </c>
      <c r="D95" s="14">
        <v>300</v>
      </c>
      <c r="E95" s="14">
        <v>10</v>
      </c>
      <c r="F95" s="14">
        <v>75</v>
      </c>
      <c r="G95" s="19"/>
      <c r="H95" s="19"/>
      <c r="I95" s="19"/>
      <c r="J95" s="19"/>
      <c r="K95" s="19"/>
      <c r="L95" s="19">
        <v>150</v>
      </c>
      <c r="M95" s="19"/>
      <c r="N95" s="19">
        <v>150</v>
      </c>
      <c r="O95" s="19"/>
      <c r="P95" s="18">
        <f>SUM(G95:O95)</f>
        <v>300</v>
      </c>
      <c r="Q95" s="19">
        <f>$P95/$F95</f>
        <v>4</v>
      </c>
      <c r="R95" s="23">
        <v>0.1</v>
      </c>
      <c r="S95" s="23">
        <f t="shared" si="10"/>
        <v>0.4</v>
      </c>
      <c r="T95" s="31">
        <v>21</v>
      </c>
      <c r="U95" s="31">
        <f t="shared" si="11"/>
        <v>84</v>
      </c>
      <c r="W95" s="33">
        <v>0.59</v>
      </c>
      <c r="X95" s="37">
        <v>0.71</v>
      </c>
    </row>
    <row r="96" spans="1:24" x14ac:dyDescent="0.25">
      <c r="A96" s="4" t="s">
        <v>108</v>
      </c>
      <c r="B96" s="4">
        <v>90448300</v>
      </c>
      <c r="C96" s="14" t="s">
        <v>105</v>
      </c>
      <c r="D96" s="14">
        <v>300</v>
      </c>
      <c r="E96" s="14">
        <v>10</v>
      </c>
      <c r="F96" s="14">
        <v>75</v>
      </c>
      <c r="G96" s="19"/>
      <c r="H96" s="19"/>
      <c r="I96" s="19"/>
      <c r="J96" s="19"/>
      <c r="K96" s="19">
        <v>150</v>
      </c>
      <c r="L96" s="19">
        <v>300</v>
      </c>
      <c r="M96" s="19">
        <v>300</v>
      </c>
      <c r="N96" s="19">
        <v>300</v>
      </c>
      <c r="O96" s="19"/>
      <c r="P96" s="18">
        <f>SUM(G96:O96)</f>
        <v>1050</v>
      </c>
      <c r="Q96" s="19">
        <f>$P96/$F96</f>
        <v>14</v>
      </c>
      <c r="R96" s="23">
        <v>0.1</v>
      </c>
      <c r="S96" s="23">
        <f t="shared" si="10"/>
        <v>1.4000000000000001</v>
      </c>
      <c r="T96" s="31">
        <v>21</v>
      </c>
      <c r="U96" s="31">
        <f t="shared" si="11"/>
        <v>294</v>
      </c>
      <c r="W96" s="33">
        <v>0.62</v>
      </c>
      <c r="X96" s="37">
        <v>0.75</v>
      </c>
    </row>
    <row r="97" spans="1:24" x14ac:dyDescent="0.25">
      <c r="A97" s="4" t="s">
        <v>109</v>
      </c>
      <c r="B97" s="4" t="s">
        <v>109</v>
      </c>
      <c r="C97" s="14">
        <v>50</v>
      </c>
      <c r="D97" s="14">
        <v>450</v>
      </c>
      <c r="E97" s="14">
        <v>10</v>
      </c>
      <c r="F97" s="14">
        <v>50</v>
      </c>
      <c r="G97" s="19"/>
      <c r="H97" s="19"/>
      <c r="I97" s="19"/>
      <c r="J97" s="19"/>
      <c r="K97" s="19"/>
      <c r="L97" s="19">
        <v>100</v>
      </c>
      <c r="M97" s="19"/>
      <c r="N97" s="19">
        <v>100</v>
      </c>
      <c r="O97" s="19"/>
      <c r="P97" s="18">
        <f>SUM(G97:O97)</f>
        <v>200</v>
      </c>
      <c r="Q97" s="19">
        <f>$P97/$F97</f>
        <v>4</v>
      </c>
      <c r="R97" s="23">
        <v>0.1</v>
      </c>
      <c r="S97" s="23">
        <f t="shared" si="10"/>
        <v>0.4</v>
      </c>
      <c r="T97" s="31">
        <v>21</v>
      </c>
      <c r="U97" s="31">
        <f t="shared" si="11"/>
        <v>84</v>
      </c>
      <c r="W97" s="33">
        <v>0.85</v>
      </c>
      <c r="X97" s="37">
        <v>1.02</v>
      </c>
    </row>
    <row r="98" spans="1:24" x14ac:dyDescent="0.25">
      <c r="A98" s="4" t="s">
        <v>110</v>
      </c>
      <c r="B98" s="4">
        <v>90448400</v>
      </c>
      <c r="C98" s="14" t="s">
        <v>105</v>
      </c>
      <c r="D98" s="14">
        <v>450</v>
      </c>
      <c r="E98" s="14">
        <v>10</v>
      </c>
      <c r="F98" s="14">
        <v>50</v>
      </c>
      <c r="G98" s="19"/>
      <c r="H98" s="19"/>
      <c r="I98" s="19"/>
      <c r="J98" s="19"/>
      <c r="K98" s="19"/>
      <c r="L98" s="19">
        <v>200</v>
      </c>
      <c r="M98" s="19">
        <v>200</v>
      </c>
      <c r="N98" s="19">
        <v>300</v>
      </c>
      <c r="O98" s="19"/>
      <c r="P98" s="18">
        <f>SUM(G98:O98)</f>
        <v>700</v>
      </c>
      <c r="Q98" s="19">
        <f>$P98/$F98</f>
        <v>14</v>
      </c>
      <c r="R98" s="23">
        <v>0.1</v>
      </c>
      <c r="S98" s="23">
        <f t="shared" si="10"/>
        <v>1.4000000000000001</v>
      </c>
      <c r="T98" s="31">
        <v>21</v>
      </c>
      <c r="U98" s="31">
        <f t="shared" si="11"/>
        <v>294</v>
      </c>
      <c r="W98" s="33">
        <v>0.89</v>
      </c>
      <c r="X98" s="37">
        <v>1.07</v>
      </c>
    </row>
    <row r="99" spans="1:24" x14ac:dyDescent="0.25">
      <c r="A99" s="4" t="s">
        <v>111</v>
      </c>
      <c r="B99" s="4" t="s">
        <v>111</v>
      </c>
      <c r="C99" s="14">
        <v>50</v>
      </c>
      <c r="D99" s="14">
        <v>600</v>
      </c>
      <c r="E99" s="14">
        <v>10</v>
      </c>
      <c r="F99" s="14">
        <v>50</v>
      </c>
      <c r="G99" s="19"/>
      <c r="H99" s="19"/>
      <c r="I99" s="19"/>
      <c r="J99" s="19"/>
      <c r="K99" s="19"/>
      <c r="L99" s="19">
        <v>100</v>
      </c>
      <c r="M99" s="19"/>
      <c r="N99" s="19">
        <v>100</v>
      </c>
      <c r="O99" s="19"/>
      <c r="P99" s="18">
        <f>SUM(G99:O99)</f>
        <v>200</v>
      </c>
      <c r="Q99" s="19">
        <f>$P99/$F99</f>
        <v>4</v>
      </c>
      <c r="R99" s="23">
        <v>0.13</v>
      </c>
      <c r="S99" s="23">
        <f t="shared" si="10"/>
        <v>0.52</v>
      </c>
      <c r="T99" s="31">
        <v>26.1</v>
      </c>
      <c r="U99" s="31">
        <f t="shared" si="11"/>
        <v>104.4</v>
      </c>
      <c r="W99" s="33">
        <v>1.1000000000000001</v>
      </c>
      <c r="X99" s="37">
        <v>1.32</v>
      </c>
    </row>
    <row r="100" spans="1:24" x14ac:dyDescent="0.25">
      <c r="A100" s="4" t="s">
        <v>112</v>
      </c>
      <c r="B100" s="4">
        <v>90448600</v>
      </c>
      <c r="C100" s="14" t="s">
        <v>105</v>
      </c>
      <c r="D100" s="14">
        <v>600</v>
      </c>
      <c r="E100" s="14">
        <v>10</v>
      </c>
      <c r="F100" s="14">
        <v>50</v>
      </c>
      <c r="G100" s="19"/>
      <c r="H100" s="19"/>
      <c r="I100" s="19"/>
      <c r="J100" s="19"/>
      <c r="K100" s="19"/>
      <c r="L100" s="19">
        <v>200</v>
      </c>
      <c r="M100" s="19">
        <v>300</v>
      </c>
      <c r="N100" s="19">
        <v>300</v>
      </c>
      <c r="O100" s="19"/>
      <c r="P100" s="18">
        <f>SUM(G100:O100)</f>
        <v>800</v>
      </c>
      <c r="Q100" s="19">
        <f>$P100/$F100</f>
        <v>16</v>
      </c>
      <c r="R100" s="23">
        <v>0.13</v>
      </c>
      <c r="S100" s="23">
        <f t="shared" si="10"/>
        <v>2.08</v>
      </c>
      <c r="T100" s="31">
        <v>26.1</v>
      </c>
      <c r="U100" s="31">
        <f t="shared" si="11"/>
        <v>417.6</v>
      </c>
      <c r="W100" s="33">
        <v>1.1599999999999999</v>
      </c>
      <c r="X100" s="37">
        <v>1.4</v>
      </c>
    </row>
    <row r="101" spans="1:24" x14ac:dyDescent="0.25">
      <c r="A101" s="4" t="s">
        <v>113</v>
      </c>
      <c r="B101" s="4">
        <v>90448605</v>
      </c>
      <c r="C101" s="14" t="s">
        <v>105</v>
      </c>
      <c r="D101" s="14">
        <v>700</v>
      </c>
      <c r="E101" s="14">
        <v>5</v>
      </c>
      <c r="F101" s="14">
        <v>25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8">
        <f>SUM(G101:O101)</f>
        <v>0</v>
      </c>
      <c r="Q101" s="19">
        <f>$P101/$F101</f>
        <v>0</v>
      </c>
      <c r="R101" s="23">
        <v>0.1</v>
      </c>
      <c r="S101" s="23">
        <f t="shared" si="10"/>
        <v>0</v>
      </c>
      <c r="T101" s="31">
        <v>17.8</v>
      </c>
      <c r="U101" s="31">
        <f t="shared" si="11"/>
        <v>0</v>
      </c>
      <c r="W101" s="33">
        <v>1.44</v>
      </c>
      <c r="X101" s="37">
        <v>1.73</v>
      </c>
    </row>
    <row r="102" spans="1:24" x14ac:dyDescent="0.25">
      <c r="A102" s="4" t="s">
        <v>114</v>
      </c>
      <c r="B102" s="4" t="s">
        <v>114</v>
      </c>
      <c r="C102" s="14">
        <v>50</v>
      </c>
      <c r="D102" s="14">
        <v>750</v>
      </c>
      <c r="E102" s="14">
        <v>5</v>
      </c>
      <c r="F102" s="14">
        <v>25</v>
      </c>
      <c r="G102" s="19"/>
      <c r="H102" s="19"/>
      <c r="I102" s="19"/>
      <c r="J102" s="19"/>
      <c r="K102" s="19"/>
      <c r="L102" s="19">
        <v>500</v>
      </c>
      <c r="M102" s="19">
        <v>200</v>
      </c>
      <c r="N102" s="19">
        <v>300</v>
      </c>
      <c r="O102" s="19"/>
      <c r="P102" s="18">
        <f>SUM(G102:O102)</f>
        <v>1000</v>
      </c>
      <c r="Q102" s="19">
        <f>$P102/$F102</f>
        <v>40</v>
      </c>
      <c r="R102" s="23">
        <v>0.1</v>
      </c>
      <c r="S102" s="23">
        <f t="shared" si="10"/>
        <v>4</v>
      </c>
      <c r="T102" s="31">
        <v>17.899999999999999</v>
      </c>
      <c r="U102" s="31">
        <f t="shared" si="11"/>
        <v>716</v>
      </c>
      <c r="W102" s="33">
        <v>1.33</v>
      </c>
      <c r="X102" s="37">
        <v>1.6</v>
      </c>
    </row>
    <row r="103" spans="1:24" x14ac:dyDescent="0.25">
      <c r="A103" s="4" t="s">
        <v>115</v>
      </c>
      <c r="B103" s="4" t="s">
        <v>115</v>
      </c>
      <c r="C103" s="14">
        <v>50</v>
      </c>
      <c r="D103" s="14">
        <v>900</v>
      </c>
      <c r="E103" s="14">
        <v>5</v>
      </c>
      <c r="F103" s="14">
        <v>25</v>
      </c>
      <c r="G103" s="19"/>
      <c r="H103" s="19"/>
      <c r="I103" s="19"/>
      <c r="J103" s="19"/>
      <c r="K103" s="19"/>
      <c r="L103" s="19"/>
      <c r="M103" s="19"/>
      <c r="N103" s="19">
        <v>100</v>
      </c>
      <c r="O103" s="19"/>
      <c r="P103" s="18">
        <f>SUM(G103:O103)</f>
        <v>100</v>
      </c>
      <c r="Q103" s="19">
        <f>$P103/$F103</f>
        <v>4</v>
      </c>
      <c r="R103" s="23">
        <v>0.1</v>
      </c>
      <c r="S103" s="23">
        <f t="shared" si="10"/>
        <v>0.4</v>
      </c>
      <c r="T103" s="31">
        <v>21</v>
      </c>
      <c r="U103" s="31">
        <f t="shared" si="11"/>
        <v>84</v>
      </c>
      <c r="W103" s="33">
        <v>1.62</v>
      </c>
      <c r="X103" s="37">
        <v>1.94</v>
      </c>
    </row>
    <row r="104" spans="1:24" x14ac:dyDescent="0.25">
      <c r="A104" s="4" t="s">
        <v>116</v>
      </c>
      <c r="B104" s="4">
        <v>90448700</v>
      </c>
      <c r="C104" s="14" t="s">
        <v>105</v>
      </c>
      <c r="D104" s="14">
        <v>900</v>
      </c>
      <c r="E104" s="14">
        <v>5</v>
      </c>
      <c r="F104" s="14">
        <v>25</v>
      </c>
      <c r="G104" s="19"/>
      <c r="H104" s="19"/>
      <c r="I104" s="19"/>
      <c r="J104" s="19"/>
      <c r="K104" s="19">
        <v>100</v>
      </c>
      <c r="L104" s="19">
        <v>200</v>
      </c>
      <c r="M104" s="19">
        <v>300</v>
      </c>
      <c r="N104" s="19">
        <v>300</v>
      </c>
      <c r="O104" s="19"/>
      <c r="P104" s="18">
        <f>SUM(G104:O104)</f>
        <v>900</v>
      </c>
      <c r="Q104" s="19">
        <f>$P104/$F104</f>
        <v>36</v>
      </c>
      <c r="R104" s="23">
        <v>0.1</v>
      </c>
      <c r="S104" s="23">
        <f t="shared" si="10"/>
        <v>3.6</v>
      </c>
      <c r="T104" s="31">
        <v>21</v>
      </c>
      <c r="U104" s="31">
        <f t="shared" si="11"/>
        <v>756</v>
      </c>
      <c r="W104" s="33">
        <v>1.71</v>
      </c>
      <c r="X104" s="37">
        <v>2.0499999999999998</v>
      </c>
    </row>
    <row r="105" spans="1:24" x14ac:dyDescent="0.25">
      <c r="A105" s="4" t="s">
        <v>117</v>
      </c>
      <c r="B105" s="4" t="s">
        <v>117</v>
      </c>
      <c r="C105" s="14">
        <v>50</v>
      </c>
      <c r="D105" s="14">
        <v>1200</v>
      </c>
      <c r="E105" s="14">
        <v>5</v>
      </c>
      <c r="F105" s="14">
        <v>25</v>
      </c>
      <c r="G105" s="19"/>
      <c r="H105" s="19"/>
      <c r="I105" s="19"/>
      <c r="J105" s="19"/>
      <c r="K105" s="19"/>
      <c r="L105" s="19">
        <v>100</v>
      </c>
      <c r="M105" s="19"/>
      <c r="N105" s="19">
        <v>100</v>
      </c>
      <c r="O105" s="19"/>
      <c r="P105" s="18">
        <f>SUM(G105:O105)</f>
        <v>200</v>
      </c>
      <c r="Q105" s="19">
        <f>$P105/$F105</f>
        <v>8</v>
      </c>
      <c r="R105" s="23">
        <v>0.13</v>
      </c>
      <c r="S105" s="23">
        <f t="shared" si="10"/>
        <v>1.04</v>
      </c>
      <c r="T105" s="31">
        <v>26.1</v>
      </c>
      <c r="U105" s="31">
        <f t="shared" si="11"/>
        <v>208.8</v>
      </c>
      <c r="W105" s="33">
        <v>2.13</v>
      </c>
      <c r="X105" s="37">
        <v>2.56</v>
      </c>
    </row>
    <row r="106" spans="1:24" x14ac:dyDescent="0.25">
      <c r="A106" s="4" t="s">
        <v>118</v>
      </c>
      <c r="B106" s="57" t="s">
        <v>119</v>
      </c>
      <c r="C106" s="14">
        <v>50</v>
      </c>
      <c r="D106" s="14">
        <v>1200</v>
      </c>
      <c r="E106" s="14">
        <v>5</v>
      </c>
      <c r="F106" s="14">
        <v>25</v>
      </c>
      <c r="G106" s="19"/>
      <c r="H106" s="19"/>
      <c r="I106" s="19"/>
      <c r="J106" s="19"/>
      <c r="K106" s="19"/>
      <c r="L106" s="19">
        <v>50</v>
      </c>
      <c r="M106" s="19">
        <v>100</v>
      </c>
      <c r="N106" s="19">
        <v>100</v>
      </c>
      <c r="O106" s="19"/>
      <c r="P106" s="18">
        <f>SUM(G106:O106)</f>
        <v>250</v>
      </c>
      <c r="Q106" s="19">
        <f>$P106/$F106</f>
        <v>10</v>
      </c>
      <c r="R106" s="23">
        <v>0.13</v>
      </c>
      <c r="S106" s="23">
        <f t="shared" si="10"/>
        <v>1.3</v>
      </c>
      <c r="T106" s="31">
        <v>26.1</v>
      </c>
      <c r="U106" s="31">
        <f t="shared" si="11"/>
        <v>261</v>
      </c>
      <c r="W106" s="33">
        <v>2.2400000000000002</v>
      </c>
      <c r="X106" s="37">
        <v>2.69</v>
      </c>
    </row>
    <row r="107" spans="1:24" x14ac:dyDescent="0.25">
      <c r="A107" s="58" t="s">
        <v>281</v>
      </c>
      <c r="B107" s="59" t="s">
        <v>282</v>
      </c>
      <c r="C107" s="60">
        <v>50</v>
      </c>
      <c r="D107" s="60">
        <v>1800</v>
      </c>
      <c r="E107" s="60">
        <v>5</v>
      </c>
      <c r="F107" s="60">
        <v>20</v>
      </c>
      <c r="G107" s="22"/>
      <c r="H107" s="22"/>
      <c r="I107" s="22"/>
      <c r="J107" s="22"/>
      <c r="K107" s="22"/>
      <c r="L107" s="22">
        <v>40</v>
      </c>
      <c r="M107" s="22"/>
      <c r="N107" s="22">
        <v>100</v>
      </c>
      <c r="O107" s="22"/>
      <c r="P107" s="18">
        <f>SUM(G107:O107)</f>
        <v>140</v>
      </c>
      <c r="Q107" s="19">
        <f>$P107/$F107</f>
        <v>7</v>
      </c>
      <c r="R107" s="23">
        <v>0.13</v>
      </c>
      <c r="S107" s="23">
        <f t="shared" si="10"/>
        <v>0.91</v>
      </c>
      <c r="T107" s="31">
        <v>30.8</v>
      </c>
      <c r="U107" s="31">
        <f t="shared" si="11"/>
        <v>215.6</v>
      </c>
      <c r="W107" s="33">
        <v>3.35</v>
      </c>
      <c r="X107" s="37">
        <v>4.0199999999999996</v>
      </c>
    </row>
    <row r="108" spans="1:24" x14ac:dyDescent="0.25">
      <c r="A108" s="58" t="s">
        <v>298</v>
      </c>
      <c r="B108" s="59">
        <v>90448840</v>
      </c>
      <c r="C108" s="60" t="s">
        <v>105</v>
      </c>
      <c r="D108" s="60">
        <v>1900</v>
      </c>
      <c r="E108" s="60">
        <v>5</v>
      </c>
      <c r="F108" s="60">
        <v>20</v>
      </c>
      <c r="G108" s="22"/>
      <c r="H108" s="22"/>
      <c r="I108" s="22"/>
      <c r="J108" s="22"/>
      <c r="K108" s="22"/>
      <c r="L108" s="22"/>
      <c r="M108" s="22"/>
      <c r="N108" s="22">
        <v>100</v>
      </c>
      <c r="O108" s="22"/>
      <c r="P108" s="18">
        <f>SUM(G108:O108)</f>
        <v>100</v>
      </c>
      <c r="Q108" s="22">
        <f>$P108/$F108</f>
        <v>5</v>
      </c>
      <c r="R108" s="61">
        <v>0.26</v>
      </c>
      <c r="S108" s="61">
        <f t="shared" si="10"/>
        <v>1.3</v>
      </c>
      <c r="T108" s="31">
        <v>30.8</v>
      </c>
      <c r="U108" s="62">
        <f t="shared" si="11"/>
        <v>154</v>
      </c>
      <c r="W108" s="33">
        <v>4.17</v>
      </c>
      <c r="X108" s="37">
        <v>4.17</v>
      </c>
    </row>
    <row r="109" spans="1:24" x14ac:dyDescent="0.25">
      <c r="A109" s="10" t="s">
        <v>120</v>
      </c>
      <c r="B109" s="63" t="s">
        <v>121</v>
      </c>
      <c r="C109" s="16">
        <v>50</v>
      </c>
      <c r="D109" s="16">
        <v>2400</v>
      </c>
      <c r="E109" s="16">
        <v>5</v>
      </c>
      <c r="F109" s="16">
        <v>25</v>
      </c>
      <c r="G109" s="20"/>
      <c r="H109" s="20"/>
      <c r="I109" s="20"/>
      <c r="J109" s="20"/>
      <c r="K109" s="20"/>
      <c r="L109" s="20">
        <v>50</v>
      </c>
      <c r="M109" s="20"/>
      <c r="N109" s="20"/>
      <c r="O109" s="20"/>
      <c r="P109" s="18">
        <f>SUM(G109:O109)</f>
        <v>50</v>
      </c>
      <c r="Q109" s="20">
        <f>$P109/$F109</f>
        <v>2</v>
      </c>
      <c r="R109" s="27">
        <v>0.26</v>
      </c>
      <c r="S109" s="27">
        <f t="shared" si="10"/>
        <v>0.52</v>
      </c>
      <c r="T109" s="32">
        <v>48.3</v>
      </c>
      <c r="U109" s="32">
        <f t="shared" si="11"/>
        <v>96.6</v>
      </c>
      <c r="W109" s="33">
        <v>4.58</v>
      </c>
      <c r="X109" s="37">
        <v>5.5</v>
      </c>
    </row>
    <row r="110" spans="1:24" x14ac:dyDescent="0.25">
      <c r="A110" s="1" t="s">
        <v>122</v>
      </c>
      <c r="B110" s="1"/>
      <c r="C110" s="40"/>
      <c r="D110" s="30"/>
      <c r="E110" s="30"/>
      <c r="F110" s="30"/>
      <c r="G110" s="21"/>
      <c r="H110" s="21"/>
      <c r="I110" s="21"/>
      <c r="J110" s="21"/>
      <c r="K110" s="21"/>
      <c r="L110" s="78"/>
      <c r="M110" s="78"/>
      <c r="N110" s="78"/>
      <c r="O110" s="21"/>
      <c r="P110" s="21"/>
      <c r="Q110" s="21"/>
      <c r="R110" s="21"/>
      <c r="S110" s="21"/>
      <c r="T110" s="56"/>
      <c r="U110" s="56"/>
      <c r="W110" s="51"/>
    </row>
    <row r="111" spans="1:24" x14ac:dyDescent="0.25">
      <c r="A111" s="52" t="s">
        <v>123</v>
      </c>
      <c r="B111" s="52" t="s">
        <v>123</v>
      </c>
      <c r="C111" s="53">
        <v>20</v>
      </c>
      <c r="D111" s="53">
        <v>150</v>
      </c>
      <c r="E111" s="53">
        <v>10</v>
      </c>
      <c r="F111" s="53">
        <v>400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8">
        <f>SUM(G111:O111)</f>
        <v>0</v>
      </c>
      <c r="Q111" s="17">
        <f>$P111/$F111</f>
        <v>0</v>
      </c>
      <c r="R111" s="17">
        <v>0.06</v>
      </c>
      <c r="S111" s="54">
        <f t="shared" ref="S111:S144" si="12">$Q111*$R111</f>
        <v>0</v>
      </c>
      <c r="T111" s="55">
        <v>17</v>
      </c>
      <c r="U111" s="55">
        <f t="shared" ref="U111:U144" si="13">T111*Q111</f>
        <v>0</v>
      </c>
      <c r="W111" s="33">
        <v>0.17</v>
      </c>
      <c r="X111" s="37">
        <v>0.21</v>
      </c>
    </row>
    <row r="112" spans="1:24" x14ac:dyDescent="0.25">
      <c r="A112" s="4" t="s">
        <v>124</v>
      </c>
      <c r="B112" s="4">
        <v>90444200</v>
      </c>
      <c r="C112" s="14">
        <v>20</v>
      </c>
      <c r="D112" s="14">
        <v>150</v>
      </c>
      <c r="E112" s="14">
        <v>10</v>
      </c>
      <c r="F112" s="14">
        <v>400</v>
      </c>
      <c r="G112" s="19"/>
      <c r="H112" s="19"/>
      <c r="I112" s="19"/>
      <c r="J112" s="19"/>
      <c r="K112" s="19"/>
      <c r="L112" s="19"/>
      <c r="M112" s="19"/>
      <c r="N112" s="19"/>
      <c r="O112" s="19"/>
      <c r="P112" s="18">
        <f>SUM(G112:O112)</f>
        <v>0</v>
      </c>
      <c r="Q112" s="19">
        <f>$P112/$F112</f>
        <v>0</v>
      </c>
      <c r="R112" s="19">
        <v>0.06</v>
      </c>
      <c r="S112" s="23">
        <f t="shared" si="12"/>
        <v>0</v>
      </c>
      <c r="T112" s="31">
        <v>17</v>
      </c>
      <c r="U112" s="31">
        <f t="shared" si="13"/>
        <v>0</v>
      </c>
      <c r="W112" s="33">
        <v>0.17</v>
      </c>
      <c r="X112" s="37">
        <v>0.21</v>
      </c>
    </row>
    <row r="113" spans="1:24" x14ac:dyDescent="0.25">
      <c r="A113" s="4" t="s">
        <v>125</v>
      </c>
      <c r="B113" s="4" t="s">
        <v>125</v>
      </c>
      <c r="C113" s="14">
        <v>20</v>
      </c>
      <c r="D113" s="14">
        <v>200</v>
      </c>
      <c r="E113" s="14">
        <v>10</v>
      </c>
      <c r="F113" s="14">
        <v>300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18">
        <f>SUM(G113:O113)</f>
        <v>0</v>
      </c>
      <c r="Q113" s="19">
        <f>$P113/$F113</f>
        <v>0</v>
      </c>
      <c r="R113" s="19">
        <v>0.06</v>
      </c>
      <c r="S113" s="23">
        <f t="shared" si="12"/>
        <v>0</v>
      </c>
      <c r="T113" s="31">
        <v>17</v>
      </c>
      <c r="U113" s="31">
        <f t="shared" si="13"/>
        <v>0</v>
      </c>
      <c r="W113" s="33">
        <v>0.19</v>
      </c>
      <c r="X113" s="37">
        <v>0.23</v>
      </c>
    </row>
    <row r="114" spans="1:24" x14ac:dyDescent="0.25">
      <c r="A114" s="4" t="s">
        <v>126</v>
      </c>
      <c r="B114" s="4" t="s">
        <v>126</v>
      </c>
      <c r="C114" s="14">
        <v>20</v>
      </c>
      <c r="D114" s="14">
        <v>300</v>
      </c>
      <c r="E114" s="14">
        <v>10</v>
      </c>
      <c r="F114" s="14">
        <v>200</v>
      </c>
      <c r="G114" s="19"/>
      <c r="H114" s="19"/>
      <c r="I114" s="19"/>
      <c r="J114" s="19"/>
      <c r="K114" s="19"/>
      <c r="L114" s="19"/>
      <c r="M114" s="19"/>
      <c r="N114" s="19">
        <v>400</v>
      </c>
      <c r="O114" s="19"/>
      <c r="P114" s="18">
        <f>SUM(G114:O114)</f>
        <v>400</v>
      </c>
      <c r="Q114" s="19">
        <f>$P114/$F114</f>
        <v>2</v>
      </c>
      <c r="R114" s="23">
        <v>0.06</v>
      </c>
      <c r="S114" s="23">
        <f t="shared" si="12"/>
        <v>0.12</v>
      </c>
      <c r="T114" s="31">
        <v>17</v>
      </c>
      <c r="U114" s="31">
        <f t="shared" si="13"/>
        <v>34</v>
      </c>
      <c r="W114" s="33">
        <v>0.25</v>
      </c>
      <c r="X114" s="37">
        <v>0.3</v>
      </c>
    </row>
    <row r="115" spans="1:24" x14ac:dyDescent="0.25">
      <c r="A115" s="4" t="s">
        <v>127</v>
      </c>
      <c r="B115" s="4">
        <v>90444300</v>
      </c>
      <c r="C115" s="14" t="s">
        <v>35</v>
      </c>
      <c r="D115" s="14">
        <v>300</v>
      </c>
      <c r="E115" s="14">
        <v>10</v>
      </c>
      <c r="F115" s="14">
        <v>200</v>
      </c>
      <c r="G115" s="19"/>
      <c r="H115" s="19"/>
      <c r="I115" s="19">
        <v>400</v>
      </c>
      <c r="J115" s="19">
        <v>200</v>
      </c>
      <c r="K115" s="19"/>
      <c r="L115" s="19">
        <v>400</v>
      </c>
      <c r="M115" s="19"/>
      <c r="N115" s="19"/>
      <c r="O115" s="19"/>
      <c r="P115" s="18">
        <f>SUM(G115:O115)</f>
        <v>1000</v>
      </c>
      <c r="Q115" s="19">
        <f>$P115/$F115</f>
        <v>5</v>
      </c>
      <c r="R115" s="23">
        <v>0.06</v>
      </c>
      <c r="S115" s="23">
        <f t="shared" si="12"/>
        <v>0.3</v>
      </c>
      <c r="T115" s="31">
        <v>17</v>
      </c>
      <c r="U115" s="31">
        <f t="shared" si="13"/>
        <v>85</v>
      </c>
      <c r="W115" s="33">
        <v>0.25</v>
      </c>
      <c r="X115" s="37">
        <v>0.3</v>
      </c>
    </row>
    <row r="116" spans="1:24" x14ac:dyDescent="0.25">
      <c r="A116" s="4" t="s">
        <v>128</v>
      </c>
      <c r="B116" s="4" t="s">
        <v>128</v>
      </c>
      <c r="C116" s="14">
        <v>20</v>
      </c>
      <c r="D116" s="14">
        <v>450</v>
      </c>
      <c r="E116" s="14">
        <v>10</v>
      </c>
      <c r="F116" s="14">
        <v>100</v>
      </c>
      <c r="G116" s="19"/>
      <c r="H116" s="19"/>
      <c r="I116" s="19"/>
      <c r="J116" s="19"/>
      <c r="K116" s="19"/>
      <c r="L116" s="19">
        <v>100</v>
      </c>
      <c r="M116" s="19"/>
      <c r="N116" s="19"/>
      <c r="O116" s="19"/>
      <c r="P116" s="18">
        <f>SUM(G116:O116)</f>
        <v>100</v>
      </c>
      <c r="Q116" s="19">
        <f>$P116/$F116</f>
        <v>1</v>
      </c>
      <c r="R116" s="23">
        <v>0.08</v>
      </c>
      <c r="S116" s="23">
        <f t="shared" si="12"/>
        <v>0.08</v>
      </c>
      <c r="T116" s="31">
        <v>13</v>
      </c>
      <c r="U116" s="31">
        <f t="shared" si="13"/>
        <v>13</v>
      </c>
      <c r="W116" s="33">
        <v>0.25</v>
      </c>
      <c r="X116" s="37">
        <v>0.4</v>
      </c>
    </row>
    <row r="117" spans="1:24" x14ac:dyDescent="0.25">
      <c r="A117" s="4" t="s">
        <v>129</v>
      </c>
      <c r="B117" s="4">
        <v>90444400</v>
      </c>
      <c r="C117" s="14" t="s">
        <v>35</v>
      </c>
      <c r="D117" s="14">
        <v>450</v>
      </c>
      <c r="E117" s="14">
        <v>10</v>
      </c>
      <c r="F117" s="14">
        <v>100</v>
      </c>
      <c r="G117" s="19"/>
      <c r="H117" s="19"/>
      <c r="I117" s="19"/>
      <c r="J117" s="19"/>
      <c r="K117" s="19"/>
      <c r="L117" s="19"/>
      <c r="M117" s="19"/>
      <c r="N117" s="19">
        <v>200</v>
      </c>
      <c r="O117" s="19"/>
      <c r="P117" s="18">
        <f>SUM(G117:O117)</f>
        <v>200</v>
      </c>
      <c r="Q117" s="19">
        <f>$P117/$F117</f>
        <v>2</v>
      </c>
      <c r="R117" s="23">
        <v>0.08</v>
      </c>
      <c r="S117" s="23">
        <f t="shared" si="12"/>
        <v>0.16</v>
      </c>
      <c r="T117" s="31">
        <v>13</v>
      </c>
      <c r="U117" s="31">
        <f t="shared" si="13"/>
        <v>26</v>
      </c>
      <c r="W117" s="33">
        <v>0.34</v>
      </c>
      <c r="X117" s="37">
        <v>0.41</v>
      </c>
    </row>
    <row r="118" spans="1:24" x14ac:dyDescent="0.25">
      <c r="A118" s="4" t="s">
        <v>130</v>
      </c>
      <c r="B118" s="4" t="s">
        <v>130</v>
      </c>
      <c r="C118" s="14">
        <v>20</v>
      </c>
      <c r="D118" s="14">
        <v>600</v>
      </c>
      <c r="E118" s="14">
        <v>10</v>
      </c>
      <c r="F118" s="14">
        <v>100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8">
        <f>SUM(G118:O118)</f>
        <v>0</v>
      </c>
      <c r="Q118" s="19">
        <f>$P118/$F118</f>
        <v>0</v>
      </c>
      <c r="R118" s="23">
        <v>0.06</v>
      </c>
      <c r="S118" s="23">
        <f t="shared" si="12"/>
        <v>0</v>
      </c>
      <c r="T118" s="31">
        <v>17</v>
      </c>
      <c r="U118" s="31">
        <f t="shared" si="13"/>
        <v>0</v>
      </c>
      <c r="W118" s="33">
        <v>0.4</v>
      </c>
      <c r="X118" s="37">
        <v>0.48</v>
      </c>
    </row>
    <row r="119" spans="1:24" x14ac:dyDescent="0.25">
      <c r="A119" s="4" t="s">
        <v>131</v>
      </c>
      <c r="B119" s="4">
        <v>90444600</v>
      </c>
      <c r="C119" s="14" t="s">
        <v>35</v>
      </c>
      <c r="D119" s="14">
        <v>600</v>
      </c>
      <c r="E119" s="14">
        <v>10</v>
      </c>
      <c r="F119" s="14">
        <v>100</v>
      </c>
      <c r="G119" s="19"/>
      <c r="H119" s="19"/>
      <c r="I119" s="19"/>
      <c r="J119" s="19"/>
      <c r="K119" s="19"/>
      <c r="L119" s="19"/>
      <c r="M119" s="19"/>
      <c r="N119" s="19">
        <v>200</v>
      </c>
      <c r="O119" s="19"/>
      <c r="P119" s="18">
        <f>SUM(G119:O119)</f>
        <v>200</v>
      </c>
      <c r="Q119" s="19">
        <f>$P119/$F119</f>
        <v>2</v>
      </c>
      <c r="R119" s="23">
        <v>0.06</v>
      </c>
      <c r="S119" s="23">
        <f t="shared" si="12"/>
        <v>0.12</v>
      </c>
      <c r="T119" s="31">
        <v>17</v>
      </c>
      <c r="U119" s="31">
        <f t="shared" si="13"/>
        <v>34</v>
      </c>
      <c r="W119" s="33">
        <v>0.41</v>
      </c>
      <c r="X119" s="37">
        <v>0.49</v>
      </c>
    </row>
    <row r="120" spans="1:24" x14ac:dyDescent="0.25">
      <c r="A120" s="4" t="s">
        <v>132</v>
      </c>
      <c r="B120" s="4" t="s">
        <v>132</v>
      </c>
      <c r="C120" s="14">
        <v>20</v>
      </c>
      <c r="D120" s="14">
        <v>750</v>
      </c>
      <c r="E120" s="14">
        <v>10</v>
      </c>
      <c r="F120" s="14">
        <v>100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8">
        <f>SUM(G120:O120)</f>
        <v>0</v>
      </c>
      <c r="Q120" s="19">
        <f>$P120/$F120</f>
        <v>0</v>
      </c>
      <c r="R120" s="23">
        <v>7.0000000000000007E-2</v>
      </c>
      <c r="S120" s="23">
        <f t="shared" si="12"/>
        <v>0</v>
      </c>
      <c r="T120" s="31">
        <v>22</v>
      </c>
      <c r="U120" s="31">
        <f t="shared" si="13"/>
        <v>0</v>
      </c>
      <c r="W120" s="33">
        <v>0.47</v>
      </c>
      <c r="X120" s="37">
        <v>0.56000000000000005</v>
      </c>
    </row>
    <row r="121" spans="1:24" x14ac:dyDescent="0.25">
      <c r="A121" s="4" t="s">
        <v>133</v>
      </c>
      <c r="B121" s="4">
        <v>90444700</v>
      </c>
      <c r="C121" s="14" t="s">
        <v>35</v>
      </c>
      <c r="D121" s="14">
        <v>750</v>
      </c>
      <c r="E121" s="14">
        <v>10</v>
      </c>
      <c r="F121" s="14">
        <v>100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8">
        <f>SUM(G121:O121)</f>
        <v>0</v>
      </c>
      <c r="Q121" s="19">
        <f>$P121/$F121</f>
        <v>0</v>
      </c>
      <c r="R121" s="23">
        <v>7.0000000000000007E-2</v>
      </c>
      <c r="S121" s="23">
        <f t="shared" si="12"/>
        <v>0</v>
      </c>
      <c r="T121" s="31">
        <v>22</v>
      </c>
      <c r="U121" s="31">
        <f t="shared" si="13"/>
        <v>0</v>
      </c>
      <c r="W121" s="33">
        <v>0.5</v>
      </c>
      <c r="X121" s="37">
        <v>0.6</v>
      </c>
    </row>
    <row r="122" spans="1:24" x14ac:dyDescent="0.25">
      <c r="A122" s="4" t="s">
        <v>134</v>
      </c>
      <c r="B122" s="4" t="s">
        <v>134</v>
      </c>
      <c r="C122" s="14">
        <v>20</v>
      </c>
      <c r="D122" s="14">
        <v>900</v>
      </c>
      <c r="E122" s="14">
        <v>10</v>
      </c>
      <c r="F122" s="14">
        <v>50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8">
        <f>SUM(G122:O122)</f>
        <v>0</v>
      </c>
      <c r="Q122" s="19">
        <f>$P122/$F122</f>
        <v>0</v>
      </c>
      <c r="R122" s="23">
        <v>0.08</v>
      </c>
      <c r="S122" s="23">
        <f t="shared" si="12"/>
        <v>0</v>
      </c>
      <c r="T122" s="31">
        <v>13</v>
      </c>
      <c r="U122" s="31">
        <f t="shared" si="13"/>
        <v>0</v>
      </c>
      <c r="W122" s="33">
        <v>0.57999999999999996</v>
      </c>
      <c r="X122" s="37">
        <v>0.6</v>
      </c>
    </row>
    <row r="123" spans="1:24" x14ac:dyDescent="0.25">
      <c r="A123" s="4" t="s">
        <v>135</v>
      </c>
      <c r="B123" s="4">
        <v>90444800</v>
      </c>
      <c r="C123" s="14" t="s">
        <v>35</v>
      </c>
      <c r="D123" s="14">
        <v>900</v>
      </c>
      <c r="E123" s="14">
        <v>10</v>
      </c>
      <c r="F123" s="14">
        <v>50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8">
        <f>SUM(G123:O123)</f>
        <v>0</v>
      </c>
      <c r="Q123" s="19">
        <f>$P123/$F123</f>
        <v>0</v>
      </c>
      <c r="R123" s="23">
        <v>0.08</v>
      </c>
      <c r="S123" s="23">
        <f t="shared" si="12"/>
        <v>0</v>
      </c>
      <c r="T123" s="31">
        <v>13</v>
      </c>
      <c r="U123" s="31">
        <f t="shared" si="13"/>
        <v>0</v>
      </c>
      <c r="W123" s="33">
        <v>0.6</v>
      </c>
      <c r="X123" s="37">
        <v>0.72</v>
      </c>
    </row>
    <row r="124" spans="1:24" x14ac:dyDescent="0.25">
      <c r="A124" s="4" t="s">
        <v>136</v>
      </c>
      <c r="B124" s="4" t="s">
        <v>136</v>
      </c>
      <c r="C124" s="14">
        <v>20</v>
      </c>
      <c r="D124" s="14">
        <v>1200</v>
      </c>
      <c r="E124" s="14">
        <v>10</v>
      </c>
      <c r="F124" s="14">
        <v>50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8">
        <f>SUM(G124:O124)</f>
        <v>0</v>
      </c>
      <c r="Q124" s="19">
        <f>$P124/$F124</f>
        <v>0</v>
      </c>
      <c r="R124" s="23">
        <v>0.11</v>
      </c>
      <c r="S124" s="23">
        <f t="shared" si="12"/>
        <v>0</v>
      </c>
      <c r="T124" s="31">
        <v>17</v>
      </c>
      <c r="U124" s="31">
        <f t="shared" si="13"/>
        <v>0</v>
      </c>
      <c r="W124" s="33">
        <v>0.74</v>
      </c>
      <c r="X124" s="37">
        <v>0.89</v>
      </c>
    </row>
    <row r="125" spans="1:24" x14ac:dyDescent="0.25">
      <c r="A125" s="4" t="s">
        <v>137</v>
      </c>
      <c r="B125" s="4" t="s">
        <v>137</v>
      </c>
      <c r="C125" s="14">
        <v>20</v>
      </c>
      <c r="D125" s="14">
        <v>1500</v>
      </c>
      <c r="E125" s="14">
        <v>10</v>
      </c>
      <c r="F125" s="14">
        <v>50</v>
      </c>
      <c r="G125" s="19"/>
      <c r="H125" s="19"/>
      <c r="I125" s="19"/>
      <c r="J125" s="19"/>
      <c r="K125" s="19"/>
      <c r="L125" s="19"/>
      <c r="M125" s="19"/>
      <c r="N125" s="19"/>
      <c r="O125" s="19"/>
      <c r="P125" s="18">
        <f>SUM(G125:O125)</f>
        <v>0</v>
      </c>
      <c r="Q125" s="19">
        <f>$P125/$F125</f>
        <v>0</v>
      </c>
      <c r="R125" s="23">
        <v>7.0000000000000007E-2</v>
      </c>
      <c r="S125" s="23">
        <f t="shared" si="12"/>
        <v>0</v>
      </c>
      <c r="T125" s="31">
        <v>21.2</v>
      </c>
      <c r="U125" s="31">
        <f t="shared" si="13"/>
        <v>0</v>
      </c>
      <c r="W125" s="33">
        <v>0.86</v>
      </c>
      <c r="X125" s="37">
        <v>1.04</v>
      </c>
    </row>
    <row r="126" spans="1:24" x14ac:dyDescent="0.25">
      <c r="A126" s="4" t="s">
        <v>138</v>
      </c>
      <c r="B126" s="4" t="s">
        <v>138</v>
      </c>
      <c r="C126" s="14">
        <v>20</v>
      </c>
      <c r="D126" s="14">
        <v>1800</v>
      </c>
      <c r="E126" s="14">
        <v>10</v>
      </c>
      <c r="F126" s="14">
        <v>50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8">
        <f>SUM(G126:O126)</f>
        <v>0</v>
      </c>
      <c r="Q126" s="19">
        <f>$P126/$F126</f>
        <v>0</v>
      </c>
      <c r="R126" s="23">
        <v>0.09</v>
      </c>
      <c r="S126" s="23">
        <f t="shared" si="12"/>
        <v>0</v>
      </c>
      <c r="T126" s="31">
        <v>25.75</v>
      </c>
      <c r="U126" s="31">
        <f t="shared" si="13"/>
        <v>0</v>
      </c>
      <c r="W126" s="33">
        <v>1.02</v>
      </c>
      <c r="X126" s="37">
        <v>1.22</v>
      </c>
    </row>
    <row r="127" spans="1:24" x14ac:dyDescent="0.25">
      <c r="A127" s="4" t="s">
        <v>139</v>
      </c>
      <c r="B127" s="4" t="s">
        <v>139</v>
      </c>
      <c r="C127" s="14">
        <v>25</v>
      </c>
      <c r="D127" s="14">
        <v>150</v>
      </c>
      <c r="E127" s="14">
        <v>10</v>
      </c>
      <c r="F127" s="14">
        <v>200</v>
      </c>
      <c r="G127" s="19"/>
      <c r="H127" s="19"/>
      <c r="I127" s="19"/>
      <c r="J127" s="19"/>
      <c r="K127" s="19"/>
      <c r="L127" s="19"/>
      <c r="M127" s="19"/>
      <c r="N127" s="19"/>
      <c r="O127" s="19"/>
      <c r="P127" s="18">
        <f>SUM(G127:O127)</f>
        <v>0</v>
      </c>
      <c r="Q127" s="19">
        <f>$P127/$F127</f>
        <v>0</v>
      </c>
      <c r="R127" s="23">
        <v>0.04</v>
      </c>
      <c r="S127" s="23">
        <f t="shared" si="12"/>
        <v>0</v>
      </c>
      <c r="T127" s="31">
        <v>11.75</v>
      </c>
      <c r="U127" s="31">
        <f t="shared" si="13"/>
        <v>0</v>
      </c>
      <c r="W127" s="33">
        <v>0.19</v>
      </c>
      <c r="X127" s="37">
        <v>0.23</v>
      </c>
    </row>
    <row r="128" spans="1:24" x14ac:dyDescent="0.25">
      <c r="A128" s="4" t="s">
        <v>140</v>
      </c>
      <c r="B128" s="4">
        <v>90445200</v>
      </c>
      <c r="C128" s="14">
        <v>25</v>
      </c>
      <c r="D128" s="14">
        <v>150</v>
      </c>
      <c r="E128" s="14">
        <v>10</v>
      </c>
      <c r="F128" s="14">
        <v>200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8">
        <f>SUM(G128:O128)</f>
        <v>0</v>
      </c>
      <c r="Q128" s="19">
        <f>$P128/$F128</f>
        <v>0</v>
      </c>
      <c r="R128" s="23">
        <v>0.04</v>
      </c>
      <c r="S128" s="23">
        <f t="shared" si="12"/>
        <v>0</v>
      </c>
      <c r="T128" s="31">
        <v>11.75</v>
      </c>
      <c r="U128" s="31">
        <f t="shared" si="13"/>
        <v>0</v>
      </c>
      <c r="W128" s="33">
        <v>0.19</v>
      </c>
      <c r="X128" s="37">
        <v>0.23</v>
      </c>
    </row>
    <row r="129" spans="1:24" x14ac:dyDescent="0.25">
      <c r="A129" s="4" t="s">
        <v>141</v>
      </c>
      <c r="B129" s="4" t="s">
        <v>141</v>
      </c>
      <c r="C129" s="14">
        <v>25</v>
      </c>
      <c r="D129" s="14">
        <v>300</v>
      </c>
      <c r="E129" s="14">
        <v>10</v>
      </c>
      <c r="F129" s="14">
        <v>100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8">
        <f>SUM(G129:O129)</f>
        <v>0</v>
      </c>
      <c r="Q129" s="19">
        <f>$P129/$F129</f>
        <v>0</v>
      </c>
      <c r="R129" s="23">
        <v>0.04</v>
      </c>
      <c r="S129" s="23">
        <f t="shared" si="12"/>
        <v>0</v>
      </c>
      <c r="T129" s="31">
        <v>11.75</v>
      </c>
      <c r="U129" s="31">
        <f t="shared" si="13"/>
        <v>0</v>
      </c>
      <c r="W129" s="33">
        <v>0.3</v>
      </c>
      <c r="X129" s="37">
        <v>0.36</v>
      </c>
    </row>
    <row r="130" spans="1:24" x14ac:dyDescent="0.25">
      <c r="A130" s="4" t="s">
        <v>142</v>
      </c>
      <c r="B130" s="4">
        <v>90445300</v>
      </c>
      <c r="C130" s="14" t="s">
        <v>47</v>
      </c>
      <c r="D130" s="14">
        <v>300</v>
      </c>
      <c r="E130" s="14">
        <v>10</v>
      </c>
      <c r="F130" s="14">
        <v>100</v>
      </c>
      <c r="G130" s="19"/>
      <c r="H130" s="19"/>
      <c r="I130" s="19"/>
      <c r="J130" s="19"/>
      <c r="K130" s="19"/>
      <c r="L130" s="19">
        <v>300</v>
      </c>
      <c r="M130" s="19"/>
      <c r="N130" s="19">
        <v>200</v>
      </c>
      <c r="O130" s="19"/>
      <c r="P130" s="18">
        <f>SUM(G130:O130)</f>
        <v>500</v>
      </c>
      <c r="Q130" s="19">
        <f>$P130/$F130</f>
        <v>5</v>
      </c>
      <c r="R130" s="23">
        <v>0.04</v>
      </c>
      <c r="S130" s="23">
        <f t="shared" si="12"/>
        <v>0.2</v>
      </c>
      <c r="T130" s="31">
        <v>11.75</v>
      </c>
      <c r="U130" s="31">
        <f t="shared" si="13"/>
        <v>58.75</v>
      </c>
      <c r="W130" s="33">
        <v>0.3</v>
      </c>
      <c r="X130" s="37">
        <v>0.36</v>
      </c>
    </row>
    <row r="131" spans="1:24" x14ac:dyDescent="0.25">
      <c r="A131" s="4" t="s">
        <v>143</v>
      </c>
      <c r="B131" s="4" t="s">
        <v>143</v>
      </c>
      <c r="C131" s="14">
        <v>25</v>
      </c>
      <c r="D131" s="14">
        <v>450</v>
      </c>
      <c r="E131" s="14">
        <v>10</v>
      </c>
      <c r="F131" s="14">
        <v>100</v>
      </c>
      <c r="G131" s="19"/>
      <c r="H131" s="19"/>
      <c r="I131" s="19"/>
      <c r="J131" s="19"/>
      <c r="K131" s="19"/>
      <c r="L131" s="19"/>
      <c r="M131" s="19"/>
      <c r="N131" s="19"/>
      <c r="O131" s="19"/>
      <c r="P131" s="18">
        <f>SUM(G131:O131)</f>
        <v>0</v>
      </c>
      <c r="Q131" s="19">
        <f>$P131/$F131</f>
        <v>0</v>
      </c>
      <c r="R131" s="23">
        <v>0.06</v>
      </c>
      <c r="S131" s="23">
        <f t="shared" si="12"/>
        <v>0</v>
      </c>
      <c r="T131" s="31">
        <v>17</v>
      </c>
      <c r="U131" s="31">
        <f t="shared" si="13"/>
        <v>0</v>
      </c>
      <c r="W131" s="33">
        <v>0.4</v>
      </c>
      <c r="X131" s="37">
        <v>0.48</v>
      </c>
    </row>
    <row r="132" spans="1:24" x14ac:dyDescent="0.25">
      <c r="A132" s="4" t="s">
        <v>144</v>
      </c>
      <c r="B132" s="4">
        <v>90445400</v>
      </c>
      <c r="C132" s="14" t="s">
        <v>47</v>
      </c>
      <c r="D132" s="14">
        <v>450</v>
      </c>
      <c r="E132" s="14">
        <v>10</v>
      </c>
      <c r="F132" s="14">
        <v>100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18">
        <f>SUM(G132:O132)</f>
        <v>0</v>
      </c>
      <c r="Q132" s="19">
        <f>$P132/$F132</f>
        <v>0</v>
      </c>
      <c r="R132" s="23">
        <v>0.06</v>
      </c>
      <c r="S132" s="23">
        <f t="shared" si="12"/>
        <v>0</v>
      </c>
      <c r="T132" s="31">
        <v>17</v>
      </c>
      <c r="U132" s="31">
        <f t="shared" si="13"/>
        <v>0</v>
      </c>
      <c r="W132" s="33">
        <v>0.41</v>
      </c>
      <c r="X132" s="37">
        <v>0.49</v>
      </c>
    </row>
    <row r="133" spans="1:24" x14ac:dyDescent="0.25">
      <c r="A133" s="4" t="s">
        <v>145</v>
      </c>
      <c r="B133" s="4" t="s">
        <v>145</v>
      </c>
      <c r="C133" s="14">
        <v>25</v>
      </c>
      <c r="D133" s="14">
        <v>600</v>
      </c>
      <c r="E133" s="14">
        <v>10</v>
      </c>
      <c r="F133" s="14">
        <v>50</v>
      </c>
      <c r="G133" s="19"/>
      <c r="H133" s="19"/>
      <c r="I133" s="19"/>
      <c r="J133" s="19"/>
      <c r="K133" s="19"/>
      <c r="L133" s="19"/>
      <c r="M133" s="19"/>
      <c r="N133" s="19"/>
      <c r="O133" s="19"/>
      <c r="P133" s="18">
        <f>SUM(G133:O133)</f>
        <v>0</v>
      </c>
      <c r="Q133" s="19">
        <f>$P133/$F133</f>
        <v>0</v>
      </c>
      <c r="R133" s="23">
        <v>0.04</v>
      </c>
      <c r="S133" s="23">
        <f t="shared" si="12"/>
        <v>0</v>
      </c>
      <c r="T133" s="31">
        <v>11.75</v>
      </c>
      <c r="U133" s="31">
        <f t="shared" si="13"/>
        <v>0</v>
      </c>
      <c r="W133" s="33">
        <v>0.5</v>
      </c>
      <c r="X133" s="37">
        <v>0.6</v>
      </c>
    </row>
    <row r="134" spans="1:24" x14ac:dyDescent="0.25">
      <c r="A134" s="4" t="s">
        <v>146</v>
      </c>
      <c r="B134" s="4">
        <v>90445600</v>
      </c>
      <c r="C134" s="14">
        <v>25</v>
      </c>
      <c r="D134" s="14">
        <v>600</v>
      </c>
      <c r="E134" s="14">
        <v>10</v>
      </c>
      <c r="F134" s="14">
        <v>50</v>
      </c>
      <c r="G134" s="19"/>
      <c r="H134" s="19"/>
      <c r="I134" s="19"/>
      <c r="J134" s="19"/>
      <c r="K134" s="19">
        <v>200</v>
      </c>
      <c r="L134" s="19">
        <v>200</v>
      </c>
      <c r="M134" s="19">
        <v>200</v>
      </c>
      <c r="N134" s="19">
        <v>200</v>
      </c>
      <c r="O134" s="19"/>
      <c r="P134" s="18">
        <f>SUM(G134:O134)</f>
        <v>800</v>
      </c>
      <c r="Q134" s="19">
        <f>$P134/$F134</f>
        <v>16</v>
      </c>
      <c r="R134" s="23">
        <v>0.04</v>
      </c>
      <c r="S134" s="23">
        <f t="shared" si="12"/>
        <v>0.64</v>
      </c>
      <c r="T134" s="31">
        <v>11.75</v>
      </c>
      <c r="U134" s="31">
        <f t="shared" si="13"/>
        <v>188</v>
      </c>
      <c r="W134" s="33">
        <v>0.52</v>
      </c>
      <c r="X134" s="37">
        <v>0.63</v>
      </c>
    </row>
    <row r="135" spans="1:24" x14ac:dyDescent="0.25">
      <c r="A135" s="4" t="s">
        <v>147</v>
      </c>
      <c r="B135" s="4" t="s">
        <v>147</v>
      </c>
      <c r="C135" s="14">
        <v>25</v>
      </c>
      <c r="D135" s="14">
        <v>750</v>
      </c>
      <c r="E135" s="14">
        <v>10</v>
      </c>
      <c r="F135" s="14">
        <v>50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8">
        <f>SUM(G135:O135)</f>
        <v>0</v>
      </c>
      <c r="Q135" s="19">
        <f>$P135/$F135</f>
        <v>0</v>
      </c>
      <c r="R135" s="23">
        <v>0.04</v>
      </c>
      <c r="S135" s="23">
        <f t="shared" si="12"/>
        <v>0</v>
      </c>
      <c r="T135" s="31">
        <v>14.3</v>
      </c>
      <c r="U135" s="31">
        <f t="shared" si="13"/>
        <v>0</v>
      </c>
      <c r="W135" s="33">
        <v>0.61</v>
      </c>
      <c r="X135" s="37">
        <v>0.73</v>
      </c>
    </row>
    <row r="136" spans="1:24" x14ac:dyDescent="0.25">
      <c r="A136" s="4" t="s">
        <v>148</v>
      </c>
      <c r="B136" s="57" t="s">
        <v>149</v>
      </c>
      <c r="C136" s="14">
        <v>25</v>
      </c>
      <c r="D136" s="14">
        <v>750</v>
      </c>
      <c r="E136" s="14">
        <v>10</v>
      </c>
      <c r="F136" s="14">
        <v>50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18">
        <f>SUM(G136:O136)</f>
        <v>0</v>
      </c>
      <c r="Q136" s="19">
        <f>$P136/$F136</f>
        <v>0</v>
      </c>
      <c r="R136" s="23">
        <v>0.04</v>
      </c>
      <c r="S136" s="23">
        <f t="shared" si="12"/>
        <v>0</v>
      </c>
      <c r="T136" s="31">
        <v>14.3</v>
      </c>
      <c r="U136" s="31">
        <f t="shared" si="13"/>
        <v>0</v>
      </c>
      <c r="W136" s="33">
        <v>0.64</v>
      </c>
      <c r="X136" s="37">
        <v>0.77</v>
      </c>
    </row>
    <row r="137" spans="1:24" x14ac:dyDescent="0.25">
      <c r="A137" s="4" t="s">
        <v>150</v>
      </c>
      <c r="B137" s="4" t="s">
        <v>150</v>
      </c>
      <c r="C137" s="14">
        <v>25</v>
      </c>
      <c r="D137" s="14">
        <v>900</v>
      </c>
      <c r="E137" s="14">
        <v>10</v>
      </c>
      <c r="F137" s="14">
        <v>50</v>
      </c>
      <c r="G137" s="19"/>
      <c r="H137" s="19"/>
      <c r="I137" s="19"/>
      <c r="J137" s="19"/>
      <c r="K137" s="19"/>
      <c r="L137" s="19">
        <v>100</v>
      </c>
      <c r="M137" s="19"/>
      <c r="N137" s="19">
        <v>200</v>
      </c>
      <c r="O137" s="19"/>
      <c r="P137" s="18">
        <f>SUM(G137:O137)</f>
        <v>300</v>
      </c>
      <c r="Q137" s="19">
        <f>$P137/$F137</f>
        <v>6</v>
      </c>
      <c r="R137" s="23">
        <v>0.06</v>
      </c>
      <c r="S137" s="23">
        <f t="shared" si="12"/>
        <v>0.36</v>
      </c>
      <c r="T137" s="31">
        <v>17</v>
      </c>
      <c r="U137" s="31">
        <f t="shared" si="13"/>
        <v>102</v>
      </c>
      <c r="W137" s="33">
        <v>0.71</v>
      </c>
      <c r="X137" s="37">
        <v>0.86</v>
      </c>
    </row>
    <row r="138" spans="1:24" x14ac:dyDescent="0.25">
      <c r="A138" s="4" t="s">
        <v>151</v>
      </c>
      <c r="B138" s="57" t="s">
        <v>152</v>
      </c>
      <c r="C138" s="14">
        <v>25</v>
      </c>
      <c r="D138" s="14">
        <v>900</v>
      </c>
      <c r="E138" s="14">
        <v>10</v>
      </c>
      <c r="F138" s="14">
        <v>50</v>
      </c>
      <c r="G138" s="19"/>
      <c r="H138" s="19"/>
      <c r="I138" s="19"/>
      <c r="J138" s="19"/>
      <c r="K138" s="19"/>
      <c r="L138" s="19"/>
      <c r="M138" s="19"/>
      <c r="N138" s="19">
        <v>200</v>
      </c>
      <c r="O138" s="19"/>
      <c r="P138" s="18">
        <f>SUM(G138:O138)</f>
        <v>200</v>
      </c>
      <c r="Q138" s="19">
        <f>$P138/$F138</f>
        <v>4</v>
      </c>
      <c r="R138" s="23">
        <v>0.06</v>
      </c>
      <c r="S138" s="23">
        <f t="shared" si="12"/>
        <v>0.24</v>
      </c>
      <c r="T138" s="31">
        <v>17</v>
      </c>
      <c r="U138" s="31">
        <f t="shared" si="13"/>
        <v>68</v>
      </c>
      <c r="W138" s="33">
        <v>0.74</v>
      </c>
      <c r="X138" s="37">
        <v>0.89</v>
      </c>
    </row>
    <row r="139" spans="1:24" x14ac:dyDescent="0.25">
      <c r="A139" s="4" t="s">
        <v>153</v>
      </c>
      <c r="B139" s="4" t="s">
        <v>153</v>
      </c>
      <c r="C139" s="14">
        <v>25</v>
      </c>
      <c r="D139" s="14">
        <v>1200</v>
      </c>
      <c r="E139" s="14">
        <v>10</v>
      </c>
      <c r="F139" s="14">
        <v>50</v>
      </c>
      <c r="G139" s="19"/>
      <c r="H139" s="19"/>
      <c r="I139" s="19"/>
      <c r="J139" s="19"/>
      <c r="K139" s="19"/>
      <c r="L139" s="19"/>
      <c r="M139" s="19"/>
      <c r="N139" s="19">
        <v>100</v>
      </c>
      <c r="O139" s="19"/>
      <c r="P139" s="18">
        <f>SUM(G139:O139)</f>
        <v>100</v>
      </c>
      <c r="Q139" s="19">
        <f>$P139/$F139</f>
        <v>2</v>
      </c>
      <c r="R139" s="23">
        <v>0.08</v>
      </c>
      <c r="S139" s="23">
        <f t="shared" si="12"/>
        <v>0.16</v>
      </c>
      <c r="T139" s="31">
        <v>22</v>
      </c>
      <c r="U139" s="31">
        <f t="shared" si="13"/>
        <v>44</v>
      </c>
      <c r="W139" s="33">
        <v>0.91</v>
      </c>
      <c r="X139" s="37">
        <v>1.1000000000000001</v>
      </c>
    </row>
    <row r="140" spans="1:24" x14ac:dyDescent="0.25">
      <c r="A140" s="4" t="s">
        <v>248</v>
      </c>
      <c r="B140" s="57">
        <v>90445810</v>
      </c>
      <c r="C140" s="14" t="s">
        <v>47</v>
      </c>
      <c r="D140" s="14">
        <v>1200</v>
      </c>
      <c r="E140" s="14">
        <v>10</v>
      </c>
      <c r="F140" s="14">
        <v>50</v>
      </c>
      <c r="G140" s="19"/>
      <c r="H140" s="19"/>
      <c r="I140" s="19"/>
      <c r="J140" s="19"/>
      <c r="K140" s="19"/>
      <c r="L140" s="19"/>
      <c r="M140" s="19"/>
      <c r="N140" s="19">
        <v>100</v>
      </c>
      <c r="O140" s="19"/>
      <c r="P140" s="18">
        <f>SUM(G140:O140)</f>
        <v>100</v>
      </c>
      <c r="Q140" s="19">
        <f>$P140/$F140</f>
        <v>2</v>
      </c>
      <c r="R140" s="23">
        <v>0.08</v>
      </c>
      <c r="S140" s="23">
        <f t="shared" si="12"/>
        <v>0.16</v>
      </c>
      <c r="T140" s="31">
        <v>22</v>
      </c>
      <c r="U140" s="31">
        <f t="shared" si="13"/>
        <v>44</v>
      </c>
      <c r="W140" s="33">
        <v>0.96</v>
      </c>
      <c r="X140" s="37">
        <v>1.1499999999999999</v>
      </c>
    </row>
    <row r="141" spans="1:24" x14ac:dyDescent="0.25">
      <c r="A141" s="4" t="s">
        <v>154</v>
      </c>
      <c r="B141" s="4" t="s">
        <v>154</v>
      </c>
      <c r="C141" s="14">
        <v>25</v>
      </c>
      <c r="D141" s="14">
        <v>1524</v>
      </c>
      <c r="E141" s="14">
        <v>10</v>
      </c>
      <c r="F141" s="14">
        <v>50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8">
        <f>SUM(G141:O141)</f>
        <v>0</v>
      </c>
      <c r="Q141" s="19">
        <f>$P141/$F141</f>
        <v>0</v>
      </c>
      <c r="R141" s="23">
        <v>0.08</v>
      </c>
      <c r="S141" s="23">
        <f t="shared" si="12"/>
        <v>0</v>
      </c>
      <c r="T141" s="31">
        <v>29.65</v>
      </c>
      <c r="U141" s="31">
        <f t="shared" si="13"/>
        <v>0</v>
      </c>
      <c r="W141" s="33">
        <v>1.1599999999999999</v>
      </c>
      <c r="X141" s="37">
        <v>1.4</v>
      </c>
    </row>
    <row r="142" spans="1:24" x14ac:dyDescent="0.25">
      <c r="A142" s="4" t="s">
        <v>155</v>
      </c>
      <c r="B142" s="4" t="s">
        <v>155</v>
      </c>
      <c r="C142" s="14">
        <v>25</v>
      </c>
      <c r="D142" s="14">
        <v>1800</v>
      </c>
      <c r="E142" s="14">
        <v>10</v>
      </c>
      <c r="F142" s="14">
        <v>50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8">
        <f>SUM(G142:O142)</f>
        <v>0</v>
      </c>
      <c r="Q142" s="19">
        <f>$P142/$F142</f>
        <v>0</v>
      </c>
      <c r="R142" s="23">
        <v>0.12</v>
      </c>
      <c r="S142" s="23">
        <f t="shared" si="12"/>
        <v>0</v>
      </c>
      <c r="T142" s="31">
        <v>33</v>
      </c>
      <c r="U142" s="31">
        <f t="shared" si="13"/>
        <v>0</v>
      </c>
      <c r="W142" s="33">
        <v>1.33</v>
      </c>
      <c r="X142" s="37">
        <v>1.6</v>
      </c>
    </row>
    <row r="143" spans="1:24" x14ac:dyDescent="0.25">
      <c r="A143" s="4" t="s">
        <v>156</v>
      </c>
      <c r="B143" s="4">
        <v>90445900</v>
      </c>
      <c r="C143" s="14">
        <v>25</v>
      </c>
      <c r="D143" s="14">
        <v>1800</v>
      </c>
      <c r="E143" s="14">
        <v>10</v>
      </c>
      <c r="F143" s="14">
        <v>50</v>
      </c>
      <c r="G143" s="19"/>
      <c r="H143" s="19"/>
      <c r="I143" s="19"/>
      <c r="J143" s="19"/>
      <c r="K143" s="19"/>
      <c r="L143" s="19"/>
      <c r="M143" s="19"/>
      <c r="N143" s="19">
        <v>100</v>
      </c>
      <c r="O143" s="19"/>
      <c r="P143" s="18">
        <f>SUM(G143:O143)</f>
        <v>100</v>
      </c>
      <c r="Q143" s="19">
        <f>$P143/$F143</f>
        <v>2</v>
      </c>
      <c r="R143" s="23">
        <v>0.12</v>
      </c>
      <c r="S143" s="23">
        <f t="shared" si="12"/>
        <v>0.24</v>
      </c>
      <c r="T143" s="31">
        <v>33</v>
      </c>
      <c r="U143" s="31">
        <f t="shared" si="13"/>
        <v>66</v>
      </c>
      <c r="W143" s="33">
        <v>1.41</v>
      </c>
      <c r="X143" s="37">
        <v>1.69</v>
      </c>
    </row>
    <row r="144" spans="1:24" x14ac:dyDescent="0.25">
      <c r="A144" s="10" t="s">
        <v>157</v>
      </c>
      <c r="B144" s="10">
        <v>90446000</v>
      </c>
      <c r="C144" s="16">
        <v>25</v>
      </c>
      <c r="D144" s="16">
        <v>2400</v>
      </c>
      <c r="E144" s="16">
        <v>10</v>
      </c>
      <c r="F144" s="16">
        <v>50</v>
      </c>
      <c r="G144" s="20"/>
      <c r="H144" s="20"/>
      <c r="I144" s="20"/>
      <c r="J144" s="20"/>
      <c r="K144" s="20"/>
      <c r="L144" s="20"/>
      <c r="M144" s="20"/>
      <c r="N144" s="20">
        <v>100</v>
      </c>
      <c r="O144" s="20"/>
      <c r="P144" s="18">
        <f>SUM(G144:O144)</f>
        <v>100</v>
      </c>
      <c r="Q144" s="20">
        <f>$P144/$F144</f>
        <v>2</v>
      </c>
      <c r="R144" s="27">
        <v>0.12</v>
      </c>
      <c r="S144" s="27">
        <f t="shared" si="12"/>
        <v>0.24</v>
      </c>
      <c r="T144" s="32">
        <v>46.5</v>
      </c>
      <c r="U144" s="32">
        <f t="shared" si="13"/>
        <v>93</v>
      </c>
      <c r="W144" s="33">
        <v>2.12</v>
      </c>
      <c r="X144" s="37">
        <v>2.54</v>
      </c>
    </row>
    <row r="145" spans="1:26" x14ac:dyDescent="0.25">
      <c r="A145" s="1" t="s">
        <v>166</v>
      </c>
      <c r="B145" s="1"/>
      <c r="C145" s="40"/>
      <c r="D145" s="30"/>
      <c r="E145" s="30"/>
      <c r="F145" s="30"/>
      <c r="G145" s="21"/>
      <c r="H145" s="21"/>
      <c r="I145" s="21"/>
      <c r="J145" s="21"/>
      <c r="K145" s="21"/>
      <c r="L145" s="78"/>
      <c r="M145" s="78"/>
      <c r="N145" s="78"/>
      <c r="O145" s="21"/>
      <c r="P145" s="21"/>
      <c r="Q145" s="21"/>
      <c r="R145" s="21"/>
      <c r="S145" s="21"/>
      <c r="T145" s="56"/>
      <c r="U145" s="56"/>
      <c r="W145" s="64" t="s">
        <v>308</v>
      </c>
      <c r="X145" s="65" t="s">
        <v>308</v>
      </c>
    </row>
    <row r="146" spans="1:26" x14ac:dyDescent="0.25">
      <c r="A146" s="66" t="s">
        <v>202</v>
      </c>
      <c r="B146" s="66" t="s">
        <v>202</v>
      </c>
      <c r="C146" s="53">
        <v>15</v>
      </c>
      <c r="D146" s="53"/>
      <c r="E146" s="53">
        <v>50</v>
      </c>
      <c r="F146" s="53">
        <v>2800</v>
      </c>
      <c r="G146" s="17"/>
      <c r="H146" s="17"/>
      <c r="I146" s="17"/>
      <c r="J146" s="17"/>
      <c r="K146" s="17"/>
      <c r="L146" s="17"/>
      <c r="M146" s="17"/>
      <c r="N146" s="17">
        <v>2800</v>
      </c>
      <c r="O146" s="17"/>
      <c r="P146" s="18">
        <f>SUM(G146:O146)</f>
        <v>2800</v>
      </c>
      <c r="Q146" s="17">
        <f>$P146/$F146</f>
        <v>1</v>
      </c>
      <c r="R146" s="54">
        <v>0.06</v>
      </c>
      <c r="S146" s="54">
        <f t="shared" ref="S146:S170" si="14">$Q146*$R146</f>
        <v>0.06</v>
      </c>
      <c r="T146" s="55">
        <v>16.100000000000001</v>
      </c>
      <c r="U146" s="55">
        <f t="shared" ref="U146:U170" si="15">T146*Q146</f>
        <v>16.100000000000001</v>
      </c>
      <c r="W146" s="33">
        <v>1</v>
      </c>
      <c r="X146" s="37">
        <v>1.2</v>
      </c>
    </row>
    <row r="147" spans="1:26" x14ac:dyDescent="0.25">
      <c r="A147" s="67" t="s">
        <v>204</v>
      </c>
      <c r="B147" s="67" t="s">
        <v>204</v>
      </c>
      <c r="C147" s="14">
        <v>15</v>
      </c>
      <c r="D147" s="14"/>
      <c r="E147" s="14">
        <v>50</v>
      </c>
      <c r="F147" s="14">
        <v>550</v>
      </c>
      <c r="G147" s="19"/>
      <c r="H147" s="19"/>
      <c r="I147" s="19"/>
      <c r="J147" s="19"/>
      <c r="K147" s="19">
        <v>3300</v>
      </c>
      <c r="L147" s="19">
        <v>3300</v>
      </c>
      <c r="M147" s="19"/>
      <c r="N147" s="19">
        <v>3300</v>
      </c>
      <c r="O147" s="19"/>
      <c r="P147" s="18">
        <f>SUM(G147:O147)</f>
        <v>9900</v>
      </c>
      <c r="Q147" s="19">
        <f>$P147/$F147</f>
        <v>18</v>
      </c>
      <c r="R147" s="23">
        <v>0.06</v>
      </c>
      <c r="S147" s="23">
        <f t="shared" si="14"/>
        <v>1.08</v>
      </c>
      <c r="T147" s="31">
        <v>10</v>
      </c>
      <c r="U147" s="31">
        <f t="shared" si="15"/>
        <v>180</v>
      </c>
      <c r="W147" s="33">
        <v>8.5</v>
      </c>
      <c r="X147" s="37">
        <v>10.199999999999999</v>
      </c>
      <c r="Z147" s="68"/>
    </row>
    <row r="148" spans="1:26" x14ac:dyDescent="0.25">
      <c r="A148" s="67" t="s">
        <v>205</v>
      </c>
      <c r="B148" s="67" t="s">
        <v>205</v>
      </c>
      <c r="C148" s="14">
        <v>15</v>
      </c>
      <c r="D148" s="14"/>
      <c r="E148" s="14">
        <v>50</v>
      </c>
      <c r="F148" s="14">
        <v>1200</v>
      </c>
      <c r="G148" s="19"/>
      <c r="H148" s="19"/>
      <c r="I148" s="19"/>
      <c r="J148" s="19"/>
      <c r="K148" s="19">
        <v>9600</v>
      </c>
      <c r="L148" s="19">
        <v>9600</v>
      </c>
      <c r="M148" s="19"/>
      <c r="N148" s="19">
        <v>6000</v>
      </c>
      <c r="O148" s="19"/>
      <c r="P148" s="18">
        <f>SUM(G148:O148)</f>
        <v>25200</v>
      </c>
      <c r="Q148" s="19">
        <f>$P148/$F148</f>
        <v>21</v>
      </c>
      <c r="R148" s="23">
        <v>0.06</v>
      </c>
      <c r="S148" s="23">
        <f t="shared" si="14"/>
        <v>1.26</v>
      </c>
      <c r="T148" s="31">
        <v>10.3</v>
      </c>
      <c r="U148" s="31">
        <f t="shared" si="15"/>
        <v>216.3</v>
      </c>
      <c r="W148" s="33">
        <v>4.5</v>
      </c>
      <c r="X148" s="37">
        <v>5.4</v>
      </c>
    </row>
    <row r="149" spans="1:26" x14ac:dyDescent="0.25">
      <c r="A149" s="67" t="s">
        <v>203</v>
      </c>
      <c r="B149" s="67" t="s">
        <v>203</v>
      </c>
      <c r="C149" s="14">
        <v>15</v>
      </c>
      <c r="D149" s="14"/>
      <c r="E149" s="14">
        <v>50</v>
      </c>
      <c r="F149" s="14">
        <v>550</v>
      </c>
      <c r="G149" s="19"/>
      <c r="H149" s="19"/>
      <c r="I149" s="19"/>
      <c r="J149" s="19"/>
      <c r="K149" s="19"/>
      <c r="L149" s="19">
        <v>2750</v>
      </c>
      <c r="M149" s="19"/>
      <c r="N149" s="19">
        <v>2750</v>
      </c>
      <c r="O149" s="19"/>
      <c r="P149" s="18">
        <f>SUM(G149:O149)</f>
        <v>5500</v>
      </c>
      <c r="Q149" s="19">
        <f>$P149/$F149</f>
        <v>10</v>
      </c>
      <c r="R149" s="23">
        <v>0.06</v>
      </c>
      <c r="S149" s="23">
        <f t="shared" si="14"/>
        <v>0.6</v>
      </c>
      <c r="T149" s="31">
        <v>10</v>
      </c>
      <c r="U149" s="31">
        <f t="shared" si="15"/>
        <v>100</v>
      </c>
      <c r="W149" s="33">
        <v>4</v>
      </c>
      <c r="X149" s="37">
        <v>4.8</v>
      </c>
    </row>
    <row r="150" spans="1:26" x14ac:dyDescent="0.25">
      <c r="A150" s="67" t="s">
        <v>162</v>
      </c>
      <c r="B150" s="67" t="s">
        <v>162</v>
      </c>
      <c r="C150" s="14">
        <v>15</v>
      </c>
      <c r="D150" s="14"/>
      <c r="E150" s="14">
        <v>100</v>
      </c>
      <c r="F150" s="14">
        <v>1200</v>
      </c>
      <c r="G150" s="19"/>
      <c r="H150" s="19"/>
      <c r="I150" s="19"/>
      <c r="J150" s="19"/>
      <c r="K150" s="19"/>
      <c r="L150" s="19">
        <v>12000</v>
      </c>
      <c r="M150" s="19"/>
      <c r="N150" s="19">
        <v>12000</v>
      </c>
      <c r="O150" s="19"/>
      <c r="P150" s="18">
        <f>SUM(G150:O150)</f>
        <v>24000</v>
      </c>
      <c r="Q150" s="19">
        <f>$P150/$F150</f>
        <v>20</v>
      </c>
      <c r="R150" s="23">
        <v>0.06</v>
      </c>
      <c r="S150" s="23">
        <f t="shared" si="14"/>
        <v>1.2</v>
      </c>
      <c r="T150" s="31">
        <v>10.6</v>
      </c>
      <c r="U150" s="31">
        <f t="shared" si="15"/>
        <v>212</v>
      </c>
      <c r="W150" s="33">
        <v>2</v>
      </c>
      <c r="X150" s="37">
        <v>2.4</v>
      </c>
    </row>
    <row r="151" spans="1:26" x14ac:dyDescent="0.25">
      <c r="A151" s="67" t="s">
        <v>216</v>
      </c>
      <c r="B151" s="67" t="s">
        <v>216</v>
      </c>
      <c r="C151" s="14">
        <v>20</v>
      </c>
      <c r="D151" s="14"/>
      <c r="E151" s="14">
        <v>10</v>
      </c>
      <c r="F151" s="14">
        <v>800</v>
      </c>
      <c r="G151" s="19"/>
      <c r="H151" s="19"/>
      <c r="I151" s="19"/>
      <c r="J151" s="19"/>
      <c r="K151" s="19">
        <v>1600</v>
      </c>
      <c r="L151" s="19">
        <v>1600</v>
      </c>
      <c r="M151" s="19"/>
      <c r="N151" s="19">
        <v>1600</v>
      </c>
      <c r="O151" s="19"/>
      <c r="P151" s="18">
        <f>SUM(G151:O151)</f>
        <v>4800</v>
      </c>
      <c r="Q151" s="19">
        <f>$P151/$F151</f>
        <v>6</v>
      </c>
      <c r="R151" s="23">
        <v>0.06</v>
      </c>
      <c r="S151" s="23">
        <f t="shared" si="14"/>
        <v>0.36</v>
      </c>
      <c r="T151" s="31">
        <v>12</v>
      </c>
      <c r="U151" s="31">
        <f t="shared" si="15"/>
        <v>72</v>
      </c>
      <c r="W151" s="33">
        <v>3</v>
      </c>
      <c r="X151" s="37">
        <v>3.6</v>
      </c>
    </row>
    <row r="152" spans="1:26" x14ac:dyDescent="0.25">
      <c r="A152" s="67" t="s">
        <v>163</v>
      </c>
      <c r="B152" s="67" t="s">
        <v>163</v>
      </c>
      <c r="C152" s="14">
        <v>25</v>
      </c>
      <c r="D152" s="14"/>
      <c r="E152" s="14">
        <v>10</v>
      </c>
      <c r="F152" s="14">
        <v>520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8">
        <f>SUM(G152:O152)</f>
        <v>0</v>
      </c>
      <c r="Q152" s="19">
        <f>$P152/$F152</f>
        <v>0</v>
      </c>
      <c r="R152" s="23">
        <v>0.06</v>
      </c>
      <c r="S152" s="23">
        <f t="shared" si="14"/>
        <v>0</v>
      </c>
      <c r="T152" s="31">
        <v>11.9</v>
      </c>
      <c r="U152" s="31">
        <f t="shared" si="15"/>
        <v>0</v>
      </c>
      <c r="W152" s="33">
        <v>9</v>
      </c>
      <c r="X152" s="37">
        <v>10.8</v>
      </c>
    </row>
    <row r="153" spans="1:26" x14ac:dyDescent="0.25">
      <c r="A153" s="67" t="s">
        <v>225</v>
      </c>
      <c r="B153" s="67" t="s">
        <v>225</v>
      </c>
      <c r="C153" s="14">
        <v>15</v>
      </c>
      <c r="D153" s="14"/>
      <c r="E153" s="14">
        <v>50</v>
      </c>
      <c r="F153" s="14">
        <v>1750</v>
      </c>
      <c r="G153" s="19"/>
      <c r="H153" s="19"/>
      <c r="I153" s="19"/>
      <c r="J153" s="19"/>
      <c r="K153" s="19">
        <v>7000</v>
      </c>
      <c r="L153" s="19">
        <v>5250</v>
      </c>
      <c r="M153" s="19"/>
      <c r="N153" s="19">
        <v>5250</v>
      </c>
      <c r="O153" s="19"/>
      <c r="P153" s="18">
        <f>SUM(G153:O153)</f>
        <v>17500</v>
      </c>
      <c r="Q153" s="19">
        <f>$P153/$F153</f>
        <v>10</v>
      </c>
      <c r="R153" s="23">
        <v>0.06</v>
      </c>
      <c r="S153" s="23">
        <f t="shared" si="14"/>
        <v>0.6</v>
      </c>
      <c r="T153" s="31">
        <v>12.3</v>
      </c>
      <c r="U153" s="31">
        <f t="shared" si="15"/>
        <v>123</v>
      </c>
      <c r="W153" s="33">
        <v>3</v>
      </c>
      <c r="X153" s="37">
        <v>3.6</v>
      </c>
    </row>
    <row r="154" spans="1:26" x14ac:dyDescent="0.25">
      <c r="A154" s="67" t="s">
        <v>201</v>
      </c>
      <c r="B154" s="67" t="s">
        <v>201</v>
      </c>
      <c r="C154" s="14">
        <v>15</v>
      </c>
      <c r="D154" s="14"/>
      <c r="E154" s="14">
        <v>100</v>
      </c>
      <c r="F154" s="14">
        <v>1000</v>
      </c>
      <c r="G154" s="19"/>
      <c r="H154" s="19"/>
      <c r="I154" s="19"/>
      <c r="J154" s="19">
        <v>4000</v>
      </c>
      <c r="K154" s="19">
        <v>5000</v>
      </c>
      <c r="L154" s="19">
        <v>5000</v>
      </c>
      <c r="M154" s="19"/>
      <c r="N154" s="19">
        <v>5000</v>
      </c>
      <c r="O154" s="19"/>
      <c r="P154" s="18">
        <f>SUM(G154:O154)</f>
        <v>19000</v>
      </c>
      <c r="Q154" s="19">
        <f>$P154/$F154</f>
        <v>19</v>
      </c>
      <c r="R154" s="23">
        <v>0.06</v>
      </c>
      <c r="S154" s="23">
        <f t="shared" si="14"/>
        <v>1.1399999999999999</v>
      </c>
      <c r="T154" s="31">
        <v>15.2</v>
      </c>
      <c r="U154" s="31">
        <f t="shared" si="15"/>
        <v>288.8</v>
      </c>
      <c r="W154" s="33">
        <v>3</v>
      </c>
      <c r="X154" s="37">
        <v>3.6</v>
      </c>
    </row>
    <row r="155" spans="1:26" x14ac:dyDescent="0.25">
      <c r="A155" s="67" t="s">
        <v>215</v>
      </c>
      <c r="B155" s="67" t="s">
        <v>215</v>
      </c>
      <c r="C155" s="14">
        <v>20</v>
      </c>
      <c r="D155" s="14"/>
      <c r="E155" s="14">
        <v>50</v>
      </c>
      <c r="F155" s="14">
        <v>600</v>
      </c>
      <c r="G155" s="19"/>
      <c r="H155" s="19"/>
      <c r="I155" s="19"/>
      <c r="J155" s="19"/>
      <c r="K155" s="19"/>
      <c r="L155" s="19"/>
      <c r="M155" s="19"/>
      <c r="N155" s="19"/>
      <c r="O155" s="19"/>
      <c r="P155" s="18">
        <f>SUM(G155:O155)</f>
        <v>0</v>
      </c>
      <c r="Q155" s="19">
        <f>$P155/$F155</f>
        <v>0</v>
      </c>
      <c r="R155" s="23">
        <v>0.06</v>
      </c>
      <c r="S155" s="23">
        <f t="shared" si="14"/>
        <v>0</v>
      </c>
      <c r="T155" s="31">
        <v>12</v>
      </c>
      <c r="U155" s="31">
        <f t="shared" si="15"/>
        <v>0</v>
      </c>
      <c r="W155" s="33">
        <v>5</v>
      </c>
      <c r="X155" s="37">
        <v>6</v>
      </c>
    </row>
    <row r="156" spans="1:26" x14ac:dyDescent="0.25">
      <c r="A156" s="67" t="s">
        <v>224</v>
      </c>
      <c r="B156" s="67" t="s">
        <v>224</v>
      </c>
      <c r="C156" s="14">
        <v>25</v>
      </c>
      <c r="D156" s="14"/>
      <c r="E156" s="14">
        <v>50</v>
      </c>
      <c r="F156" s="14">
        <v>350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18">
        <f>SUM(G156:O156)</f>
        <v>0</v>
      </c>
      <c r="Q156" s="19">
        <f>$P156/$F156</f>
        <v>0</v>
      </c>
      <c r="R156" s="23">
        <v>0.06</v>
      </c>
      <c r="S156" s="23">
        <f t="shared" si="14"/>
        <v>0</v>
      </c>
      <c r="T156" s="31">
        <v>7.8</v>
      </c>
      <c r="U156" s="31">
        <f t="shared" si="15"/>
        <v>0</v>
      </c>
      <c r="W156" s="33">
        <v>9</v>
      </c>
      <c r="X156" s="37">
        <v>10.8</v>
      </c>
    </row>
    <row r="157" spans="1:26" x14ac:dyDescent="0.25">
      <c r="A157" s="67" t="s">
        <v>164</v>
      </c>
      <c r="B157" s="67" t="s">
        <v>164</v>
      </c>
      <c r="C157" s="14">
        <v>15</v>
      </c>
      <c r="D157" s="14">
        <v>300</v>
      </c>
      <c r="E157" s="14">
        <v>10</v>
      </c>
      <c r="F157" s="14">
        <v>300</v>
      </c>
      <c r="G157" s="19"/>
      <c r="H157" s="19"/>
      <c r="I157" s="19"/>
      <c r="J157" s="19"/>
      <c r="K157" s="19"/>
      <c r="L157" s="19">
        <v>2700</v>
      </c>
      <c r="M157" s="19"/>
      <c r="N157" s="19">
        <v>3000</v>
      </c>
      <c r="O157" s="19"/>
      <c r="P157" s="18">
        <f>SUM(G157:O157)</f>
        <v>5700</v>
      </c>
      <c r="Q157" s="19">
        <f>$P157/$F157</f>
        <v>19</v>
      </c>
      <c r="R157" s="23">
        <v>0.06</v>
      </c>
      <c r="S157" s="23">
        <f t="shared" si="14"/>
        <v>1.1399999999999999</v>
      </c>
      <c r="T157" s="31">
        <v>11.5</v>
      </c>
      <c r="U157" s="31">
        <f t="shared" si="15"/>
        <v>218.5</v>
      </c>
      <c r="W157" s="33">
        <v>12</v>
      </c>
      <c r="X157" s="37">
        <v>14.4</v>
      </c>
    </row>
    <row r="158" spans="1:26" x14ac:dyDescent="0.25">
      <c r="A158" s="67" t="s">
        <v>158</v>
      </c>
      <c r="B158" s="67" t="s">
        <v>158</v>
      </c>
      <c r="C158" s="14">
        <v>15</v>
      </c>
      <c r="D158" s="14">
        <v>25</v>
      </c>
      <c r="E158" s="14">
        <v>5</v>
      </c>
      <c r="F158" s="14">
        <v>2000</v>
      </c>
      <c r="G158" s="19"/>
      <c r="H158" s="19"/>
      <c r="I158" s="19"/>
      <c r="J158" s="19"/>
      <c r="K158" s="19"/>
      <c r="L158" s="19"/>
      <c r="M158" s="19"/>
      <c r="N158" s="19">
        <v>20000</v>
      </c>
      <c r="O158" s="19"/>
      <c r="P158" s="18">
        <f>SUM(G158:O158)</f>
        <v>20000</v>
      </c>
      <c r="Q158" s="19">
        <f>$P158/$F158</f>
        <v>10</v>
      </c>
      <c r="R158" s="23">
        <v>0.06</v>
      </c>
      <c r="S158" s="23">
        <f t="shared" si="14"/>
        <v>0.6</v>
      </c>
      <c r="T158" s="31">
        <v>8.8000000000000007</v>
      </c>
      <c r="U158" s="31">
        <f t="shared" si="15"/>
        <v>88</v>
      </c>
      <c r="W158" s="33">
        <v>11.5</v>
      </c>
      <c r="X158" s="37">
        <v>13.8</v>
      </c>
    </row>
    <row r="159" spans="1:26" x14ac:dyDescent="0.25">
      <c r="A159" s="67" t="s">
        <v>190</v>
      </c>
      <c r="B159" s="67" t="s">
        <v>190</v>
      </c>
      <c r="C159" s="14">
        <v>15</v>
      </c>
      <c r="D159" s="14">
        <v>50</v>
      </c>
      <c r="E159" s="14">
        <v>50</v>
      </c>
      <c r="F159" s="14">
        <v>1800</v>
      </c>
      <c r="G159" s="19"/>
      <c r="H159" s="19"/>
      <c r="I159" s="19"/>
      <c r="J159" s="19"/>
      <c r="K159" s="19"/>
      <c r="L159" s="19">
        <v>9000</v>
      </c>
      <c r="M159" s="19"/>
      <c r="N159" s="19">
        <v>9000</v>
      </c>
      <c r="O159" s="19"/>
      <c r="P159" s="18">
        <f>SUM(G159:O159)</f>
        <v>18000</v>
      </c>
      <c r="Q159" s="19">
        <f>$P159/$F159</f>
        <v>10</v>
      </c>
      <c r="R159" s="23">
        <v>0.06</v>
      </c>
      <c r="S159" s="23">
        <f t="shared" si="14"/>
        <v>0.6</v>
      </c>
      <c r="T159" s="31">
        <v>12.9</v>
      </c>
      <c r="U159" s="31">
        <f t="shared" si="15"/>
        <v>129</v>
      </c>
      <c r="W159" s="33">
        <v>3.25</v>
      </c>
      <c r="X159" s="37">
        <v>3.9</v>
      </c>
    </row>
    <row r="160" spans="1:26" x14ac:dyDescent="0.25">
      <c r="A160" s="67" t="s">
        <v>191</v>
      </c>
      <c r="B160" s="67" t="s">
        <v>191</v>
      </c>
      <c r="C160" s="14">
        <v>15</v>
      </c>
      <c r="D160" s="14">
        <v>80</v>
      </c>
      <c r="E160" s="14">
        <v>50</v>
      </c>
      <c r="F160" s="14">
        <v>1100</v>
      </c>
      <c r="G160" s="19"/>
      <c r="H160" s="19"/>
      <c r="I160" s="19"/>
      <c r="J160" s="19">
        <v>4400</v>
      </c>
      <c r="K160" s="19">
        <v>11000</v>
      </c>
      <c r="L160" s="19">
        <v>11000</v>
      </c>
      <c r="M160" s="19"/>
      <c r="N160" s="19">
        <v>11000</v>
      </c>
      <c r="O160" s="19"/>
      <c r="P160" s="18">
        <f>SUM(G160:O160)</f>
        <v>37400</v>
      </c>
      <c r="Q160" s="19">
        <f>$P160/$F160</f>
        <v>34</v>
      </c>
      <c r="R160" s="23">
        <v>0.06</v>
      </c>
      <c r="S160" s="23">
        <f t="shared" si="14"/>
        <v>2.04</v>
      </c>
      <c r="T160" s="31">
        <v>12.8</v>
      </c>
      <c r="U160" s="31">
        <f t="shared" si="15"/>
        <v>435.20000000000005</v>
      </c>
      <c r="W160" s="33">
        <v>3</v>
      </c>
      <c r="X160" s="37">
        <v>3.6</v>
      </c>
    </row>
    <row r="161" spans="1:24" x14ac:dyDescent="0.25">
      <c r="A161" s="67" t="s">
        <v>159</v>
      </c>
      <c r="B161" s="67" t="s">
        <v>159</v>
      </c>
      <c r="C161" s="14">
        <v>15</v>
      </c>
      <c r="D161" s="14">
        <v>100</v>
      </c>
      <c r="E161" s="14">
        <v>50</v>
      </c>
      <c r="F161" s="14">
        <v>1000</v>
      </c>
      <c r="G161" s="19"/>
      <c r="H161" s="19"/>
      <c r="I161" s="19"/>
      <c r="J161" s="19"/>
      <c r="K161" s="19">
        <v>5000</v>
      </c>
      <c r="L161" s="19">
        <v>10000</v>
      </c>
      <c r="M161" s="19"/>
      <c r="N161" s="19">
        <v>10000</v>
      </c>
      <c r="O161" s="19"/>
      <c r="P161" s="18">
        <f>SUM(G161:O161)</f>
        <v>25000</v>
      </c>
      <c r="Q161" s="19">
        <f>$P161/$F161</f>
        <v>25</v>
      </c>
      <c r="R161" s="23">
        <v>0.06</v>
      </c>
      <c r="S161" s="23">
        <f t="shared" si="14"/>
        <v>1.5</v>
      </c>
      <c r="T161" s="31">
        <v>15</v>
      </c>
      <c r="U161" s="31">
        <f t="shared" si="15"/>
        <v>375</v>
      </c>
      <c r="W161" s="33">
        <v>3.2</v>
      </c>
      <c r="X161" s="37">
        <v>3.84</v>
      </c>
    </row>
    <row r="162" spans="1:24" x14ac:dyDescent="0.25">
      <c r="A162" s="67" t="s">
        <v>192</v>
      </c>
      <c r="B162" s="67" t="s">
        <v>193</v>
      </c>
      <c r="C162" s="14">
        <v>15</v>
      </c>
      <c r="D162" s="14">
        <v>125</v>
      </c>
      <c r="E162" s="14">
        <v>50</v>
      </c>
      <c r="F162" s="14">
        <v>800</v>
      </c>
      <c r="G162" s="19"/>
      <c r="H162" s="19"/>
      <c r="I162" s="19"/>
      <c r="J162" s="19">
        <v>6400</v>
      </c>
      <c r="K162" s="19">
        <v>4000</v>
      </c>
      <c r="L162" s="19">
        <v>4000</v>
      </c>
      <c r="M162" s="19"/>
      <c r="N162" s="19">
        <v>4000</v>
      </c>
      <c r="O162" s="19"/>
      <c r="P162" s="18">
        <f>SUM(G162:O162)</f>
        <v>18400</v>
      </c>
      <c r="Q162" s="19">
        <f>$P162/$F162</f>
        <v>23</v>
      </c>
      <c r="R162" s="23">
        <v>0.06</v>
      </c>
      <c r="S162" s="23">
        <f t="shared" si="14"/>
        <v>1.38</v>
      </c>
      <c r="T162" s="31">
        <v>14.5</v>
      </c>
      <c r="U162" s="31">
        <f t="shared" si="15"/>
        <v>333.5</v>
      </c>
      <c r="W162" s="33">
        <v>5</v>
      </c>
      <c r="X162" s="37">
        <v>6</v>
      </c>
    </row>
    <row r="163" spans="1:24" x14ac:dyDescent="0.25">
      <c r="A163" s="67" t="s">
        <v>160</v>
      </c>
      <c r="B163" s="67" t="s">
        <v>160</v>
      </c>
      <c r="C163" s="14">
        <v>15</v>
      </c>
      <c r="D163" s="14">
        <v>150</v>
      </c>
      <c r="E163" s="14">
        <v>50</v>
      </c>
      <c r="F163" s="14">
        <v>600</v>
      </c>
      <c r="G163" s="19"/>
      <c r="H163" s="19"/>
      <c r="I163" s="19"/>
      <c r="J163" s="19"/>
      <c r="K163" s="19">
        <v>6600</v>
      </c>
      <c r="L163" s="19">
        <v>9000</v>
      </c>
      <c r="M163" s="19"/>
      <c r="N163" s="19">
        <v>6000</v>
      </c>
      <c r="O163" s="19"/>
      <c r="P163" s="18">
        <f>SUM(G163:O163)</f>
        <v>21600</v>
      </c>
      <c r="Q163" s="19">
        <f>$P163/$F163</f>
        <v>36</v>
      </c>
      <c r="R163" s="23">
        <v>0.06</v>
      </c>
      <c r="S163" s="23">
        <f t="shared" si="14"/>
        <v>2.16</v>
      </c>
      <c r="T163" s="31">
        <v>14.1</v>
      </c>
      <c r="U163" s="31">
        <f t="shared" si="15"/>
        <v>507.59999999999997</v>
      </c>
      <c r="W163" s="33">
        <v>5.3</v>
      </c>
      <c r="X163" s="37">
        <v>6.36</v>
      </c>
    </row>
    <row r="164" spans="1:24" x14ac:dyDescent="0.25">
      <c r="A164" s="67" t="s">
        <v>161</v>
      </c>
      <c r="B164" s="67">
        <v>90441200</v>
      </c>
      <c r="C164" s="14">
        <v>15</v>
      </c>
      <c r="D164" s="14">
        <v>150</v>
      </c>
      <c r="E164" s="14">
        <v>10</v>
      </c>
      <c r="F164" s="14">
        <v>600</v>
      </c>
      <c r="G164" s="19"/>
      <c r="H164" s="19"/>
      <c r="I164" s="19"/>
      <c r="J164" s="19"/>
      <c r="K164" s="19"/>
      <c r="L164" s="19">
        <v>600</v>
      </c>
      <c r="M164" s="19">
        <v>1200</v>
      </c>
      <c r="N164" s="19">
        <v>600</v>
      </c>
      <c r="O164" s="19"/>
      <c r="P164" s="18">
        <f>SUM(G164:O164)</f>
        <v>2400</v>
      </c>
      <c r="Q164" s="19">
        <f>$P164/$F164</f>
        <v>4</v>
      </c>
      <c r="R164" s="23">
        <v>0.06</v>
      </c>
      <c r="S164" s="23">
        <f t="shared" si="14"/>
        <v>0.24</v>
      </c>
      <c r="T164" s="31">
        <v>14.1</v>
      </c>
      <c r="U164" s="31">
        <f t="shared" si="15"/>
        <v>56.4</v>
      </c>
      <c r="W164" s="33">
        <v>5.3</v>
      </c>
      <c r="X164" s="37">
        <v>6.36</v>
      </c>
    </row>
    <row r="165" spans="1:24" x14ac:dyDescent="0.25">
      <c r="A165" s="67" t="s">
        <v>194</v>
      </c>
      <c r="B165" s="67" t="s">
        <v>194</v>
      </c>
      <c r="C165" s="14">
        <v>15</v>
      </c>
      <c r="D165" s="14">
        <v>200</v>
      </c>
      <c r="E165" s="14">
        <v>10</v>
      </c>
      <c r="F165" s="14">
        <v>400</v>
      </c>
      <c r="G165" s="19"/>
      <c r="H165" s="19"/>
      <c r="I165" s="19"/>
      <c r="J165" s="19"/>
      <c r="K165" s="19"/>
      <c r="L165" s="19">
        <v>2000</v>
      </c>
      <c r="M165" s="19"/>
      <c r="N165" s="19">
        <v>4000</v>
      </c>
      <c r="O165" s="19"/>
      <c r="P165" s="18">
        <f>SUM(G165:O165)</f>
        <v>6000</v>
      </c>
      <c r="Q165" s="19">
        <f>$P165/$F165</f>
        <v>15</v>
      </c>
      <c r="R165" s="23">
        <v>0.06</v>
      </c>
      <c r="S165" s="23">
        <f t="shared" si="14"/>
        <v>0.89999999999999991</v>
      </c>
      <c r="T165" s="31">
        <v>12.8</v>
      </c>
      <c r="U165" s="31">
        <f t="shared" si="15"/>
        <v>192</v>
      </c>
      <c r="W165" s="33">
        <v>6</v>
      </c>
      <c r="X165" s="37">
        <v>7.2</v>
      </c>
    </row>
    <row r="166" spans="1:24" x14ac:dyDescent="0.25">
      <c r="A166" s="67" t="s">
        <v>195</v>
      </c>
      <c r="B166" s="67" t="s">
        <v>195</v>
      </c>
      <c r="C166" s="14">
        <v>15</v>
      </c>
      <c r="D166" s="14">
        <v>225</v>
      </c>
      <c r="E166" s="14">
        <v>10</v>
      </c>
      <c r="F166" s="14">
        <v>400</v>
      </c>
      <c r="G166" s="19"/>
      <c r="H166" s="19"/>
      <c r="I166" s="19"/>
      <c r="J166" s="19"/>
      <c r="K166" s="19"/>
      <c r="L166" s="19"/>
      <c r="M166" s="19"/>
      <c r="N166" s="19"/>
      <c r="O166" s="19"/>
      <c r="P166" s="18">
        <f>SUM(G166:O166)</f>
        <v>0</v>
      </c>
      <c r="Q166" s="19">
        <f>$P166/$F166</f>
        <v>0</v>
      </c>
      <c r="R166" s="23">
        <v>0.06</v>
      </c>
      <c r="S166" s="23">
        <f t="shared" si="14"/>
        <v>0</v>
      </c>
      <c r="T166" s="31">
        <v>13.6</v>
      </c>
      <c r="U166" s="31">
        <f t="shared" si="15"/>
        <v>0</v>
      </c>
      <c r="W166" s="33">
        <v>6</v>
      </c>
      <c r="X166" s="37">
        <v>7.2</v>
      </c>
    </row>
    <row r="167" spans="1:24" x14ac:dyDescent="0.25">
      <c r="A167" s="67" t="s">
        <v>196</v>
      </c>
      <c r="B167" s="67" t="s">
        <v>196</v>
      </c>
      <c r="C167" s="14">
        <v>15</v>
      </c>
      <c r="D167" s="14">
        <v>300</v>
      </c>
      <c r="E167" s="14">
        <v>10</v>
      </c>
      <c r="F167" s="14">
        <v>300</v>
      </c>
      <c r="G167" s="19"/>
      <c r="H167" s="19"/>
      <c r="I167" s="19"/>
      <c r="J167" s="19"/>
      <c r="K167" s="19"/>
      <c r="L167" s="19">
        <v>9000</v>
      </c>
      <c r="M167" s="19"/>
      <c r="N167" s="19">
        <v>9000</v>
      </c>
      <c r="O167" s="19"/>
      <c r="P167" s="18">
        <f>SUM(G167:O167)</f>
        <v>18000</v>
      </c>
      <c r="Q167" s="19">
        <f>$P167/$F167</f>
        <v>60</v>
      </c>
      <c r="R167" s="23">
        <v>0.06</v>
      </c>
      <c r="S167" s="23">
        <f t="shared" si="14"/>
        <v>3.5999999999999996</v>
      </c>
      <c r="T167" s="31">
        <v>15.6</v>
      </c>
      <c r="U167" s="31">
        <f t="shared" si="15"/>
        <v>936</v>
      </c>
      <c r="W167" s="33">
        <v>11</v>
      </c>
      <c r="X167" s="37">
        <v>13.2</v>
      </c>
    </row>
    <row r="168" spans="1:24" x14ac:dyDescent="0.25">
      <c r="A168" s="67" t="s">
        <v>197</v>
      </c>
      <c r="B168" s="67">
        <v>90441300</v>
      </c>
      <c r="C168" s="14">
        <v>15</v>
      </c>
      <c r="D168" s="14">
        <v>300</v>
      </c>
      <c r="E168" s="14">
        <v>10</v>
      </c>
      <c r="F168" s="14">
        <v>300</v>
      </c>
      <c r="G168" s="19"/>
      <c r="H168" s="19"/>
      <c r="I168" s="19"/>
      <c r="J168" s="19"/>
      <c r="K168" s="19"/>
      <c r="L168" s="19">
        <v>1200</v>
      </c>
      <c r="M168" s="19">
        <v>1200</v>
      </c>
      <c r="N168" s="19">
        <v>1200</v>
      </c>
      <c r="O168" s="19"/>
      <c r="P168" s="18">
        <f>SUM(G168:O168)</f>
        <v>3600</v>
      </c>
      <c r="Q168" s="19">
        <f>$P168/$F168</f>
        <v>12</v>
      </c>
      <c r="R168" s="23">
        <v>0.06</v>
      </c>
      <c r="S168" s="23">
        <f t="shared" si="14"/>
        <v>0.72</v>
      </c>
      <c r="T168" s="31">
        <v>15.6</v>
      </c>
      <c r="U168" s="31">
        <f t="shared" si="15"/>
        <v>187.2</v>
      </c>
      <c r="W168" s="33">
        <v>12</v>
      </c>
      <c r="X168" s="37">
        <v>14.4</v>
      </c>
    </row>
    <row r="169" spans="1:24" x14ac:dyDescent="0.25">
      <c r="A169" s="67" t="s">
        <v>206</v>
      </c>
      <c r="B169" s="67" t="s">
        <v>206</v>
      </c>
      <c r="C169" s="14">
        <v>20</v>
      </c>
      <c r="D169" s="14">
        <v>50</v>
      </c>
      <c r="E169" s="14">
        <v>10</v>
      </c>
      <c r="F169" s="14">
        <v>1300</v>
      </c>
      <c r="G169" s="19"/>
      <c r="H169" s="19"/>
      <c r="I169" s="19"/>
      <c r="J169" s="19"/>
      <c r="K169" s="19">
        <v>1300</v>
      </c>
      <c r="L169" s="19">
        <v>1300</v>
      </c>
      <c r="M169" s="19"/>
      <c r="N169" s="19">
        <v>2600</v>
      </c>
      <c r="O169" s="19"/>
      <c r="P169" s="18">
        <f>SUM(G169:O169)</f>
        <v>5200</v>
      </c>
      <c r="Q169" s="19">
        <f>$P169/$F169</f>
        <v>4</v>
      </c>
      <c r="R169" s="23">
        <v>0.06</v>
      </c>
      <c r="S169" s="23">
        <f t="shared" si="14"/>
        <v>0.24</v>
      </c>
      <c r="T169" s="31">
        <v>12.3</v>
      </c>
      <c r="U169" s="31">
        <f t="shared" si="15"/>
        <v>49.2</v>
      </c>
      <c r="W169" s="33">
        <v>4</v>
      </c>
      <c r="X169" s="37">
        <v>4.8</v>
      </c>
    </row>
    <row r="170" spans="1:24" x14ac:dyDescent="0.25">
      <c r="A170" s="67" t="s">
        <v>207</v>
      </c>
      <c r="B170" s="67" t="s">
        <v>207</v>
      </c>
      <c r="C170" s="14">
        <v>20</v>
      </c>
      <c r="D170" s="14">
        <v>80</v>
      </c>
      <c r="E170" s="14">
        <v>10</v>
      </c>
      <c r="F170" s="14">
        <v>800</v>
      </c>
      <c r="G170" s="19"/>
      <c r="H170" s="19"/>
      <c r="I170" s="19"/>
      <c r="J170" s="19"/>
      <c r="K170" s="19">
        <v>1600</v>
      </c>
      <c r="L170" s="19">
        <v>1600</v>
      </c>
      <c r="M170" s="19"/>
      <c r="N170" s="19">
        <v>2400</v>
      </c>
      <c r="O170" s="19"/>
      <c r="P170" s="18">
        <f>SUM(G170:O170)</f>
        <v>5600</v>
      </c>
      <c r="Q170" s="19">
        <f>$P170/$F170</f>
        <v>7</v>
      </c>
      <c r="R170" s="23">
        <v>0.06</v>
      </c>
      <c r="S170" s="23">
        <f t="shared" si="14"/>
        <v>0.42</v>
      </c>
      <c r="T170" s="31">
        <v>12.8</v>
      </c>
      <c r="U170" s="31">
        <f t="shared" si="15"/>
        <v>89.600000000000009</v>
      </c>
      <c r="W170" s="33">
        <v>5</v>
      </c>
      <c r="X170" s="37">
        <v>6</v>
      </c>
    </row>
    <row r="171" spans="1:24" x14ac:dyDescent="0.25">
      <c r="A171" s="67" t="s">
        <v>208</v>
      </c>
      <c r="B171" s="67" t="s">
        <v>208</v>
      </c>
      <c r="C171" s="14">
        <v>20</v>
      </c>
      <c r="D171" s="14">
        <v>150</v>
      </c>
      <c r="E171" s="14">
        <v>10</v>
      </c>
      <c r="F171" s="14">
        <v>450</v>
      </c>
      <c r="G171" s="19"/>
      <c r="H171" s="19"/>
      <c r="I171" s="19"/>
      <c r="J171" s="19"/>
      <c r="K171" s="19">
        <v>2250</v>
      </c>
      <c r="L171" s="19">
        <v>1800</v>
      </c>
      <c r="M171" s="19"/>
      <c r="N171" s="19">
        <v>2250</v>
      </c>
      <c r="O171" s="19"/>
      <c r="P171" s="18">
        <f>SUM(G171:O171)</f>
        <v>6300</v>
      </c>
      <c r="Q171" s="19">
        <f>$P171/$F171</f>
        <v>14</v>
      </c>
      <c r="R171" s="23">
        <v>0.06</v>
      </c>
      <c r="S171" s="23">
        <f t="shared" ref="S171:S187" si="16">$Q171*$R171</f>
        <v>0.84</v>
      </c>
      <c r="T171" s="31">
        <v>16.3</v>
      </c>
      <c r="U171" s="31">
        <f t="shared" ref="U171:U187" si="17">T171*Q171</f>
        <v>228.20000000000002</v>
      </c>
      <c r="W171" s="33">
        <v>9</v>
      </c>
      <c r="X171" s="37">
        <v>10.8</v>
      </c>
    </row>
    <row r="172" spans="1:24" x14ac:dyDescent="0.25">
      <c r="A172" s="67" t="s">
        <v>209</v>
      </c>
      <c r="B172" s="67">
        <v>90442200</v>
      </c>
      <c r="C172" s="14">
        <v>20</v>
      </c>
      <c r="D172" s="14">
        <v>150</v>
      </c>
      <c r="E172" s="14">
        <v>10</v>
      </c>
      <c r="F172" s="14">
        <v>450</v>
      </c>
      <c r="G172" s="19"/>
      <c r="H172" s="19"/>
      <c r="I172" s="19"/>
      <c r="J172" s="19"/>
      <c r="K172" s="19"/>
      <c r="L172" s="19"/>
      <c r="M172" s="19"/>
      <c r="N172" s="19"/>
      <c r="O172" s="19"/>
      <c r="P172" s="18">
        <f>SUM(G172:O172)</f>
        <v>0</v>
      </c>
      <c r="Q172" s="19">
        <f>$P172/$F172</f>
        <v>0</v>
      </c>
      <c r="R172" s="23">
        <v>0.06</v>
      </c>
      <c r="S172" s="23">
        <f t="shared" si="16"/>
        <v>0</v>
      </c>
      <c r="T172" s="31">
        <v>16.3</v>
      </c>
      <c r="U172" s="31">
        <f t="shared" si="17"/>
        <v>0</v>
      </c>
      <c r="W172" s="33">
        <v>9</v>
      </c>
      <c r="X172" s="37">
        <v>10.8</v>
      </c>
    </row>
    <row r="173" spans="1:24" x14ac:dyDescent="0.25">
      <c r="A173" s="67" t="s">
        <v>210</v>
      </c>
      <c r="B173" s="67" t="s">
        <v>210</v>
      </c>
      <c r="C173" s="14">
        <v>20</v>
      </c>
      <c r="D173" s="14">
        <v>200</v>
      </c>
      <c r="E173" s="14">
        <v>10</v>
      </c>
      <c r="F173" s="14">
        <v>320</v>
      </c>
      <c r="G173" s="19"/>
      <c r="H173" s="19"/>
      <c r="I173" s="19"/>
      <c r="J173" s="19"/>
      <c r="K173" s="19"/>
      <c r="L173" s="19">
        <v>320</v>
      </c>
      <c r="M173" s="19"/>
      <c r="N173" s="19">
        <v>640</v>
      </c>
      <c r="O173" s="19"/>
      <c r="P173" s="18">
        <f>SUM(G173:O173)</f>
        <v>960</v>
      </c>
      <c r="Q173" s="19">
        <f>$P173/$F173</f>
        <v>3</v>
      </c>
      <c r="R173" s="23">
        <v>0.06</v>
      </c>
      <c r="S173" s="23">
        <f t="shared" si="16"/>
        <v>0.18</v>
      </c>
      <c r="T173" s="31">
        <v>15.8</v>
      </c>
      <c r="U173" s="31">
        <f t="shared" si="17"/>
        <v>47.400000000000006</v>
      </c>
      <c r="W173" s="33">
        <v>10</v>
      </c>
      <c r="X173" s="37">
        <v>12</v>
      </c>
    </row>
    <row r="174" spans="1:24" x14ac:dyDescent="0.25">
      <c r="A174" s="67" t="s">
        <v>211</v>
      </c>
      <c r="B174" s="67" t="s">
        <v>211</v>
      </c>
      <c r="C174" s="14">
        <v>20</v>
      </c>
      <c r="D174" s="14">
        <v>300</v>
      </c>
      <c r="E174" s="14">
        <v>10</v>
      </c>
      <c r="F174" s="14">
        <v>230</v>
      </c>
      <c r="G174" s="19"/>
      <c r="H174" s="19"/>
      <c r="I174" s="19"/>
      <c r="J174" s="19">
        <v>1380</v>
      </c>
      <c r="K174" s="19">
        <v>2300</v>
      </c>
      <c r="L174" s="19">
        <v>2300</v>
      </c>
      <c r="M174" s="19"/>
      <c r="N174" s="19">
        <v>1380</v>
      </c>
      <c r="O174" s="19"/>
      <c r="P174" s="18">
        <f>SUM(G174:O174)</f>
        <v>7360</v>
      </c>
      <c r="Q174" s="19">
        <f>$P174/$F174</f>
        <v>32</v>
      </c>
      <c r="R174" s="23">
        <v>0.06</v>
      </c>
      <c r="S174" s="23">
        <f t="shared" si="16"/>
        <v>1.92</v>
      </c>
      <c r="T174" s="31">
        <v>16.100000000000001</v>
      </c>
      <c r="U174" s="31">
        <f t="shared" si="17"/>
        <v>515.20000000000005</v>
      </c>
      <c r="W174" s="33">
        <v>13</v>
      </c>
      <c r="X174" s="37">
        <v>15.6</v>
      </c>
    </row>
    <row r="175" spans="1:24" x14ac:dyDescent="0.25">
      <c r="A175" s="67" t="s">
        <v>212</v>
      </c>
      <c r="B175" s="67">
        <v>90442300</v>
      </c>
      <c r="C175" s="14">
        <v>20</v>
      </c>
      <c r="D175" s="14">
        <v>300</v>
      </c>
      <c r="E175" s="14">
        <v>10</v>
      </c>
      <c r="F175" s="14">
        <v>230</v>
      </c>
      <c r="G175" s="19"/>
      <c r="H175" s="19"/>
      <c r="I175" s="19"/>
      <c r="J175" s="19"/>
      <c r="K175" s="19"/>
      <c r="L175" s="19">
        <v>690</v>
      </c>
      <c r="M175" s="19">
        <v>690</v>
      </c>
      <c r="N175" s="19">
        <v>1380</v>
      </c>
      <c r="O175" s="19"/>
      <c r="P175" s="18">
        <f>SUM(G175:O175)</f>
        <v>2760</v>
      </c>
      <c r="Q175" s="19">
        <f>$P175/$F175</f>
        <v>12</v>
      </c>
      <c r="R175" s="23">
        <v>0.06</v>
      </c>
      <c r="S175" s="23">
        <f t="shared" si="16"/>
        <v>0.72</v>
      </c>
      <c r="T175" s="31">
        <v>16.100000000000001</v>
      </c>
      <c r="U175" s="31">
        <f t="shared" si="17"/>
        <v>193.20000000000002</v>
      </c>
      <c r="W175" s="33">
        <v>15</v>
      </c>
      <c r="X175" s="37">
        <v>18</v>
      </c>
    </row>
    <row r="176" spans="1:24" x14ac:dyDescent="0.25">
      <c r="A176" s="67" t="s">
        <v>217</v>
      </c>
      <c r="B176" s="67" t="s">
        <v>217</v>
      </c>
      <c r="C176" s="14">
        <v>25</v>
      </c>
      <c r="D176" s="14">
        <v>100</v>
      </c>
      <c r="E176" s="14">
        <v>10</v>
      </c>
      <c r="F176" s="14">
        <v>400</v>
      </c>
      <c r="G176" s="24"/>
      <c r="H176" s="24"/>
      <c r="I176" s="24"/>
      <c r="J176" s="24"/>
      <c r="K176" s="24">
        <v>400</v>
      </c>
      <c r="L176" s="24">
        <v>400</v>
      </c>
      <c r="M176" s="24"/>
      <c r="N176" s="24">
        <v>400</v>
      </c>
      <c r="O176" s="24"/>
      <c r="P176" s="18">
        <f>SUM(G176:O176)</f>
        <v>1200</v>
      </c>
      <c r="Q176" s="19">
        <f>$P176/$F176</f>
        <v>3</v>
      </c>
      <c r="R176" s="23">
        <v>0.06</v>
      </c>
      <c r="S176" s="23">
        <f t="shared" si="16"/>
        <v>0.18</v>
      </c>
      <c r="T176" s="31">
        <v>13</v>
      </c>
      <c r="U176" s="31">
        <f t="shared" si="17"/>
        <v>39</v>
      </c>
      <c r="W176" s="33">
        <v>10</v>
      </c>
      <c r="X176" s="37">
        <v>12</v>
      </c>
    </row>
    <row r="177" spans="1:24" x14ac:dyDescent="0.25">
      <c r="A177" s="67" t="s">
        <v>218</v>
      </c>
      <c r="B177" s="67">
        <v>90443100</v>
      </c>
      <c r="C177" s="14">
        <v>25</v>
      </c>
      <c r="D177" s="14">
        <v>100</v>
      </c>
      <c r="E177" s="14">
        <v>10</v>
      </c>
      <c r="F177" s="14">
        <v>400</v>
      </c>
      <c r="G177" s="24"/>
      <c r="H177" s="24"/>
      <c r="I177" s="24"/>
      <c r="J177" s="24"/>
      <c r="K177" s="24"/>
      <c r="L177" s="24">
        <v>400</v>
      </c>
      <c r="M177" s="24"/>
      <c r="N177" s="24">
        <v>400</v>
      </c>
      <c r="O177" s="24"/>
      <c r="P177" s="18">
        <f>SUM(G177:O177)</f>
        <v>800</v>
      </c>
      <c r="Q177" s="19">
        <f>$P177/$F177</f>
        <v>2</v>
      </c>
      <c r="R177" s="23">
        <v>0.06</v>
      </c>
      <c r="S177" s="23">
        <f t="shared" si="16"/>
        <v>0.12</v>
      </c>
      <c r="T177" s="31">
        <v>13</v>
      </c>
      <c r="U177" s="31">
        <f t="shared" si="17"/>
        <v>26</v>
      </c>
      <c r="W177" s="33">
        <v>11</v>
      </c>
      <c r="X177" s="37">
        <v>13.2</v>
      </c>
    </row>
    <row r="178" spans="1:24" x14ac:dyDescent="0.25">
      <c r="A178" s="67" t="s">
        <v>219</v>
      </c>
      <c r="B178" s="67" t="s">
        <v>219</v>
      </c>
      <c r="C178" s="14">
        <v>25</v>
      </c>
      <c r="D178" s="14">
        <v>150</v>
      </c>
      <c r="E178" s="14">
        <v>10</v>
      </c>
      <c r="F178" s="14">
        <v>300</v>
      </c>
      <c r="G178" s="24"/>
      <c r="H178" s="24"/>
      <c r="I178" s="24"/>
      <c r="J178" s="24"/>
      <c r="K178" s="24">
        <v>300</v>
      </c>
      <c r="L178" s="24">
        <v>300</v>
      </c>
      <c r="M178" s="24"/>
      <c r="N178" s="24">
        <v>300</v>
      </c>
      <c r="O178" s="24"/>
      <c r="P178" s="18">
        <f>SUM(G178:O178)</f>
        <v>900</v>
      </c>
      <c r="Q178" s="19">
        <f>$P178/$F178</f>
        <v>3</v>
      </c>
      <c r="R178" s="23">
        <v>0.06</v>
      </c>
      <c r="S178" s="23">
        <f t="shared" si="16"/>
        <v>0.18</v>
      </c>
      <c r="T178" s="31">
        <v>13</v>
      </c>
      <c r="U178" s="31">
        <f t="shared" si="17"/>
        <v>39</v>
      </c>
      <c r="W178" s="33">
        <v>11</v>
      </c>
      <c r="X178" s="37">
        <v>13.2</v>
      </c>
    </row>
    <row r="179" spans="1:24" x14ac:dyDescent="0.25">
      <c r="A179" s="67" t="s">
        <v>220</v>
      </c>
      <c r="B179" s="67">
        <v>90443200</v>
      </c>
      <c r="C179" s="14">
        <v>25</v>
      </c>
      <c r="D179" s="14">
        <v>150</v>
      </c>
      <c r="E179" s="14">
        <v>10</v>
      </c>
      <c r="F179" s="14">
        <v>300</v>
      </c>
      <c r="G179" s="24"/>
      <c r="H179" s="24"/>
      <c r="I179" s="24"/>
      <c r="J179" s="24"/>
      <c r="K179" s="24">
        <v>900</v>
      </c>
      <c r="L179" s="24">
        <v>1500</v>
      </c>
      <c r="M179" s="24">
        <v>1800</v>
      </c>
      <c r="N179" s="24">
        <v>1200</v>
      </c>
      <c r="O179" s="24"/>
      <c r="P179" s="18">
        <f>SUM(G179:O179)</f>
        <v>5400</v>
      </c>
      <c r="Q179" s="19">
        <f>$P179/$F179</f>
        <v>18</v>
      </c>
      <c r="R179" s="23">
        <v>0.06</v>
      </c>
      <c r="S179" s="23">
        <f t="shared" si="16"/>
        <v>1.08</v>
      </c>
      <c r="T179" s="31">
        <v>13</v>
      </c>
      <c r="U179" s="31">
        <f t="shared" si="17"/>
        <v>234</v>
      </c>
      <c r="W179" s="33">
        <v>12</v>
      </c>
      <c r="X179" s="37">
        <v>14.4</v>
      </c>
    </row>
    <row r="180" spans="1:24" x14ac:dyDescent="0.25">
      <c r="A180" s="67" t="s">
        <v>221</v>
      </c>
      <c r="B180" s="67" t="s">
        <v>221</v>
      </c>
      <c r="C180" s="14">
        <v>25</v>
      </c>
      <c r="D180" s="14">
        <v>300</v>
      </c>
      <c r="E180" s="14">
        <v>10</v>
      </c>
      <c r="F180" s="14">
        <v>150</v>
      </c>
      <c r="G180" s="24"/>
      <c r="H180" s="24"/>
      <c r="I180" s="24"/>
      <c r="J180" s="24"/>
      <c r="K180" s="24">
        <v>1650</v>
      </c>
      <c r="L180" s="24">
        <v>1650</v>
      </c>
      <c r="M180" s="24"/>
      <c r="N180" s="24">
        <v>1500</v>
      </c>
      <c r="O180" s="24"/>
      <c r="P180" s="18">
        <f>SUM(G180:O180)</f>
        <v>4800</v>
      </c>
      <c r="Q180" s="19">
        <f>$P180/$F180</f>
        <v>32</v>
      </c>
      <c r="R180" s="23">
        <v>0.06</v>
      </c>
      <c r="S180" s="23">
        <f t="shared" si="16"/>
        <v>1.92</v>
      </c>
      <c r="T180" s="31">
        <v>18.82</v>
      </c>
      <c r="U180" s="31">
        <f t="shared" si="17"/>
        <v>602.24</v>
      </c>
      <c r="W180" s="33">
        <v>21</v>
      </c>
      <c r="X180" s="37">
        <v>25.2</v>
      </c>
    </row>
    <row r="181" spans="1:24" x14ac:dyDescent="0.25">
      <c r="A181" s="67" t="s">
        <v>222</v>
      </c>
      <c r="B181" s="67">
        <v>90443300</v>
      </c>
      <c r="C181" s="14">
        <v>25</v>
      </c>
      <c r="D181" s="14">
        <v>300</v>
      </c>
      <c r="E181" s="14">
        <v>10</v>
      </c>
      <c r="F181" s="14">
        <v>150</v>
      </c>
      <c r="G181" s="24"/>
      <c r="H181" s="24"/>
      <c r="I181" s="24"/>
      <c r="J181" s="24"/>
      <c r="K181" s="24">
        <v>900</v>
      </c>
      <c r="L181" s="24">
        <v>1650</v>
      </c>
      <c r="M181" s="24">
        <v>1500</v>
      </c>
      <c r="N181" s="24">
        <v>1500</v>
      </c>
      <c r="O181" s="24"/>
      <c r="P181" s="18">
        <f>SUM(G181:O181)</f>
        <v>5550</v>
      </c>
      <c r="Q181" s="19">
        <f>$P181/$F181</f>
        <v>37</v>
      </c>
      <c r="R181" s="23">
        <v>0.06</v>
      </c>
      <c r="S181" s="23">
        <f t="shared" si="16"/>
        <v>2.2199999999999998</v>
      </c>
      <c r="T181" s="31">
        <v>18.82</v>
      </c>
      <c r="U181" s="31">
        <f t="shared" si="17"/>
        <v>696.34</v>
      </c>
      <c r="W181" s="33">
        <v>23</v>
      </c>
      <c r="X181" s="37">
        <v>27.6</v>
      </c>
    </row>
    <row r="182" spans="1:24" x14ac:dyDescent="0.25">
      <c r="A182" s="67" t="s">
        <v>198</v>
      </c>
      <c r="B182" s="67" t="s">
        <v>198</v>
      </c>
      <c r="C182" s="14">
        <v>15</v>
      </c>
      <c r="D182" s="14">
        <v>150</v>
      </c>
      <c r="E182" s="14">
        <v>10</v>
      </c>
      <c r="F182" s="14">
        <v>130</v>
      </c>
      <c r="G182" s="18"/>
      <c r="H182" s="18"/>
      <c r="I182" s="18"/>
      <c r="J182" s="18"/>
      <c r="K182" s="18">
        <v>1040</v>
      </c>
      <c r="L182" s="18">
        <v>1300</v>
      </c>
      <c r="M182" s="18"/>
      <c r="N182" s="18">
        <v>1300</v>
      </c>
      <c r="O182" s="18"/>
      <c r="P182" s="18">
        <f>SUM(G182:O182)</f>
        <v>3640</v>
      </c>
      <c r="Q182" s="19">
        <f>$P182/$F182</f>
        <v>28</v>
      </c>
      <c r="R182" s="23">
        <v>0.06</v>
      </c>
      <c r="S182" s="23">
        <f t="shared" si="16"/>
        <v>1.68</v>
      </c>
      <c r="T182" s="31">
        <v>8.5</v>
      </c>
      <c r="U182" s="31">
        <f t="shared" si="17"/>
        <v>238</v>
      </c>
      <c r="W182" s="33">
        <v>14.000000000000002</v>
      </c>
      <c r="X182" s="37">
        <v>16.8</v>
      </c>
    </row>
    <row r="183" spans="1:24" x14ac:dyDescent="0.25">
      <c r="A183" s="67" t="s">
        <v>199</v>
      </c>
      <c r="B183" s="67" t="s">
        <v>199</v>
      </c>
      <c r="C183" s="14">
        <v>15</v>
      </c>
      <c r="D183" s="14">
        <v>200</v>
      </c>
      <c r="E183" s="14">
        <v>10</v>
      </c>
      <c r="F183" s="14">
        <v>110</v>
      </c>
      <c r="G183" s="19"/>
      <c r="H183" s="19"/>
      <c r="I183" s="19"/>
      <c r="J183" s="19"/>
      <c r="K183" s="19"/>
      <c r="L183" s="19">
        <v>1100</v>
      </c>
      <c r="M183" s="19"/>
      <c r="N183" s="19">
        <v>1100</v>
      </c>
      <c r="O183" s="19"/>
      <c r="P183" s="18">
        <f>SUM(G183:O183)</f>
        <v>2200</v>
      </c>
      <c r="Q183" s="19">
        <f>$P183/$F183</f>
        <v>20</v>
      </c>
      <c r="R183" s="23">
        <v>0.06</v>
      </c>
      <c r="S183" s="23">
        <f t="shared" si="16"/>
        <v>1.2</v>
      </c>
      <c r="T183" s="31">
        <v>8.5</v>
      </c>
      <c r="U183" s="31">
        <f t="shared" si="17"/>
        <v>170</v>
      </c>
      <c r="W183" s="33">
        <v>15</v>
      </c>
      <c r="X183" s="37">
        <v>18</v>
      </c>
    </row>
    <row r="184" spans="1:24" x14ac:dyDescent="0.25">
      <c r="A184" s="67" t="s">
        <v>200</v>
      </c>
      <c r="B184" s="67" t="s">
        <v>200</v>
      </c>
      <c r="C184" s="14">
        <v>15</v>
      </c>
      <c r="D184" s="14">
        <v>300</v>
      </c>
      <c r="E184" s="14">
        <v>10</v>
      </c>
      <c r="F184" s="14">
        <v>80</v>
      </c>
      <c r="G184" s="19">
        <v>240</v>
      </c>
      <c r="H184" s="19">
        <v>2400</v>
      </c>
      <c r="I184" s="19"/>
      <c r="J184" s="19"/>
      <c r="K184" s="19"/>
      <c r="L184" s="19">
        <v>1600</v>
      </c>
      <c r="M184" s="19"/>
      <c r="N184" s="19">
        <v>2400</v>
      </c>
      <c r="O184" s="19"/>
      <c r="P184" s="18">
        <f>SUM(G184:O184)</f>
        <v>6640</v>
      </c>
      <c r="Q184" s="19">
        <f>$P184/$F184</f>
        <v>83</v>
      </c>
      <c r="R184" s="23">
        <v>0.06</v>
      </c>
      <c r="S184" s="23">
        <f t="shared" si="16"/>
        <v>4.9799999999999995</v>
      </c>
      <c r="T184" s="31">
        <v>7.5</v>
      </c>
      <c r="U184" s="31">
        <f t="shared" si="17"/>
        <v>622.5</v>
      </c>
      <c r="W184" s="33">
        <v>22</v>
      </c>
      <c r="X184" s="37">
        <v>26.4</v>
      </c>
    </row>
    <row r="185" spans="1:24" x14ac:dyDescent="0.25">
      <c r="A185" s="67" t="s">
        <v>213</v>
      </c>
      <c r="B185" s="67" t="s">
        <v>213</v>
      </c>
      <c r="C185" s="14">
        <v>20</v>
      </c>
      <c r="D185" s="14">
        <v>200</v>
      </c>
      <c r="E185" s="14">
        <v>5</v>
      </c>
      <c r="F185" s="14">
        <v>75</v>
      </c>
      <c r="G185" s="19"/>
      <c r="H185" s="19"/>
      <c r="I185" s="19"/>
      <c r="J185" s="19"/>
      <c r="K185" s="19"/>
      <c r="L185" s="19">
        <v>600</v>
      </c>
      <c r="M185" s="19"/>
      <c r="N185" s="19">
        <v>600</v>
      </c>
      <c r="O185" s="19"/>
      <c r="P185" s="18">
        <f>SUM(G185:O185)</f>
        <v>1200</v>
      </c>
      <c r="Q185" s="19">
        <f>$P185/$F185</f>
        <v>16</v>
      </c>
      <c r="R185" s="23">
        <v>0.06</v>
      </c>
      <c r="S185" s="23">
        <f t="shared" si="16"/>
        <v>0.96</v>
      </c>
      <c r="T185" s="31">
        <v>8.1999999999999993</v>
      </c>
      <c r="U185" s="31">
        <f t="shared" si="17"/>
        <v>131.19999999999999</v>
      </c>
      <c r="W185" s="33">
        <v>27</v>
      </c>
      <c r="X185" s="37">
        <v>32.4</v>
      </c>
    </row>
    <row r="186" spans="1:24" x14ac:dyDescent="0.25">
      <c r="A186" s="67" t="s">
        <v>214</v>
      </c>
      <c r="B186" s="67" t="s">
        <v>214</v>
      </c>
      <c r="C186" s="14">
        <v>20</v>
      </c>
      <c r="D186" s="14">
        <v>300</v>
      </c>
      <c r="E186" s="14">
        <v>5</v>
      </c>
      <c r="F186" s="14">
        <v>50</v>
      </c>
      <c r="G186" s="19"/>
      <c r="H186" s="19">
        <v>1000</v>
      </c>
      <c r="I186" s="19"/>
      <c r="J186" s="19"/>
      <c r="K186" s="19"/>
      <c r="L186" s="19">
        <v>2000</v>
      </c>
      <c r="M186" s="19"/>
      <c r="N186" s="19">
        <v>2000</v>
      </c>
      <c r="O186" s="19"/>
      <c r="P186" s="18">
        <f>SUM(G186:O186)</f>
        <v>5000</v>
      </c>
      <c r="Q186" s="19">
        <f>$P186/$F186</f>
        <v>100</v>
      </c>
      <c r="R186" s="23">
        <v>0.06</v>
      </c>
      <c r="S186" s="23">
        <f t="shared" si="16"/>
        <v>6</v>
      </c>
      <c r="T186" s="31">
        <v>6.2</v>
      </c>
      <c r="U186" s="31">
        <f t="shared" si="17"/>
        <v>620</v>
      </c>
      <c r="W186" s="33">
        <v>32</v>
      </c>
      <c r="X186" s="37">
        <v>38.4</v>
      </c>
    </row>
    <row r="187" spans="1:24" x14ac:dyDescent="0.25">
      <c r="A187" s="69" t="s">
        <v>223</v>
      </c>
      <c r="B187" s="69" t="s">
        <v>223</v>
      </c>
      <c r="C187" s="16">
        <v>25</v>
      </c>
      <c r="D187" s="16">
        <v>300</v>
      </c>
      <c r="E187" s="16">
        <v>5</v>
      </c>
      <c r="F187" s="16">
        <v>30</v>
      </c>
      <c r="G187" s="20"/>
      <c r="H187" s="20"/>
      <c r="I187" s="20"/>
      <c r="J187" s="20">
        <v>150</v>
      </c>
      <c r="K187" s="20">
        <v>720</v>
      </c>
      <c r="L187" s="20">
        <v>720</v>
      </c>
      <c r="M187" s="20"/>
      <c r="N187" s="20"/>
      <c r="O187" s="20"/>
      <c r="P187" s="18">
        <f>SUM(G187:O187)</f>
        <v>1590</v>
      </c>
      <c r="Q187" s="20">
        <f>$P187/$F187</f>
        <v>53</v>
      </c>
      <c r="R187" s="27">
        <v>0.06</v>
      </c>
      <c r="S187" s="27">
        <f t="shared" si="16"/>
        <v>3.1799999999999997</v>
      </c>
      <c r="T187" s="32">
        <v>13.7</v>
      </c>
      <c r="U187" s="32">
        <f t="shared" si="17"/>
        <v>726.09999999999991</v>
      </c>
      <c r="W187" s="33">
        <v>53</v>
      </c>
      <c r="X187" s="37">
        <v>63.6</v>
      </c>
    </row>
    <row r="188" spans="1:24" x14ac:dyDescent="0.25">
      <c r="A188" s="1" t="s">
        <v>165</v>
      </c>
      <c r="B188" s="1"/>
      <c r="C188" s="40"/>
      <c r="D188" s="30"/>
      <c r="E188" s="30"/>
      <c r="F188" s="30"/>
      <c r="G188" s="21"/>
      <c r="H188" s="21"/>
      <c r="I188" s="21"/>
      <c r="J188" s="21"/>
      <c r="K188" s="21"/>
      <c r="L188" s="78"/>
      <c r="M188" s="78"/>
      <c r="N188" s="78"/>
      <c r="O188" s="21"/>
      <c r="P188" s="21"/>
      <c r="Q188" s="13"/>
      <c r="R188" s="21"/>
      <c r="S188" s="21"/>
      <c r="T188" s="56"/>
      <c r="U188" s="56"/>
      <c r="W188" s="88"/>
      <c r="X188" s="89"/>
    </row>
    <row r="189" spans="1:24" x14ac:dyDescent="0.25">
      <c r="A189" s="70" t="s">
        <v>167</v>
      </c>
      <c r="B189" s="52"/>
      <c r="C189" s="53">
        <v>15</v>
      </c>
      <c r="D189" s="53"/>
      <c r="E189" s="53">
        <v>10</v>
      </c>
      <c r="F189" s="53">
        <v>2500</v>
      </c>
      <c r="G189" s="17"/>
      <c r="H189" s="17"/>
      <c r="I189" s="17"/>
      <c r="J189" s="17"/>
      <c r="K189" s="17"/>
      <c r="L189" s="17">
        <v>7500</v>
      </c>
      <c r="M189" s="17"/>
      <c r="N189" s="17">
        <v>10000</v>
      </c>
      <c r="O189" s="17"/>
      <c r="P189" s="18">
        <f>SUM(G189:O189)</f>
        <v>17500</v>
      </c>
      <c r="Q189" s="17">
        <f>$P189/$F189</f>
        <v>7</v>
      </c>
      <c r="R189" s="54">
        <v>0.06</v>
      </c>
      <c r="S189" s="54">
        <f t="shared" ref="S189:S221" si="18">$Q189*$R189</f>
        <v>0.42</v>
      </c>
      <c r="T189" s="55">
        <v>25</v>
      </c>
      <c r="U189" s="55">
        <f t="shared" ref="U189:U221" si="19">T189*Q189</f>
        <v>175</v>
      </c>
      <c r="W189" s="36">
        <v>8</v>
      </c>
      <c r="X189" s="37">
        <v>9.6</v>
      </c>
    </row>
    <row r="190" spans="1:24" x14ac:dyDescent="0.25">
      <c r="A190" s="5" t="s">
        <v>168</v>
      </c>
      <c r="B190" s="4"/>
      <c r="C190" s="14">
        <v>20</v>
      </c>
      <c r="D190" s="14"/>
      <c r="E190" s="14">
        <v>10</v>
      </c>
      <c r="F190" s="14">
        <v>1500</v>
      </c>
      <c r="G190" s="19"/>
      <c r="H190" s="19"/>
      <c r="I190" s="19"/>
      <c r="J190" s="19"/>
      <c r="K190" s="19"/>
      <c r="L190" s="19"/>
      <c r="M190" s="19"/>
      <c r="N190" s="19">
        <v>3000</v>
      </c>
      <c r="O190" s="19"/>
      <c r="P190" s="18">
        <f>SUM(G190:O190)</f>
        <v>3000</v>
      </c>
      <c r="Q190" s="19">
        <f>$P190/$F190</f>
        <v>2</v>
      </c>
      <c r="R190" s="23">
        <v>0.06</v>
      </c>
      <c r="S190" s="23">
        <f t="shared" si="18"/>
        <v>0.12</v>
      </c>
      <c r="T190" s="31">
        <v>18</v>
      </c>
      <c r="U190" s="31">
        <f t="shared" si="19"/>
        <v>36</v>
      </c>
      <c r="W190" s="36">
        <v>10</v>
      </c>
      <c r="X190" s="37">
        <v>12</v>
      </c>
    </row>
    <row r="191" spans="1:24" x14ac:dyDescent="0.25">
      <c r="A191" s="5" t="s">
        <v>169</v>
      </c>
      <c r="B191" s="4"/>
      <c r="C191" s="14">
        <v>25</v>
      </c>
      <c r="D191" s="14"/>
      <c r="E191" s="14">
        <v>10</v>
      </c>
      <c r="F191" s="14">
        <v>900</v>
      </c>
      <c r="G191" s="19"/>
      <c r="H191" s="19"/>
      <c r="I191" s="19"/>
      <c r="J191" s="19"/>
      <c r="K191" s="19"/>
      <c r="L191" s="19">
        <v>900</v>
      </c>
      <c r="M191" s="19"/>
      <c r="N191" s="19">
        <v>1800</v>
      </c>
      <c r="O191" s="19"/>
      <c r="P191" s="18">
        <f>SUM(G191:O191)</f>
        <v>2700</v>
      </c>
      <c r="Q191" s="19">
        <f>$P191/$F191</f>
        <v>3</v>
      </c>
      <c r="R191" s="23">
        <v>0.06</v>
      </c>
      <c r="S191" s="23">
        <f t="shared" si="18"/>
        <v>0.18</v>
      </c>
      <c r="T191" s="31">
        <v>16.7</v>
      </c>
      <c r="U191" s="31">
        <f t="shared" si="19"/>
        <v>50.099999999999994</v>
      </c>
      <c r="W191" s="36">
        <v>13</v>
      </c>
      <c r="X191" s="37">
        <v>15.6</v>
      </c>
    </row>
    <row r="192" spans="1:24" x14ac:dyDescent="0.25">
      <c r="A192" s="5" t="s">
        <v>260</v>
      </c>
      <c r="B192" s="4"/>
      <c r="C192" s="14">
        <v>32</v>
      </c>
      <c r="D192" s="14"/>
      <c r="E192" s="14">
        <v>10</v>
      </c>
      <c r="F192" s="14">
        <v>490</v>
      </c>
      <c r="G192" s="19"/>
      <c r="H192" s="19"/>
      <c r="I192" s="19"/>
      <c r="J192" s="19"/>
      <c r="K192" s="19"/>
      <c r="L192" s="19"/>
      <c r="M192" s="19"/>
      <c r="N192" s="19"/>
      <c r="O192" s="19"/>
      <c r="P192" s="18">
        <f>SUM(G192:O192)</f>
        <v>0</v>
      </c>
      <c r="Q192" s="19">
        <f>$P192/$F192</f>
        <v>0</v>
      </c>
      <c r="R192" s="23">
        <v>0.06</v>
      </c>
      <c r="S192" s="23">
        <f t="shared" si="18"/>
        <v>0</v>
      </c>
      <c r="T192" s="31">
        <v>15.1</v>
      </c>
      <c r="U192" s="31">
        <f t="shared" si="19"/>
        <v>0</v>
      </c>
      <c r="W192" s="36">
        <v>24</v>
      </c>
      <c r="X192" s="37">
        <v>28.8</v>
      </c>
    </row>
    <row r="193" spans="1:24" x14ac:dyDescent="0.25">
      <c r="A193" s="5" t="s">
        <v>264</v>
      </c>
      <c r="B193" s="4"/>
      <c r="C193" s="14">
        <v>40</v>
      </c>
      <c r="D193" s="14"/>
      <c r="E193" s="14">
        <v>10</v>
      </c>
      <c r="F193" s="14">
        <v>400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8">
        <f>SUM(G193:O193)</f>
        <v>0</v>
      </c>
      <c r="Q193" s="19">
        <f>$P193/$F193</f>
        <v>0</v>
      </c>
      <c r="R193" s="23">
        <v>0.06</v>
      </c>
      <c r="S193" s="23">
        <f t="shared" si="18"/>
        <v>0</v>
      </c>
      <c r="T193" s="31">
        <v>17.100000000000001</v>
      </c>
      <c r="U193" s="31">
        <f t="shared" si="19"/>
        <v>0</v>
      </c>
      <c r="W193" s="36">
        <v>26</v>
      </c>
      <c r="X193" s="37">
        <v>31.2</v>
      </c>
    </row>
    <row r="194" spans="1:24" x14ac:dyDescent="0.25">
      <c r="A194" s="5" t="s">
        <v>261</v>
      </c>
      <c r="B194" s="4"/>
      <c r="C194" s="14">
        <v>50</v>
      </c>
      <c r="D194" s="14"/>
      <c r="E194" s="14">
        <v>10</v>
      </c>
      <c r="F194" s="14">
        <v>220</v>
      </c>
      <c r="G194" s="19"/>
      <c r="H194" s="19"/>
      <c r="I194" s="19"/>
      <c r="J194" s="19"/>
      <c r="K194" s="19"/>
      <c r="L194" s="19"/>
      <c r="M194" s="19"/>
      <c r="N194" s="19"/>
      <c r="O194" s="19"/>
      <c r="P194" s="18">
        <f>SUM(G194:O194)</f>
        <v>0</v>
      </c>
      <c r="Q194" s="19">
        <f>$P194/$F194</f>
        <v>0</v>
      </c>
      <c r="R194" s="23">
        <v>0.06</v>
      </c>
      <c r="S194" s="23">
        <f t="shared" si="18"/>
        <v>0</v>
      </c>
      <c r="T194" s="31">
        <v>14.5</v>
      </c>
      <c r="U194" s="31">
        <f t="shared" si="19"/>
        <v>0</v>
      </c>
      <c r="W194" s="36">
        <v>40</v>
      </c>
      <c r="X194" s="37">
        <v>48</v>
      </c>
    </row>
    <row r="195" spans="1:24" x14ac:dyDescent="0.2">
      <c r="A195" s="9" t="s">
        <v>226</v>
      </c>
      <c r="B195" s="4"/>
      <c r="C195" s="15">
        <v>15</v>
      </c>
      <c r="D195" s="14"/>
      <c r="E195" s="14">
        <v>10</v>
      </c>
      <c r="F195" s="14">
        <v>800</v>
      </c>
      <c r="G195" s="25"/>
      <c r="H195" s="25"/>
      <c r="I195" s="19"/>
      <c r="J195" s="19">
        <v>3200</v>
      </c>
      <c r="K195" s="19">
        <v>2400</v>
      </c>
      <c r="L195" s="19">
        <v>3200</v>
      </c>
      <c r="M195" s="19"/>
      <c r="N195" s="19">
        <v>3200</v>
      </c>
      <c r="O195" s="19"/>
      <c r="P195" s="18">
        <f>SUM(G195:O195)</f>
        <v>12000</v>
      </c>
      <c r="Q195" s="19">
        <f>$P195/$F195</f>
        <v>15</v>
      </c>
      <c r="R195" s="23">
        <v>0.06</v>
      </c>
      <c r="S195" s="23">
        <f t="shared" si="18"/>
        <v>0.89999999999999991</v>
      </c>
      <c r="T195" s="31">
        <v>16.8</v>
      </c>
      <c r="U195" s="31">
        <f t="shared" si="19"/>
        <v>252</v>
      </c>
      <c r="W195" s="36">
        <v>12</v>
      </c>
      <c r="X195" s="37">
        <v>14.4</v>
      </c>
    </row>
    <row r="196" spans="1:24" x14ac:dyDescent="0.2">
      <c r="A196" s="9" t="s">
        <v>227</v>
      </c>
      <c r="B196" s="4"/>
      <c r="C196" s="15">
        <v>20</v>
      </c>
      <c r="D196" s="14"/>
      <c r="E196" s="14">
        <v>10</v>
      </c>
      <c r="F196" s="14">
        <v>550</v>
      </c>
      <c r="G196" s="25"/>
      <c r="H196" s="25"/>
      <c r="I196" s="25"/>
      <c r="J196" s="25">
        <v>2200</v>
      </c>
      <c r="K196" s="25">
        <v>2200</v>
      </c>
      <c r="L196" s="25">
        <v>2200</v>
      </c>
      <c r="M196" s="25"/>
      <c r="N196" s="25">
        <v>2200</v>
      </c>
      <c r="O196" s="25"/>
      <c r="P196" s="18">
        <f>SUM(G196:O196)</f>
        <v>8800</v>
      </c>
      <c r="Q196" s="19">
        <f>$P196/$F196</f>
        <v>16</v>
      </c>
      <c r="R196" s="23">
        <v>0.06</v>
      </c>
      <c r="S196" s="23">
        <f t="shared" si="18"/>
        <v>0.96</v>
      </c>
      <c r="T196" s="31">
        <v>19.25</v>
      </c>
      <c r="U196" s="31">
        <f t="shared" si="19"/>
        <v>308</v>
      </c>
      <c r="W196" s="36">
        <v>21</v>
      </c>
      <c r="X196" s="37">
        <v>25.2</v>
      </c>
    </row>
    <row r="197" spans="1:24" x14ac:dyDescent="0.2">
      <c r="A197" s="9" t="s">
        <v>228</v>
      </c>
      <c r="B197" s="4"/>
      <c r="C197" s="15">
        <v>25</v>
      </c>
      <c r="D197" s="14"/>
      <c r="E197" s="14">
        <v>10</v>
      </c>
      <c r="F197" s="14">
        <v>300</v>
      </c>
      <c r="G197" s="25"/>
      <c r="H197" s="25"/>
      <c r="I197" s="25">
        <v>900</v>
      </c>
      <c r="J197" s="25">
        <v>900</v>
      </c>
      <c r="K197" s="25">
        <v>900</v>
      </c>
      <c r="L197" s="25">
        <v>900</v>
      </c>
      <c r="M197" s="25"/>
      <c r="N197" s="25">
        <v>1200</v>
      </c>
      <c r="O197" s="25"/>
      <c r="P197" s="18">
        <f>SUM(G197:O197)</f>
        <v>4800</v>
      </c>
      <c r="Q197" s="19">
        <f>$P197/$F197</f>
        <v>16</v>
      </c>
      <c r="R197" s="23">
        <v>0.06</v>
      </c>
      <c r="S197" s="23">
        <f t="shared" si="18"/>
        <v>0.96</v>
      </c>
      <c r="T197" s="31">
        <v>16.5</v>
      </c>
      <c r="U197" s="31">
        <f t="shared" si="19"/>
        <v>264</v>
      </c>
      <c r="W197" s="36">
        <v>32</v>
      </c>
      <c r="X197" s="37">
        <v>38.4</v>
      </c>
    </row>
    <row r="198" spans="1:24" x14ac:dyDescent="0.2">
      <c r="A198" s="9" t="s">
        <v>309</v>
      </c>
      <c r="B198" s="4"/>
      <c r="C198" s="15">
        <v>32</v>
      </c>
      <c r="D198" s="14"/>
      <c r="E198" s="14">
        <v>10</v>
      </c>
      <c r="F198" s="14">
        <v>180</v>
      </c>
      <c r="G198" s="25"/>
      <c r="H198" s="25"/>
      <c r="I198" s="25"/>
      <c r="J198" s="25"/>
      <c r="K198" s="25"/>
      <c r="L198" s="25"/>
      <c r="M198" s="25"/>
      <c r="N198" s="25"/>
      <c r="O198" s="25"/>
      <c r="P198" s="18">
        <f>SUM(G198:O198)</f>
        <v>0</v>
      </c>
      <c r="Q198" s="19">
        <f>$P198/$F198</f>
        <v>0</v>
      </c>
      <c r="R198" s="23">
        <v>0.06</v>
      </c>
      <c r="S198" s="23">
        <f t="shared" si="18"/>
        <v>0</v>
      </c>
      <c r="T198" s="31">
        <v>17.5</v>
      </c>
      <c r="U198" s="31">
        <f t="shared" ref="U198" si="20">T198*Q198</f>
        <v>0</v>
      </c>
      <c r="W198" s="36">
        <v>41</v>
      </c>
      <c r="X198" s="37">
        <v>49.2</v>
      </c>
    </row>
    <row r="199" spans="1:24" x14ac:dyDescent="0.2">
      <c r="A199" s="9" t="s">
        <v>265</v>
      </c>
      <c r="B199" s="4"/>
      <c r="C199" s="15">
        <v>40</v>
      </c>
      <c r="D199" s="14"/>
      <c r="E199" s="14">
        <v>10</v>
      </c>
      <c r="F199" s="14">
        <v>160</v>
      </c>
      <c r="G199" s="25"/>
      <c r="H199" s="25"/>
      <c r="I199" s="25"/>
      <c r="J199" s="25"/>
      <c r="K199" s="25"/>
      <c r="L199" s="25"/>
      <c r="M199" s="25"/>
      <c r="N199" s="25"/>
      <c r="O199" s="25"/>
      <c r="P199" s="18">
        <f>SUM(G199:O199)</f>
        <v>0</v>
      </c>
      <c r="Q199" s="19">
        <f>$P199/$F199</f>
        <v>0</v>
      </c>
      <c r="R199" s="23">
        <v>0.06</v>
      </c>
      <c r="S199" s="23">
        <f t="shared" si="18"/>
        <v>0</v>
      </c>
      <c r="T199" s="31">
        <v>14.6</v>
      </c>
      <c r="U199" s="31">
        <f t="shared" si="19"/>
        <v>0</v>
      </c>
      <c r="W199" s="36">
        <v>48</v>
      </c>
      <c r="X199" s="37">
        <v>57.6</v>
      </c>
    </row>
    <row r="200" spans="1:24" x14ac:dyDescent="0.2">
      <c r="A200" s="9" t="s">
        <v>266</v>
      </c>
      <c r="B200" s="4"/>
      <c r="C200" s="15">
        <v>50</v>
      </c>
      <c r="D200" s="14"/>
      <c r="E200" s="14">
        <v>10</v>
      </c>
      <c r="F200" s="14">
        <v>80</v>
      </c>
      <c r="G200" s="25"/>
      <c r="H200" s="25"/>
      <c r="I200" s="25"/>
      <c r="J200" s="25"/>
      <c r="K200" s="25"/>
      <c r="L200" s="25"/>
      <c r="M200" s="25"/>
      <c r="N200" s="25"/>
      <c r="O200" s="25"/>
      <c r="P200" s="18">
        <f>SUM(G200:O200)</f>
        <v>0</v>
      </c>
      <c r="Q200" s="19">
        <f>$P200/$F200</f>
        <v>0</v>
      </c>
      <c r="R200" s="23">
        <v>0.06</v>
      </c>
      <c r="S200" s="23">
        <f t="shared" si="18"/>
        <v>0</v>
      </c>
      <c r="T200" s="31">
        <v>10.7</v>
      </c>
      <c r="U200" s="31">
        <f t="shared" si="19"/>
        <v>0</v>
      </c>
      <c r="W200" s="36">
        <v>75</v>
      </c>
      <c r="X200" s="37">
        <v>90</v>
      </c>
    </row>
    <row r="201" spans="1:24" x14ac:dyDescent="0.2">
      <c r="A201" s="3" t="s">
        <v>239</v>
      </c>
      <c r="B201" s="4"/>
      <c r="C201" s="15">
        <v>15</v>
      </c>
      <c r="D201" s="14"/>
      <c r="E201" s="14">
        <v>5</v>
      </c>
      <c r="F201" s="14">
        <v>200</v>
      </c>
      <c r="G201" s="26"/>
      <c r="H201" s="26"/>
      <c r="I201" s="26"/>
      <c r="J201" s="26"/>
      <c r="K201" s="26">
        <v>1200</v>
      </c>
      <c r="L201" s="26">
        <v>1200</v>
      </c>
      <c r="M201" s="26"/>
      <c r="N201" s="26">
        <v>1200</v>
      </c>
      <c r="O201" s="26"/>
      <c r="P201" s="18">
        <f>SUM(G201:O201)</f>
        <v>3600</v>
      </c>
      <c r="Q201" s="19">
        <f>$P201/$F201</f>
        <v>18</v>
      </c>
      <c r="R201" s="23">
        <v>0.06</v>
      </c>
      <c r="S201" s="23">
        <f t="shared" si="18"/>
        <v>1.08</v>
      </c>
      <c r="T201" s="31">
        <v>15</v>
      </c>
      <c r="U201" s="31">
        <f t="shared" si="19"/>
        <v>270</v>
      </c>
      <c r="W201" s="36">
        <v>28.999999999999996</v>
      </c>
      <c r="X201" s="37">
        <v>34.799999999999997</v>
      </c>
    </row>
    <row r="202" spans="1:24" x14ac:dyDescent="0.2">
      <c r="A202" s="3" t="s">
        <v>240</v>
      </c>
      <c r="B202" s="4"/>
      <c r="C202" s="15">
        <v>20</v>
      </c>
      <c r="D202" s="14"/>
      <c r="E202" s="14">
        <v>5</v>
      </c>
      <c r="F202" s="14">
        <v>150</v>
      </c>
      <c r="G202" s="26"/>
      <c r="H202" s="26"/>
      <c r="I202" s="26"/>
      <c r="J202" s="26">
        <v>3000</v>
      </c>
      <c r="K202" s="26">
        <v>1200</v>
      </c>
      <c r="L202" s="26">
        <v>1200</v>
      </c>
      <c r="M202" s="26"/>
      <c r="N202" s="26">
        <v>1200</v>
      </c>
      <c r="O202" s="26"/>
      <c r="P202" s="18">
        <f>SUM(G202:O202)</f>
        <v>6600</v>
      </c>
      <c r="Q202" s="19">
        <f>$P202/$F202</f>
        <v>44</v>
      </c>
      <c r="R202" s="23">
        <v>0.06</v>
      </c>
      <c r="S202" s="23">
        <f t="shared" si="18"/>
        <v>2.6399999999999997</v>
      </c>
      <c r="T202" s="31">
        <v>15.8</v>
      </c>
      <c r="U202" s="31">
        <f t="shared" si="19"/>
        <v>695.2</v>
      </c>
      <c r="W202" s="36">
        <v>37</v>
      </c>
      <c r="X202" s="37">
        <v>44.4</v>
      </c>
    </row>
    <row r="203" spans="1:24" x14ac:dyDescent="0.2">
      <c r="A203" s="3" t="s">
        <v>241</v>
      </c>
      <c r="B203" s="4"/>
      <c r="C203" s="15">
        <v>25</v>
      </c>
      <c r="D203" s="14"/>
      <c r="E203" s="14">
        <v>5</v>
      </c>
      <c r="F203" s="14">
        <v>125</v>
      </c>
      <c r="G203" s="26"/>
      <c r="H203" s="26"/>
      <c r="I203" s="26"/>
      <c r="J203" s="26">
        <v>1000</v>
      </c>
      <c r="K203" s="26">
        <v>1000</v>
      </c>
      <c r="L203" s="26">
        <v>1000</v>
      </c>
      <c r="M203" s="26"/>
      <c r="N203" s="26">
        <v>1000</v>
      </c>
      <c r="O203" s="26"/>
      <c r="P203" s="18">
        <f>SUM(G203:O203)</f>
        <v>4000</v>
      </c>
      <c r="Q203" s="19">
        <f>$P203/$F203</f>
        <v>32</v>
      </c>
      <c r="R203" s="23">
        <v>0.06</v>
      </c>
      <c r="S203" s="23">
        <f t="shared" si="18"/>
        <v>1.92</v>
      </c>
      <c r="T203" s="31">
        <v>15.6</v>
      </c>
      <c r="U203" s="31">
        <f t="shared" si="19"/>
        <v>499.2</v>
      </c>
      <c r="W203" s="36">
        <v>52</v>
      </c>
      <c r="X203" s="37">
        <v>62.4</v>
      </c>
    </row>
    <row r="204" spans="1:24" x14ac:dyDescent="0.2">
      <c r="A204" s="3" t="s">
        <v>252</v>
      </c>
      <c r="B204" s="4"/>
      <c r="C204" s="15">
        <v>32</v>
      </c>
      <c r="D204" s="14"/>
      <c r="E204" s="14">
        <v>5</v>
      </c>
      <c r="F204" s="14">
        <v>90</v>
      </c>
      <c r="G204" s="26"/>
      <c r="H204" s="26"/>
      <c r="I204" s="26"/>
      <c r="J204" s="26"/>
      <c r="K204" s="26"/>
      <c r="L204" s="26"/>
      <c r="M204" s="26"/>
      <c r="N204" s="26"/>
      <c r="O204" s="26"/>
      <c r="P204" s="18">
        <f>SUM(G204:O204)</f>
        <v>0</v>
      </c>
      <c r="Q204" s="19">
        <f>$P204/$F204</f>
        <v>0</v>
      </c>
      <c r="R204" s="23">
        <v>0.06</v>
      </c>
      <c r="S204" s="23">
        <f t="shared" si="18"/>
        <v>0</v>
      </c>
      <c r="T204" s="31">
        <v>15</v>
      </c>
      <c r="U204" s="31">
        <f t="shared" si="19"/>
        <v>0</v>
      </c>
      <c r="W204" s="36">
        <v>108</v>
      </c>
      <c r="X204" s="37">
        <v>129.6</v>
      </c>
    </row>
    <row r="205" spans="1:24" x14ac:dyDescent="0.2">
      <c r="A205" s="3" t="s">
        <v>249</v>
      </c>
      <c r="B205" s="4"/>
      <c r="C205" s="15">
        <v>40</v>
      </c>
      <c r="D205" s="14"/>
      <c r="E205" s="14">
        <v>5</v>
      </c>
      <c r="F205" s="14">
        <v>70</v>
      </c>
      <c r="G205" s="26"/>
      <c r="H205" s="26"/>
      <c r="I205" s="26"/>
      <c r="J205" s="26"/>
      <c r="K205" s="26"/>
      <c r="L205" s="26"/>
      <c r="M205" s="26"/>
      <c r="N205" s="26"/>
      <c r="O205" s="26"/>
      <c r="P205" s="18">
        <f>SUM(G205:O205)</f>
        <v>0</v>
      </c>
      <c r="Q205" s="19">
        <f>$P205/$F205</f>
        <v>0</v>
      </c>
      <c r="R205" s="23">
        <v>0.06</v>
      </c>
      <c r="S205" s="23">
        <f t="shared" si="18"/>
        <v>0</v>
      </c>
      <c r="T205" s="31">
        <v>15</v>
      </c>
      <c r="U205" s="31">
        <f t="shared" si="19"/>
        <v>0</v>
      </c>
      <c r="W205" s="36">
        <v>138</v>
      </c>
      <c r="X205" s="37">
        <v>165.6</v>
      </c>
    </row>
    <row r="206" spans="1:24" x14ac:dyDescent="0.2">
      <c r="A206" s="3" t="s">
        <v>245</v>
      </c>
      <c r="B206" s="4"/>
      <c r="C206" s="15">
        <v>50</v>
      </c>
      <c r="D206" s="14"/>
      <c r="E206" s="14">
        <v>5</v>
      </c>
      <c r="F206" s="14">
        <v>50</v>
      </c>
      <c r="G206" s="26"/>
      <c r="H206" s="26"/>
      <c r="I206" s="26"/>
      <c r="J206" s="26"/>
      <c r="K206" s="26"/>
      <c r="L206" s="26"/>
      <c r="M206" s="26"/>
      <c r="N206" s="26"/>
      <c r="O206" s="26"/>
      <c r="P206" s="18">
        <f>SUM(G206:O206)</f>
        <v>0</v>
      </c>
      <c r="Q206" s="19">
        <f>$P206/$F206</f>
        <v>0</v>
      </c>
      <c r="R206" s="23">
        <v>0.06</v>
      </c>
      <c r="S206" s="23">
        <f t="shared" si="18"/>
        <v>0</v>
      </c>
      <c r="T206" s="31">
        <v>14.5</v>
      </c>
      <c r="U206" s="31">
        <f t="shared" si="19"/>
        <v>0</v>
      </c>
      <c r="W206" s="36">
        <v>179</v>
      </c>
      <c r="X206" s="37">
        <v>214.8</v>
      </c>
    </row>
    <row r="207" spans="1:24" x14ac:dyDescent="0.2">
      <c r="A207" s="9" t="s">
        <v>184</v>
      </c>
      <c r="B207" s="4"/>
      <c r="C207" s="15">
        <v>15</v>
      </c>
      <c r="D207" s="14"/>
      <c r="E207" s="14">
        <v>10</v>
      </c>
      <c r="F207" s="14">
        <v>1000</v>
      </c>
      <c r="G207" s="25"/>
      <c r="H207" s="25"/>
      <c r="I207" s="25">
        <v>2000</v>
      </c>
      <c r="J207" s="25">
        <v>3000</v>
      </c>
      <c r="K207" s="25">
        <v>3000</v>
      </c>
      <c r="L207" s="25">
        <v>3000</v>
      </c>
      <c r="M207" s="25"/>
      <c r="N207" s="25">
        <v>3000</v>
      </c>
      <c r="O207" s="25"/>
      <c r="P207" s="18">
        <f>SUM(G207:O207)</f>
        <v>14000</v>
      </c>
      <c r="Q207" s="19">
        <f>$P207/$F207</f>
        <v>14</v>
      </c>
      <c r="R207" s="23">
        <v>0.06</v>
      </c>
      <c r="S207" s="23">
        <f t="shared" si="18"/>
        <v>0.84</v>
      </c>
      <c r="T207" s="31">
        <v>17.100000000000001</v>
      </c>
      <c r="U207" s="31">
        <f t="shared" si="19"/>
        <v>239.40000000000003</v>
      </c>
      <c r="W207" s="36">
        <v>20</v>
      </c>
      <c r="X207" s="37">
        <v>24</v>
      </c>
    </row>
    <row r="208" spans="1:24" x14ac:dyDescent="0.25">
      <c r="A208" s="5" t="s">
        <v>185</v>
      </c>
      <c r="B208" s="4"/>
      <c r="C208" s="14">
        <v>20</v>
      </c>
      <c r="D208" s="14"/>
      <c r="E208" s="14">
        <v>10</v>
      </c>
      <c r="F208" s="14">
        <v>550</v>
      </c>
      <c r="G208" s="19"/>
      <c r="H208" s="19"/>
      <c r="I208" s="19"/>
      <c r="J208" s="19"/>
      <c r="K208" s="19">
        <v>1100</v>
      </c>
      <c r="L208" s="19">
        <v>1650</v>
      </c>
      <c r="M208" s="19"/>
      <c r="N208" s="19">
        <v>1650</v>
      </c>
      <c r="O208" s="19"/>
      <c r="P208" s="18">
        <f>SUM(G208:O208)</f>
        <v>4400</v>
      </c>
      <c r="Q208" s="19">
        <f>$P208/$F208</f>
        <v>8</v>
      </c>
      <c r="R208" s="23">
        <v>0.06</v>
      </c>
      <c r="S208" s="23">
        <f t="shared" si="18"/>
        <v>0.48</v>
      </c>
      <c r="T208" s="31">
        <v>14.6</v>
      </c>
      <c r="U208" s="31">
        <f t="shared" si="19"/>
        <v>116.8</v>
      </c>
      <c r="W208" s="36">
        <v>26</v>
      </c>
      <c r="X208" s="37">
        <v>31.2</v>
      </c>
    </row>
    <row r="209" spans="1:24" x14ac:dyDescent="0.2">
      <c r="A209" s="9" t="s">
        <v>186</v>
      </c>
      <c r="B209" s="4"/>
      <c r="C209" s="15">
        <v>25</v>
      </c>
      <c r="D209" s="14"/>
      <c r="E209" s="14">
        <v>10</v>
      </c>
      <c r="F209" s="14">
        <v>350</v>
      </c>
      <c r="G209" s="25"/>
      <c r="H209" s="25"/>
      <c r="I209" s="25"/>
      <c r="J209" s="25"/>
      <c r="K209" s="25"/>
      <c r="L209" s="25"/>
      <c r="M209" s="25"/>
      <c r="N209" s="25">
        <v>1400</v>
      </c>
      <c r="O209" s="25"/>
      <c r="P209" s="18">
        <f>SUM(G209:O209)</f>
        <v>1400</v>
      </c>
      <c r="Q209" s="19">
        <f>$P209/$F209</f>
        <v>4</v>
      </c>
      <c r="R209" s="23">
        <v>0.06</v>
      </c>
      <c r="S209" s="23">
        <f t="shared" si="18"/>
        <v>0.24</v>
      </c>
      <c r="T209" s="31">
        <v>12.9</v>
      </c>
      <c r="U209" s="31">
        <f t="shared" si="19"/>
        <v>51.6</v>
      </c>
      <c r="W209" s="36">
        <v>28.000000000000004</v>
      </c>
      <c r="X209" s="37">
        <v>33.6</v>
      </c>
    </row>
    <row r="210" spans="1:24" x14ac:dyDescent="0.2">
      <c r="A210" s="9" t="s">
        <v>276</v>
      </c>
      <c r="B210" s="4"/>
      <c r="C210" s="15">
        <v>32</v>
      </c>
      <c r="D210" s="14"/>
      <c r="E210" s="14">
        <v>10</v>
      </c>
      <c r="F210" s="14">
        <v>200</v>
      </c>
      <c r="G210" s="25"/>
      <c r="H210" s="25"/>
      <c r="I210" s="25"/>
      <c r="J210" s="25"/>
      <c r="K210" s="25"/>
      <c r="L210" s="25"/>
      <c r="M210" s="25"/>
      <c r="N210" s="25"/>
      <c r="O210" s="25"/>
      <c r="P210" s="18">
        <f>SUM(G210:O210)</f>
        <v>0</v>
      </c>
      <c r="Q210" s="19">
        <f>$P210/$F210</f>
        <v>0</v>
      </c>
      <c r="R210" s="23">
        <v>0.06</v>
      </c>
      <c r="S210" s="23">
        <f t="shared" si="18"/>
        <v>0</v>
      </c>
      <c r="T210" s="31">
        <v>11.9</v>
      </c>
      <c r="U210" s="31">
        <f t="shared" si="19"/>
        <v>0</v>
      </c>
      <c r="W210" s="36">
        <v>50</v>
      </c>
      <c r="X210" s="37">
        <v>60</v>
      </c>
    </row>
    <row r="211" spans="1:24" x14ac:dyDescent="0.2">
      <c r="A211" s="9" t="s">
        <v>287</v>
      </c>
      <c r="B211" s="4"/>
      <c r="C211" s="15">
        <v>40</v>
      </c>
      <c r="D211" s="14"/>
      <c r="E211" s="14">
        <v>10</v>
      </c>
      <c r="F211" s="14">
        <v>130</v>
      </c>
      <c r="G211" s="25"/>
      <c r="H211" s="25"/>
      <c r="I211" s="25"/>
      <c r="J211" s="25"/>
      <c r="K211" s="25"/>
      <c r="L211" s="25"/>
      <c r="M211" s="25"/>
      <c r="N211" s="25"/>
      <c r="O211" s="25"/>
      <c r="P211" s="18">
        <f>SUM(G211:O211)</f>
        <v>0</v>
      </c>
      <c r="Q211" s="19">
        <f>$P211/$F211</f>
        <v>0</v>
      </c>
      <c r="R211" s="23">
        <v>0.06</v>
      </c>
      <c r="S211" s="23">
        <f t="shared" si="18"/>
        <v>0</v>
      </c>
      <c r="T211" s="31">
        <v>9.3000000000000007</v>
      </c>
      <c r="U211" s="31">
        <f t="shared" si="19"/>
        <v>0</v>
      </c>
      <c r="W211" s="36">
        <v>56</v>
      </c>
      <c r="X211" s="37">
        <v>67.2</v>
      </c>
    </row>
    <row r="212" spans="1:24" x14ac:dyDescent="0.2">
      <c r="A212" s="9" t="s">
        <v>253</v>
      </c>
      <c r="B212" s="4"/>
      <c r="C212" s="15">
        <v>50</v>
      </c>
      <c r="D212" s="14"/>
      <c r="E212" s="14">
        <v>10</v>
      </c>
      <c r="F212" s="14">
        <v>70</v>
      </c>
      <c r="G212" s="25"/>
      <c r="H212" s="25"/>
      <c r="I212" s="25"/>
      <c r="J212" s="25"/>
      <c r="K212" s="25"/>
      <c r="L212" s="25"/>
      <c r="M212" s="25"/>
      <c r="N212" s="25"/>
      <c r="O212" s="25"/>
      <c r="P212" s="18">
        <f>SUM(G212:O212)</f>
        <v>0</v>
      </c>
      <c r="Q212" s="19">
        <f>$P212/$F212</f>
        <v>0</v>
      </c>
      <c r="R212" s="23">
        <v>0.06</v>
      </c>
      <c r="S212" s="23">
        <f t="shared" si="18"/>
        <v>0</v>
      </c>
      <c r="T212" s="31">
        <v>8.1</v>
      </c>
      <c r="U212" s="31">
        <f t="shared" si="19"/>
        <v>0</v>
      </c>
      <c r="W212" s="36">
        <v>76</v>
      </c>
      <c r="X212" s="37">
        <v>91.2</v>
      </c>
    </row>
    <row r="213" spans="1:24" x14ac:dyDescent="0.2">
      <c r="A213" s="9" t="s">
        <v>236</v>
      </c>
      <c r="B213" s="4"/>
      <c r="C213" s="15">
        <v>15</v>
      </c>
      <c r="D213" s="14"/>
      <c r="E213" s="14">
        <v>10</v>
      </c>
      <c r="F213" s="14">
        <v>1500</v>
      </c>
      <c r="G213" s="25"/>
      <c r="H213" s="25"/>
      <c r="I213" s="25"/>
      <c r="J213" s="25">
        <v>3000</v>
      </c>
      <c r="K213" s="25">
        <v>1500</v>
      </c>
      <c r="L213" s="25">
        <v>3000</v>
      </c>
      <c r="M213" s="25"/>
      <c r="N213" s="25">
        <v>3000</v>
      </c>
      <c r="O213" s="25"/>
      <c r="P213" s="18">
        <f>SUM(G213:O213)</f>
        <v>10500</v>
      </c>
      <c r="Q213" s="19">
        <f>$P213/$F213</f>
        <v>7</v>
      </c>
      <c r="R213" s="23">
        <v>0.06</v>
      </c>
      <c r="S213" s="23">
        <f t="shared" si="18"/>
        <v>0.42</v>
      </c>
      <c r="T213" s="31">
        <v>13.5</v>
      </c>
      <c r="U213" s="31">
        <f t="shared" si="19"/>
        <v>94.5</v>
      </c>
      <c r="W213" s="36">
        <v>8</v>
      </c>
      <c r="X213" s="37">
        <v>9.6</v>
      </c>
    </row>
    <row r="214" spans="1:24" x14ac:dyDescent="0.2">
      <c r="A214" s="9" t="s">
        <v>237</v>
      </c>
      <c r="B214" s="4"/>
      <c r="C214" s="15">
        <v>20</v>
      </c>
      <c r="D214" s="14"/>
      <c r="E214" s="14">
        <v>10</v>
      </c>
      <c r="F214" s="14">
        <v>780</v>
      </c>
      <c r="G214" s="25"/>
      <c r="H214" s="25"/>
      <c r="I214" s="25"/>
      <c r="J214" s="25">
        <v>2340</v>
      </c>
      <c r="K214" s="25">
        <v>1560</v>
      </c>
      <c r="L214" s="25">
        <v>1560</v>
      </c>
      <c r="M214" s="25"/>
      <c r="N214" s="25">
        <v>1560</v>
      </c>
      <c r="O214" s="25"/>
      <c r="P214" s="18">
        <f>SUM(G214:O214)</f>
        <v>7020</v>
      </c>
      <c r="Q214" s="19">
        <f>$P214/$F214</f>
        <v>9</v>
      </c>
      <c r="R214" s="23">
        <v>0.06</v>
      </c>
      <c r="S214" s="23">
        <f t="shared" si="18"/>
        <v>0.54</v>
      </c>
      <c r="T214" s="31">
        <v>12.48</v>
      </c>
      <c r="U214" s="31">
        <f t="shared" si="19"/>
        <v>112.32000000000001</v>
      </c>
      <c r="W214" s="36">
        <v>11</v>
      </c>
      <c r="X214" s="37">
        <v>13.2</v>
      </c>
    </row>
    <row r="215" spans="1:24" x14ac:dyDescent="0.2">
      <c r="A215" s="9" t="s">
        <v>238</v>
      </c>
      <c r="B215" s="4"/>
      <c r="C215" s="15">
        <v>25</v>
      </c>
      <c r="D215" s="14"/>
      <c r="E215" s="14">
        <v>10</v>
      </c>
      <c r="F215" s="14">
        <v>550</v>
      </c>
      <c r="G215" s="25"/>
      <c r="H215" s="25"/>
      <c r="I215" s="25"/>
      <c r="J215" s="25">
        <v>2200</v>
      </c>
      <c r="K215" s="25">
        <v>1100</v>
      </c>
      <c r="L215" s="25">
        <v>1100</v>
      </c>
      <c r="M215" s="25"/>
      <c r="N215" s="25">
        <v>1100</v>
      </c>
      <c r="O215" s="25"/>
      <c r="P215" s="18">
        <f>SUM(G215:O215)</f>
        <v>5500</v>
      </c>
      <c r="Q215" s="19">
        <f>$P215/$F215</f>
        <v>10</v>
      </c>
      <c r="R215" s="23">
        <v>0.06</v>
      </c>
      <c r="S215" s="23">
        <f t="shared" si="18"/>
        <v>0.6</v>
      </c>
      <c r="T215" s="31">
        <v>12.8</v>
      </c>
      <c r="U215" s="31">
        <f t="shared" si="19"/>
        <v>128</v>
      </c>
      <c r="W215" s="36">
        <v>13</v>
      </c>
      <c r="X215" s="37">
        <v>15.6</v>
      </c>
    </row>
    <row r="216" spans="1:24" x14ac:dyDescent="0.2">
      <c r="A216" s="3" t="s">
        <v>251</v>
      </c>
      <c r="B216" s="3"/>
      <c r="C216" s="15">
        <v>32</v>
      </c>
      <c r="D216" s="15"/>
      <c r="E216" s="15">
        <v>10</v>
      </c>
      <c r="F216" s="15">
        <v>400</v>
      </c>
      <c r="G216" s="9"/>
      <c r="H216" s="9"/>
      <c r="I216" s="9"/>
      <c r="J216" s="9"/>
      <c r="K216" s="9"/>
      <c r="L216" s="9"/>
      <c r="M216" s="9"/>
      <c r="N216" s="9"/>
      <c r="O216" s="9"/>
      <c r="P216" s="18">
        <f>SUM(G216:O216)</f>
        <v>0</v>
      </c>
      <c r="Q216" s="19">
        <f>$P216/$F216</f>
        <v>0</v>
      </c>
      <c r="R216" s="23">
        <v>0.06</v>
      </c>
      <c r="S216" s="23">
        <f t="shared" si="18"/>
        <v>0</v>
      </c>
      <c r="T216" s="31">
        <v>13.2</v>
      </c>
      <c r="U216" s="31">
        <f t="shared" si="19"/>
        <v>0</v>
      </c>
      <c r="W216" s="36">
        <v>20</v>
      </c>
      <c r="X216" s="37">
        <v>24</v>
      </c>
    </row>
    <row r="217" spans="1:24" x14ac:dyDescent="0.2">
      <c r="A217" s="9" t="s">
        <v>246</v>
      </c>
      <c r="B217" s="4"/>
      <c r="C217" s="15">
        <v>40</v>
      </c>
      <c r="D217" s="14"/>
      <c r="E217" s="14">
        <v>10</v>
      </c>
      <c r="F217" s="14">
        <v>230</v>
      </c>
      <c r="G217" s="25"/>
      <c r="H217" s="25"/>
      <c r="I217" s="25"/>
      <c r="J217" s="25"/>
      <c r="K217" s="25"/>
      <c r="L217" s="25"/>
      <c r="M217" s="25"/>
      <c r="N217" s="25">
        <v>230</v>
      </c>
      <c r="O217" s="25"/>
      <c r="P217" s="18">
        <f>SUM(G217:O217)</f>
        <v>230</v>
      </c>
      <c r="Q217" s="19">
        <f>$P217/$F217</f>
        <v>1</v>
      </c>
      <c r="R217" s="23">
        <v>0.06</v>
      </c>
      <c r="S217" s="23">
        <f t="shared" si="18"/>
        <v>0.06</v>
      </c>
      <c r="T217" s="31">
        <v>10.7</v>
      </c>
      <c r="U217" s="31">
        <f t="shared" si="19"/>
        <v>10.7</v>
      </c>
      <c r="W217" s="36">
        <v>28.999999999999996</v>
      </c>
      <c r="X217" s="37">
        <v>34.799999999999997</v>
      </c>
    </row>
    <row r="218" spans="1:24" x14ac:dyDescent="0.2">
      <c r="A218" s="9" t="s">
        <v>247</v>
      </c>
      <c r="B218" s="4"/>
      <c r="C218" s="15">
        <v>50</v>
      </c>
      <c r="D218" s="14"/>
      <c r="E218" s="14">
        <v>10</v>
      </c>
      <c r="F218" s="14">
        <v>130</v>
      </c>
      <c r="G218" s="25"/>
      <c r="H218" s="25"/>
      <c r="I218" s="25"/>
      <c r="J218" s="25"/>
      <c r="K218" s="25"/>
      <c r="L218" s="25"/>
      <c r="M218" s="25"/>
      <c r="N218" s="25">
        <v>260</v>
      </c>
      <c r="O218" s="25"/>
      <c r="P218" s="18">
        <f>SUM(G218:O218)</f>
        <v>260</v>
      </c>
      <c r="Q218" s="19">
        <f>$P218/$F218</f>
        <v>2</v>
      </c>
      <c r="R218" s="23">
        <v>0.06</v>
      </c>
      <c r="S218" s="23">
        <f t="shared" si="18"/>
        <v>0.12</v>
      </c>
      <c r="T218" s="31">
        <v>9.5</v>
      </c>
      <c r="U218" s="31">
        <f t="shared" si="19"/>
        <v>19</v>
      </c>
      <c r="W218" s="36">
        <v>43</v>
      </c>
      <c r="X218" s="37">
        <v>51.6</v>
      </c>
    </row>
    <row r="219" spans="1:24" x14ac:dyDescent="0.25">
      <c r="A219" s="5" t="s">
        <v>170</v>
      </c>
      <c r="B219" s="4"/>
      <c r="C219" s="14">
        <v>15</v>
      </c>
      <c r="D219" s="14"/>
      <c r="E219" s="14">
        <v>10</v>
      </c>
      <c r="F219" s="14">
        <v>2900</v>
      </c>
      <c r="G219" s="19"/>
      <c r="H219" s="19"/>
      <c r="I219" s="19">
        <v>8700</v>
      </c>
      <c r="J219" s="19">
        <v>11600</v>
      </c>
      <c r="K219" s="19">
        <v>8700</v>
      </c>
      <c r="L219" s="19">
        <v>8700</v>
      </c>
      <c r="M219" s="19"/>
      <c r="N219" s="19">
        <v>8700</v>
      </c>
      <c r="O219" s="19"/>
      <c r="P219" s="18">
        <f>SUM(G219:O219)</f>
        <v>46400</v>
      </c>
      <c r="Q219" s="19">
        <f>$P219/$F219</f>
        <v>16</v>
      </c>
      <c r="R219" s="23">
        <v>0.06</v>
      </c>
      <c r="S219" s="23">
        <f t="shared" si="18"/>
        <v>0.96</v>
      </c>
      <c r="T219" s="31">
        <v>17.399999999999999</v>
      </c>
      <c r="U219" s="31">
        <f t="shared" si="19"/>
        <v>278.39999999999998</v>
      </c>
      <c r="W219" s="36">
        <v>6.43</v>
      </c>
      <c r="X219" s="37">
        <v>7.72</v>
      </c>
    </row>
    <row r="220" spans="1:24" x14ac:dyDescent="0.25">
      <c r="A220" s="5" t="s">
        <v>171</v>
      </c>
      <c r="B220" s="4"/>
      <c r="C220" s="14">
        <v>20</v>
      </c>
      <c r="D220" s="14"/>
      <c r="E220" s="14">
        <v>10</v>
      </c>
      <c r="F220" s="14">
        <v>1700</v>
      </c>
      <c r="G220" s="19"/>
      <c r="H220" s="19"/>
      <c r="I220" s="19">
        <v>3400</v>
      </c>
      <c r="J220" s="19">
        <v>3400</v>
      </c>
      <c r="K220" s="19">
        <v>1700</v>
      </c>
      <c r="L220" s="19">
        <v>1700</v>
      </c>
      <c r="M220" s="19"/>
      <c r="N220" s="19">
        <v>3400</v>
      </c>
      <c r="O220" s="19"/>
      <c r="P220" s="18">
        <f>SUM(G220:O220)</f>
        <v>13600</v>
      </c>
      <c r="Q220" s="19">
        <f>$P220/$F220</f>
        <v>8</v>
      </c>
      <c r="R220" s="23">
        <v>0.06</v>
      </c>
      <c r="S220" s="23">
        <f t="shared" si="18"/>
        <v>0.48</v>
      </c>
      <c r="T220" s="31">
        <v>15.64</v>
      </c>
      <c r="U220" s="31">
        <f t="shared" si="19"/>
        <v>125.12</v>
      </c>
      <c r="W220" s="36">
        <v>7.08</v>
      </c>
      <c r="X220" s="37">
        <v>8.49</v>
      </c>
    </row>
    <row r="221" spans="1:24" x14ac:dyDescent="0.25">
      <c r="A221" s="5" t="s">
        <v>172</v>
      </c>
      <c r="B221" s="4"/>
      <c r="C221" s="14">
        <v>25</v>
      </c>
      <c r="D221" s="14"/>
      <c r="E221" s="14">
        <v>10</v>
      </c>
      <c r="F221" s="14">
        <v>1000</v>
      </c>
      <c r="G221" s="19"/>
      <c r="H221" s="19"/>
      <c r="I221" s="19">
        <v>2000</v>
      </c>
      <c r="J221" s="19">
        <v>2000</v>
      </c>
      <c r="K221" s="19">
        <v>1000</v>
      </c>
      <c r="L221" s="19">
        <v>1000</v>
      </c>
      <c r="M221" s="19"/>
      <c r="N221" s="19">
        <v>2000</v>
      </c>
      <c r="O221" s="19"/>
      <c r="P221" s="18">
        <f>SUM(G221:O221)</f>
        <v>8000</v>
      </c>
      <c r="Q221" s="19">
        <f>$P221/$F221</f>
        <v>8</v>
      </c>
      <c r="R221" s="23">
        <v>0.06</v>
      </c>
      <c r="S221" s="23">
        <f t="shared" si="18"/>
        <v>0.48</v>
      </c>
      <c r="T221" s="31">
        <v>16.5</v>
      </c>
      <c r="U221" s="31">
        <f t="shared" si="19"/>
        <v>132</v>
      </c>
      <c r="W221" s="36">
        <v>11.79</v>
      </c>
      <c r="X221" s="37">
        <v>14.15</v>
      </c>
    </row>
    <row r="222" spans="1:24" x14ac:dyDescent="0.25">
      <c r="A222" s="5" t="s">
        <v>288</v>
      </c>
      <c r="B222" s="4"/>
      <c r="C222" s="14">
        <v>32</v>
      </c>
      <c r="D222" s="14"/>
      <c r="E222" s="14">
        <v>10</v>
      </c>
      <c r="F222" s="14">
        <v>510</v>
      </c>
      <c r="G222" s="19"/>
      <c r="H222" s="19"/>
      <c r="I222" s="19"/>
      <c r="J222" s="19"/>
      <c r="K222" s="19"/>
      <c r="L222" s="19"/>
      <c r="M222" s="19"/>
      <c r="N222" s="19"/>
      <c r="O222" s="19"/>
      <c r="P222" s="18">
        <f>SUM(G222:O222)</f>
        <v>0</v>
      </c>
      <c r="Q222" s="19">
        <f>$P222/$F222</f>
        <v>0</v>
      </c>
      <c r="R222" s="23">
        <v>0.06</v>
      </c>
      <c r="S222" s="23">
        <f t="shared" ref="S222:S257" si="21">$Q222*$R222</f>
        <v>0</v>
      </c>
      <c r="T222" s="31">
        <v>13.5</v>
      </c>
      <c r="U222" s="31">
        <f t="shared" ref="U222:U254" si="22">T222*Q222</f>
        <v>0</v>
      </c>
      <c r="W222" s="36">
        <v>21.58</v>
      </c>
      <c r="X222" s="37">
        <v>25.9</v>
      </c>
    </row>
    <row r="223" spans="1:24" x14ac:dyDescent="0.25">
      <c r="A223" s="5" t="s">
        <v>289</v>
      </c>
      <c r="B223" s="4"/>
      <c r="C223" s="14">
        <v>40</v>
      </c>
      <c r="D223" s="14"/>
      <c r="E223" s="14">
        <v>10</v>
      </c>
      <c r="F223" s="14">
        <v>500</v>
      </c>
      <c r="G223" s="19"/>
      <c r="H223" s="19"/>
      <c r="I223" s="19"/>
      <c r="J223" s="19"/>
      <c r="K223" s="19"/>
      <c r="L223" s="19"/>
      <c r="M223" s="19"/>
      <c r="N223" s="19"/>
      <c r="O223" s="19"/>
      <c r="P223" s="18">
        <f>SUM(G223:O223)</f>
        <v>0</v>
      </c>
      <c r="Q223" s="19">
        <f>$P223/$F223</f>
        <v>0</v>
      </c>
      <c r="R223" s="23">
        <v>0.06</v>
      </c>
      <c r="S223" s="23">
        <f t="shared" si="21"/>
        <v>0</v>
      </c>
      <c r="T223" s="31">
        <v>15.4</v>
      </c>
      <c r="U223" s="31">
        <f t="shared" si="22"/>
        <v>0</v>
      </c>
      <c r="W223" s="36">
        <v>24.16</v>
      </c>
      <c r="X223" s="37">
        <v>29</v>
      </c>
    </row>
    <row r="224" spans="1:24" x14ac:dyDescent="0.25">
      <c r="A224" s="5" t="s">
        <v>310</v>
      </c>
      <c r="B224" s="4"/>
      <c r="C224" s="14">
        <v>50</v>
      </c>
      <c r="D224" s="14"/>
      <c r="E224" s="14">
        <v>10</v>
      </c>
      <c r="F224" s="14">
        <v>250</v>
      </c>
      <c r="G224" s="19"/>
      <c r="H224" s="19"/>
      <c r="I224" s="19"/>
      <c r="J224" s="19"/>
      <c r="K224" s="19"/>
      <c r="L224" s="19"/>
      <c r="M224" s="19"/>
      <c r="N224" s="19"/>
      <c r="O224" s="19"/>
      <c r="P224" s="18">
        <f>SUM(G224:O224)</f>
        <v>0</v>
      </c>
      <c r="Q224" s="19">
        <f>$P224/$F224</f>
        <v>0</v>
      </c>
      <c r="R224" s="23">
        <v>0.06</v>
      </c>
      <c r="S224" s="23">
        <f t="shared" si="21"/>
        <v>0</v>
      </c>
      <c r="T224" s="31"/>
      <c r="U224" s="31">
        <f t="shared" ref="U224" si="23">T224*Q224</f>
        <v>0</v>
      </c>
      <c r="W224" s="36">
        <v>32.5</v>
      </c>
      <c r="X224" s="37">
        <v>39</v>
      </c>
    </row>
    <row r="225" spans="1:24" x14ac:dyDescent="0.2">
      <c r="A225" s="71" t="s">
        <v>229</v>
      </c>
      <c r="B225" s="67"/>
      <c r="C225" s="15">
        <v>15</v>
      </c>
      <c r="D225" s="14"/>
      <c r="E225" s="14">
        <v>10</v>
      </c>
      <c r="F225" s="14">
        <v>1900</v>
      </c>
      <c r="G225" s="25"/>
      <c r="H225" s="25"/>
      <c r="I225" s="25"/>
      <c r="J225" s="25">
        <v>19000</v>
      </c>
      <c r="K225" s="25">
        <v>9500</v>
      </c>
      <c r="L225" s="25">
        <v>9500</v>
      </c>
      <c r="M225" s="25"/>
      <c r="N225" s="25">
        <v>19000</v>
      </c>
      <c r="O225" s="25"/>
      <c r="P225" s="18">
        <f>SUM(G225:O225)</f>
        <v>57000</v>
      </c>
      <c r="Q225" s="19">
        <f>$P225/$F225</f>
        <v>30</v>
      </c>
      <c r="R225" s="23">
        <v>0.06</v>
      </c>
      <c r="S225" s="23">
        <f t="shared" si="21"/>
        <v>1.7999999999999998</v>
      </c>
      <c r="T225" s="31">
        <v>17.100000000000001</v>
      </c>
      <c r="U225" s="31">
        <f t="shared" si="22"/>
        <v>513</v>
      </c>
      <c r="W225" s="36">
        <v>9</v>
      </c>
      <c r="X225" s="37">
        <v>10.8</v>
      </c>
    </row>
    <row r="226" spans="1:24" x14ac:dyDescent="0.2">
      <c r="A226" s="71" t="s">
        <v>230</v>
      </c>
      <c r="B226" s="67"/>
      <c r="C226" s="15">
        <v>20</v>
      </c>
      <c r="D226" s="14"/>
      <c r="E226" s="14">
        <v>10</v>
      </c>
      <c r="F226" s="14">
        <v>890</v>
      </c>
      <c r="G226" s="25"/>
      <c r="H226" s="25"/>
      <c r="I226" s="25"/>
      <c r="J226" s="25">
        <v>5340</v>
      </c>
      <c r="K226" s="25">
        <v>3560</v>
      </c>
      <c r="L226" s="25">
        <v>3560</v>
      </c>
      <c r="M226" s="25"/>
      <c r="N226" s="25">
        <v>5340</v>
      </c>
      <c r="O226" s="25"/>
      <c r="P226" s="18">
        <f>SUM(G226:O226)</f>
        <v>17800</v>
      </c>
      <c r="Q226" s="19">
        <f>$P226/$F226</f>
        <v>20</v>
      </c>
      <c r="R226" s="23">
        <v>0.06</v>
      </c>
      <c r="S226" s="23">
        <f t="shared" si="21"/>
        <v>1.2</v>
      </c>
      <c r="T226" s="31">
        <v>11.9</v>
      </c>
      <c r="U226" s="31">
        <f t="shared" si="22"/>
        <v>238</v>
      </c>
      <c r="W226" s="36">
        <v>10</v>
      </c>
      <c r="X226" s="37">
        <v>12</v>
      </c>
    </row>
    <row r="227" spans="1:24" x14ac:dyDescent="0.2">
      <c r="A227" s="71" t="s">
        <v>231</v>
      </c>
      <c r="B227" s="67"/>
      <c r="C227" s="15">
        <v>25</v>
      </c>
      <c r="D227" s="14"/>
      <c r="E227" s="14">
        <v>10</v>
      </c>
      <c r="F227" s="14">
        <v>600</v>
      </c>
      <c r="G227" s="25"/>
      <c r="H227" s="25"/>
      <c r="I227" s="25"/>
      <c r="J227" s="25">
        <v>4800</v>
      </c>
      <c r="K227" s="25">
        <v>3600</v>
      </c>
      <c r="L227" s="25">
        <v>3600</v>
      </c>
      <c r="M227" s="25"/>
      <c r="N227" s="25">
        <v>4800</v>
      </c>
      <c r="O227" s="25"/>
      <c r="P227" s="18">
        <f>SUM(G227:O227)</f>
        <v>16800</v>
      </c>
      <c r="Q227" s="19">
        <f>$P227/$F227</f>
        <v>28</v>
      </c>
      <c r="R227" s="23">
        <v>0.06</v>
      </c>
      <c r="S227" s="23">
        <f t="shared" si="21"/>
        <v>1.68</v>
      </c>
      <c r="T227" s="31">
        <v>15.6</v>
      </c>
      <c r="U227" s="31">
        <f t="shared" si="22"/>
        <v>436.8</v>
      </c>
      <c r="W227" s="36">
        <v>16</v>
      </c>
      <c r="X227" s="37">
        <v>19.2</v>
      </c>
    </row>
    <row r="228" spans="1:24" x14ac:dyDescent="0.2">
      <c r="A228" s="5" t="s">
        <v>255</v>
      </c>
      <c r="B228" s="4"/>
      <c r="C228" s="14">
        <v>32</v>
      </c>
      <c r="D228" s="14"/>
      <c r="E228" s="14">
        <v>10</v>
      </c>
      <c r="F228" s="14">
        <v>400</v>
      </c>
      <c r="G228" s="25"/>
      <c r="H228" s="25"/>
      <c r="I228" s="25"/>
      <c r="J228" s="25"/>
      <c r="K228" s="25"/>
      <c r="L228" s="25"/>
      <c r="M228" s="25"/>
      <c r="N228" s="25"/>
      <c r="O228" s="25"/>
      <c r="P228" s="18">
        <f>SUM(G228:O228)</f>
        <v>0</v>
      </c>
      <c r="Q228" s="19">
        <f>$P228/$F228</f>
        <v>0</v>
      </c>
      <c r="R228" s="23">
        <v>0.06</v>
      </c>
      <c r="S228" s="23">
        <f t="shared" si="21"/>
        <v>0</v>
      </c>
      <c r="T228" s="31">
        <v>12.8</v>
      </c>
      <c r="U228" s="31">
        <f t="shared" si="22"/>
        <v>0</v>
      </c>
      <c r="W228" s="36">
        <v>19</v>
      </c>
      <c r="X228" s="37">
        <v>22.8</v>
      </c>
    </row>
    <row r="229" spans="1:24" x14ac:dyDescent="0.25">
      <c r="A229" s="5" t="s">
        <v>256</v>
      </c>
      <c r="B229" s="4"/>
      <c r="C229" s="14">
        <v>40</v>
      </c>
      <c r="D229" s="14"/>
      <c r="E229" s="14">
        <v>10</v>
      </c>
      <c r="F229" s="14">
        <v>300</v>
      </c>
      <c r="G229" s="19"/>
      <c r="H229" s="19"/>
      <c r="I229" s="19"/>
      <c r="J229" s="19"/>
      <c r="K229" s="19"/>
      <c r="L229" s="19"/>
      <c r="M229" s="19"/>
      <c r="N229" s="19"/>
      <c r="O229" s="19"/>
      <c r="P229" s="18">
        <f>SUM(G229:O229)</f>
        <v>0</v>
      </c>
      <c r="Q229" s="19">
        <f>$P229/$F229</f>
        <v>0</v>
      </c>
      <c r="R229" s="23">
        <v>0.06</v>
      </c>
      <c r="S229" s="23">
        <f t="shared" si="21"/>
        <v>0</v>
      </c>
      <c r="T229" s="31">
        <v>12.9</v>
      </c>
      <c r="U229" s="31">
        <f t="shared" si="22"/>
        <v>0</v>
      </c>
      <c r="W229" s="36">
        <v>25</v>
      </c>
      <c r="X229" s="37">
        <v>30</v>
      </c>
    </row>
    <row r="230" spans="1:24" x14ac:dyDescent="0.25">
      <c r="A230" s="5" t="s">
        <v>257</v>
      </c>
      <c r="B230" s="4"/>
      <c r="C230" s="14">
        <v>50</v>
      </c>
      <c r="D230" s="14"/>
      <c r="E230" s="14">
        <v>10</v>
      </c>
      <c r="F230" s="14">
        <v>160</v>
      </c>
      <c r="G230" s="19"/>
      <c r="H230" s="19"/>
      <c r="I230" s="19"/>
      <c r="J230" s="19"/>
      <c r="K230" s="19"/>
      <c r="L230" s="19"/>
      <c r="M230" s="19"/>
      <c r="N230" s="19"/>
      <c r="O230" s="19"/>
      <c r="P230" s="18">
        <f>SUM(G230:O230)</f>
        <v>0</v>
      </c>
      <c r="Q230" s="19">
        <f>$P230/$F230</f>
        <v>0</v>
      </c>
      <c r="R230" s="23">
        <v>0.06</v>
      </c>
      <c r="S230" s="23">
        <f t="shared" si="21"/>
        <v>0</v>
      </c>
      <c r="T230" s="31">
        <v>9</v>
      </c>
      <c r="U230" s="31">
        <f t="shared" si="22"/>
        <v>0</v>
      </c>
      <c r="W230" s="36">
        <v>35</v>
      </c>
      <c r="X230" s="37">
        <v>42</v>
      </c>
    </row>
    <row r="231" spans="1:24" x14ac:dyDescent="0.2">
      <c r="A231" s="9" t="s">
        <v>232</v>
      </c>
      <c r="B231" s="4"/>
      <c r="C231" s="15" t="s">
        <v>187</v>
      </c>
      <c r="D231" s="14"/>
      <c r="E231" s="14">
        <v>10</v>
      </c>
      <c r="F231" s="14">
        <v>2000</v>
      </c>
      <c r="G231" s="25"/>
      <c r="H231" s="25"/>
      <c r="I231" s="25"/>
      <c r="J231" s="25">
        <v>6000</v>
      </c>
      <c r="K231" s="25">
        <v>6000</v>
      </c>
      <c r="L231" s="25">
        <v>6000</v>
      </c>
      <c r="M231" s="25"/>
      <c r="N231" s="25">
        <v>6000</v>
      </c>
      <c r="O231" s="25"/>
      <c r="P231" s="18">
        <f>SUM(G231:O231)</f>
        <v>24000</v>
      </c>
      <c r="Q231" s="19">
        <f>$P231/$F231</f>
        <v>12</v>
      </c>
      <c r="R231" s="23">
        <v>0.06</v>
      </c>
      <c r="S231" s="23">
        <f t="shared" si="21"/>
        <v>0.72</v>
      </c>
      <c r="T231" s="31">
        <v>16.8</v>
      </c>
      <c r="U231" s="31">
        <f t="shared" si="22"/>
        <v>201.60000000000002</v>
      </c>
      <c r="W231" s="36">
        <v>8</v>
      </c>
      <c r="X231" s="37">
        <v>9.6</v>
      </c>
    </row>
    <row r="232" spans="1:24" x14ac:dyDescent="0.2">
      <c r="A232" s="9" t="s">
        <v>233</v>
      </c>
      <c r="B232" s="4"/>
      <c r="C232" s="15" t="s">
        <v>189</v>
      </c>
      <c r="D232" s="14"/>
      <c r="E232" s="14">
        <v>10</v>
      </c>
      <c r="F232" s="14">
        <v>1200</v>
      </c>
      <c r="G232" s="25"/>
      <c r="H232" s="25"/>
      <c r="I232" s="25">
        <v>2400</v>
      </c>
      <c r="J232" s="25">
        <v>2400</v>
      </c>
      <c r="K232" s="25">
        <v>2400</v>
      </c>
      <c r="L232" s="25">
        <v>2400</v>
      </c>
      <c r="M232" s="25"/>
      <c r="N232" s="25">
        <v>2400</v>
      </c>
      <c r="O232" s="25"/>
      <c r="P232" s="18">
        <f>SUM(G232:O232)</f>
        <v>12000</v>
      </c>
      <c r="Q232" s="19">
        <f>$P232/$F232</f>
        <v>10</v>
      </c>
      <c r="R232" s="23">
        <v>0.06</v>
      </c>
      <c r="S232" s="23">
        <f t="shared" si="21"/>
        <v>0.6</v>
      </c>
      <c r="T232" s="31">
        <v>20.9</v>
      </c>
      <c r="U232" s="31">
        <f t="shared" si="22"/>
        <v>209</v>
      </c>
      <c r="W232" s="36">
        <v>13</v>
      </c>
      <c r="X232" s="37">
        <v>15.6</v>
      </c>
    </row>
    <row r="233" spans="1:24" x14ac:dyDescent="0.2">
      <c r="A233" s="9" t="s">
        <v>234</v>
      </c>
      <c r="B233" s="4"/>
      <c r="C233" s="15" t="s">
        <v>188</v>
      </c>
      <c r="D233" s="14"/>
      <c r="E233" s="14">
        <v>10</v>
      </c>
      <c r="F233" s="14">
        <v>1100</v>
      </c>
      <c r="G233" s="25"/>
      <c r="H233" s="25"/>
      <c r="I233" s="25">
        <v>2200</v>
      </c>
      <c r="J233" s="25">
        <v>3300</v>
      </c>
      <c r="K233" s="25">
        <v>3300</v>
      </c>
      <c r="L233" s="25">
        <v>3300</v>
      </c>
      <c r="M233" s="25"/>
      <c r="N233" s="25">
        <v>3300</v>
      </c>
      <c r="O233" s="25"/>
      <c r="P233" s="18">
        <f>SUM(G233:O233)</f>
        <v>15400</v>
      </c>
      <c r="Q233" s="19">
        <f>$P233/$F233</f>
        <v>14</v>
      </c>
      <c r="R233" s="23">
        <v>0.06</v>
      </c>
      <c r="S233" s="23">
        <f t="shared" si="21"/>
        <v>0.84</v>
      </c>
      <c r="T233" s="31">
        <v>14.9</v>
      </c>
      <c r="U233" s="31">
        <f t="shared" si="22"/>
        <v>208.6</v>
      </c>
      <c r="W233" s="36">
        <v>12</v>
      </c>
      <c r="X233" s="37">
        <v>14.4</v>
      </c>
    </row>
    <row r="234" spans="1:24" x14ac:dyDescent="0.2">
      <c r="A234" s="9" t="s">
        <v>274</v>
      </c>
      <c r="B234" s="4"/>
      <c r="C234" s="15" t="s">
        <v>275</v>
      </c>
      <c r="D234" s="14"/>
      <c r="E234" s="14">
        <v>10</v>
      </c>
      <c r="F234" s="14">
        <v>580</v>
      </c>
      <c r="G234" s="25"/>
      <c r="H234" s="25"/>
      <c r="I234" s="25"/>
      <c r="J234" s="25"/>
      <c r="K234" s="25"/>
      <c r="L234" s="25"/>
      <c r="M234" s="25"/>
      <c r="N234" s="25"/>
      <c r="O234" s="25"/>
      <c r="P234" s="18">
        <f>SUM(G234:O234)</f>
        <v>0</v>
      </c>
      <c r="Q234" s="19">
        <f>$P234/$F234</f>
        <v>0</v>
      </c>
      <c r="R234" s="23">
        <v>0.06</v>
      </c>
      <c r="S234" s="23">
        <f t="shared" si="21"/>
        <v>0</v>
      </c>
      <c r="T234" s="31">
        <v>14.1</v>
      </c>
      <c r="U234" s="31">
        <f t="shared" si="22"/>
        <v>0</v>
      </c>
      <c r="W234" s="36">
        <v>16</v>
      </c>
      <c r="X234" s="37">
        <v>19.2</v>
      </c>
    </row>
    <row r="235" spans="1:24" x14ac:dyDescent="0.2">
      <c r="A235" s="9" t="s">
        <v>277</v>
      </c>
      <c r="B235" s="4"/>
      <c r="C235" s="15" t="s">
        <v>278</v>
      </c>
      <c r="D235" s="14"/>
      <c r="E235" s="14">
        <v>10</v>
      </c>
      <c r="F235" s="14">
        <v>500</v>
      </c>
      <c r="G235" s="25"/>
      <c r="H235" s="25"/>
      <c r="I235" s="25"/>
      <c r="J235" s="25"/>
      <c r="K235" s="25"/>
      <c r="L235" s="25"/>
      <c r="M235" s="25"/>
      <c r="N235" s="25"/>
      <c r="O235" s="25"/>
      <c r="P235" s="18">
        <f>SUM(G235:O235)</f>
        <v>0</v>
      </c>
      <c r="Q235" s="19">
        <f>$P235/$F235</f>
        <v>0</v>
      </c>
      <c r="R235" s="23">
        <v>0.06</v>
      </c>
      <c r="S235" s="23">
        <f t="shared" si="21"/>
        <v>0</v>
      </c>
      <c r="T235" s="31">
        <v>21.7</v>
      </c>
      <c r="U235" s="31">
        <f t="shared" si="22"/>
        <v>0</v>
      </c>
      <c r="W235" s="36">
        <v>25</v>
      </c>
      <c r="X235" s="37">
        <v>30</v>
      </c>
    </row>
    <row r="236" spans="1:24" x14ac:dyDescent="0.2">
      <c r="A236" s="9" t="s">
        <v>235</v>
      </c>
      <c r="B236" s="4"/>
      <c r="C236" s="15" t="s">
        <v>242</v>
      </c>
      <c r="D236" s="14"/>
      <c r="E236" s="14">
        <v>10</v>
      </c>
      <c r="F236" s="14">
        <v>500</v>
      </c>
      <c r="G236" s="25"/>
      <c r="H236" s="25"/>
      <c r="I236" s="25"/>
      <c r="J236" s="25"/>
      <c r="K236" s="25"/>
      <c r="L236" s="25">
        <v>500</v>
      </c>
      <c r="M236" s="25"/>
      <c r="N236" s="25">
        <v>500</v>
      </c>
      <c r="O236" s="25"/>
      <c r="P236" s="18">
        <f>SUM(G236:O236)</f>
        <v>1000</v>
      </c>
      <c r="Q236" s="19">
        <f>$P236/$F236</f>
        <v>2</v>
      </c>
      <c r="R236" s="23">
        <v>0.06</v>
      </c>
      <c r="S236" s="23">
        <f t="shared" si="21"/>
        <v>0.12</v>
      </c>
      <c r="T236" s="31">
        <v>20.8</v>
      </c>
      <c r="U236" s="31">
        <f t="shared" si="22"/>
        <v>41.6</v>
      </c>
      <c r="W236" s="36">
        <v>21</v>
      </c>
      <c r="X236" s="37">
        <v>25.2</v>
      </c>
    </row>
    <row r="237" spans="1:24" x14ac:dyDescent="0.2">
      <c r="A237" s="9" t="s">
        <v>258</v>
      </c>
      <c r="B237" s="4"/>
      <c r="C237" s="15" t="s">
        <v>259</v>
      </c>
      <c r="D237" s="14"/>
      <c r="E237" s="14">
        <v>10</v>
      </c>
      <c r="F237" s="14">
        <v>300</v>
      </c>
      <c r="G237" s="25"/>
      <c r="H237" s="25"/>
      <c r="I237" s="25"/>
      <c r="J237" s="25"/>
      <c r="K237" s="25"/>
      <c r="L237" s="25"/>
      <c r="M237" s="25"/>
      <c r="N237" s="25">
        <v>300</v>
      </c>
      <c r="O237" s="25"/>
      <c r="P237" s="18">
        <f>SUM(G237:O237)</f>
        <v>300</v>
      </c>
      <c r="Q237" s="19">
        <f>$P237/$F237</f>
        <v>1</v>
      </c>
      <c r="R237" s="23">
        <v>0.06</v>
      </c>
      <c r="S237" s="23">
        <f t="shared" si="21"/>
        <v>0.06</v>
      </c>
      <c r="T237" s="31">
        <v>12.2</v>
      </c>
      <c r="U237" s="31">
        <f t="shared" si="22"/>
        <v>12.2</v>
      </c>
      <c r="W237" s="36">
        <v>25</v>
      </c>
      <c r="X237" s="37">
        <v>30</v>
      </c>
    </row>
    <row r="238" spans="1:24" x14ac:dyDescent="0.2">
      <c r="A238" s="9" t="s">
        <v>267</v>
      </c>
      <c r="B238" s="4"/>
      <c r="C238" s="15" t="s">
        <v>268</v>
      </c>
      <c r="D238" s="14"/>
      <c r="E238" s="14">
        <v>10</v>
      </c>
      <c r="F238" s="14">
        <v>300</v>
      </c>
      <c r="G238" s="25"/>
      <c r="H238" s="25"/>
      <c r="I238" s="25"/>
      <c r="J238" s="25"/>
      <c r="K238" s="25"/>
      <c r="L238" s="25">
        <v>300</v>
      </c>
      <c r="M238" s="25"/>
      <c r="N238" s="25">
        <v>300</v>
      </c>
      <c r="O238" s="25"/>
      <c r="P238" s="18">
        <f>SUM(G238:O238)</f>
        <v>600</v>
      </c>
      <c r="Q238" s="19">
        <f>$P238/$F238</f>
        <v>2</v>
      </c>
      <c r="R238" s="23">
        <v>0.06</v>
      </c>
      <c r="S238" s="23">
        <f t="shared" si="21"/>
        <v>0.12</v>
      </c>
      <c r="T238" s="31">
        <v>17.600000000000001</v>
      </c>
      <c r="U238" s="31">
        <f t="shared" si="22"/>
        <v>35.200000000000003</v>
      </c>
      <c r="W238" s="36">
        <v>30</v>
      </c>
      <c r="X238" s="37">
        <v>36</v>
      </c>
    </row>
    <row r="239" spans="1:24" x14ac:dyDescent="0.2">
      <c r="A239" s="9" t="s">
        <v>269</v>
      </c>
      <c r="B239" s="4"/>
      <c r="C239" s="15" t="s">
        <v>270</v>
      </c>
      <c r="D239" s="14"/>
      <c r="E239" s="14">
        <v>10</v>
      </c>
      <c r="F239" s="14">
        <v>300</v>
      </c>
      <c r="G239" s="25"/>
      <c r="H239" s="25"/>
      <c r="I239" s="25"/>
      <c r="J239" s="25"/>
      <c r="K239" s="25"/>
      <c r="L239" s="25">
        <v>300</v>
      </c>
      <c r="M239" s="25"/>
      <c r="N239" s="25">
        <v>300</v>
      </c>
      <c r="O239" s="25"/>
      <c r="P239" s="18">
        <f>SUM(G239:O239)</f>
        <v>600</v>
      </c>
      <c r="Q239" s="19">
        <f>$P239/$F239</f>
        <v>2</v>
      </c>
      <c r="R239" s="23">
        <v>0.06</v>
      </c>
      <c r="S239" s="23">
        <f t="shared" si="21"/>
        <v>0.12</v>
      </c>
      <c r="T239" s="31">
        <v>14</v>
      </c>
      <c r="U239" s="31">
        <f t="shared" si="22"/>
        <v>28</v>
      </c>
      <c r="W239" s="36">
        <v>30</v>
      </c>
      <c r="X239" s="37">
        <v>36</v>
      </c>
    </row>
    <row r="240" spans="1:24" x14ac:dyDescent="0.25">
      <c r="A240" s="5" t="s">
        <v>181</v>
      </c>
      <c r="B240" s="4"/>
      <c r="C240" s="14" t="s">
        <v>187</v>
      </c>
      <c r="D240" s="14"/>
      <c r="E240" s="14">
        <v>10</v>
      </c>
      <c r="F240" s="14">
        <v>1100</v>
      </c>
      <c r="G240" s="19"/>
      <c r="H240" s="19"/>
      <c r="I240" s="19"/>
      <c r="J240" s="19"/>
      <c r="K240" s="19">
        <v>4400</v>
      </c>
      <c r="L240" s="19">
        <v>4400</v>
      </c>
      <c r="M240" s="19"/>
      <c r="N240" s="19">
        <v>4400</v>
      </c>
      <c r="O240" s="19"/>
      <c r="P240" s="18">
        <f>SUM(G240:O240)</f>
        <v>13200</v>
      </c>
      <c r="Q240" s="19">
        <f>$P240/$F240</f>
        <v>12</v>
      </c>
      <c r="R240" s="23">
        <v>0.06</v>
      </c>
      <c r="S240" s="23">
        <f t="shared" si="21"/>
        <v>0.72</v>
      </c>
      <c r="T240" s="31">
        <v>15.6</v>
      </c>
      <c r="U240" s="31">
        <f t="shared" si="22"/>
        <v>187.2</v>
      </c>
      <c r="W240" s="36">
        <v>13</v>
      </c>
      <c r="X240" s="37">
        <v>15.6</v>
      </c>
    </row>
    <row r="241" spans="1:24" x14ac:dyDescent="0.25">
      <c r="A241" s="5" t="s">
        <v>182</v>
      </c>
      <c r="B241" s="4"/>
      <c r="C241" s="14" t="s">
        <v>189</v>
      </c>
      <c r="D241" s="14"/>
      <c r="E241" s="14">
        <v>10</v>
      </c>
      <c r="F241" s="14">
        <v>750</v>
      </c>
      <c r="G241" s="19"/>
      <c r="H241" s="19"/>
      <c r="I241" s="19"/>
      <c r="J241" s="19"/>
      <c r="K241" s="19"/>
      <c r="L241" s="19">
        <v>1500</v>
      </c>
      <c r="M241" s="19"/>
      <c r="N241" s="19">
        <v>1500</v>
      </c>
      <c r="O241" s="19"/>
      <c r="P241" s="18">
        <f>SUM(G241:O241)</f>
        <v>3000</v>
      </c>
      <c r="Q241" s="19">
        <f>$P241/$F241</f>
        <v>4</v>
      </c>
      <c r="R241" s="23">
        <v>0.06</v>
      </c>
      <c r="S241" s="23">
        <f t="shared" si="21"/>
        <v>0.24</v>
      </c>
      <c r="T241" s="31">
        <v>15</v>
      </c>
      <c r="U241" s="31">
        <f t="shared" si="22"/>
        <v>60</v>
      </c>
      <c r="W241" s="36">
        <v>14.000000000000002</v>
      </c>
      <c r="X241" s="37">
        <v>16.8</v>
      </c>
    </row>
    <row r="242" spans="1:24" x14ac:dyDescent="0.25">
      <c r="A242" s="5" t="s">
        <v>183</v>
      </c>
      <c r="B242" s="4"/>
      <c r="C242" s="14" t="s">
        <v>188</v>
      </c>
      <c r="D242" s="14"/>
      <c r="E242" s="14">
        <v>10</v>
      </c>
      <c r="F242" s="14">
        <v>650</v>
      </c>
      <c r="G242" s="19"/>
      <c r="H242" s="19"/>
      <c r="I242" s="19"/>
      <c r="J242" s="19"/>
      <c r="K242" s="19">
        <v>1950</v>
      </c>
      <c r="L242" s="19">
        <v>2600</v>
      </c>
      <c r="M242" s="19"/>
      <c r="N242" s="19">
        <v>2600</v>
      </c>
      <c r="O242" s="19"/>
      <c r="P242" s="18">
        <f>SUM(G242:O242)</f>
        <v>7150</v>
      </c>
      <c r="Q242" s="19">
        <f>$P242/$F242</f>
        <v>11</v>
      </c>
      <c r="R242" s="23">
        <v>0.06</v>
      </c>
      <c r="S242" s="23">
        <f t="shared" si="21"/>
        <v>0.65999999999999992</v>
      </c>
      <c r="T242" s="31">
        <v>16.2</v>
      </c>
      <c r="U242" s="31">
        <f t="shared" si="22"/>
        <v>178.2</v>
      </c>
      <c r="W242" s="36">
        <v>16</v>
      </c>
      <c r="X242" s="37">
        <v>19.2</v>
      </c>
    </row>
    <row r="243" spans="1:24" x14ac:dyDescent="0.25">
      <c r="A243" s="5" t="s">
        <v>179</v>
      </c>
      <c r="B243" s="4"/>
      <c r="C243" s="14" t="s">
        <v>187</v>
      </c>
      <c r="D243" s="14"/>
      <c r="E243" s="14">
        <v>10</v>
      </c>
      <c r="F243" s="14">
        <v>900</v>
      </c>
      <c r="G243" s="19"/>
      <c r="H243" s="19"/>
      <c r="I243" s="19"/>
      <c r="J243" s="19"/>
      <c r="K243" s="19"/>
      <c r="L243" s="19">
        <v>900</v>
      </c>
      <c r="M243" s="19"/>
      <c r="N243" s="19">
        <v>2700</v>
      </c>
      <c r="O243" s="19"/>
      <c r="P243" s="18">
        <f>SUM(G243:O243)</f>
        <v>3600</v>
      </c>
      <c r="Q243" s="19">
        <f>$P243/$F243</f>
        <v>4</v>
      </c>
      <c r="R243" s="23">
        <v>0.06</v>
      </c>
      <c r="S243" s="23">
        <f t="shared" si="21"/>
        <v>0.24</v>
      </c>
      <c r="T243" s="31">
        <v>16</v>
      </c>
      <c r="U243" s="31">
        <f t="shared" si="22"/>
        <v>64</v>
      </c>
      <c r="W243" s="36">
        <v>18</v>
      </c>
      <c r="X243" s="37">
        <v>21.6</v>
      </c>
    </row>
    <row r="244" spans="1:24" x14ac:dyDescent="0.25">
      <c r="A244" s="5" t="s">
        <v>180</v>
      </c>
      <c r="B244" s="4"/>
      <c r="C244" s="14" t="s">
        <v>188</v>
      </c>
      <c r="D244" s="14"/>
      <c r="E244" s="14">
        <v>10</v>
      </c>
      <c r="F244" s="14">
        <v>550</v>
      </c>
      <c r="G244" s="19"/>
      <c r="H244" s="19"/>
      <c r="I244" s="19"/>
      <c r="J244" s="19"/>
      <c r="K244" s="19"/>
      <c r="L244" s="19"/>
      <c r="M244" s="19"/>
      <c r="N244" s="19">
        <v>1650</v>
      </c>
      <c r="O244" s="19"/>
      <c r="P244" s="18">
        <f>SUM(G244:O244)</f>
        <v>1650</v>
      </c>
      <c r="Q244" s="19">
        <f>$P244/$F244</f>
        <v>3</v>
      </c>
      <c r="R244" s="23">
        <v>0.06</v>
      </c>
      <c r="S244" s="23">
        <f t="shared" si="21"/>
        <v>0.18</v>
      </c>
      <c r="T244" s="31">
        <v>14.3</v>
      </c>
      <c r="U244" s="31">
        <f t="shared" si="22"/>
        <v>42.900000000000006</v>
      </c>
      <c r="W244" s="36">
        <v>20</v>
      </c>
      <c r="X244" s="37">
        <v>24</v>
      </c>
    </row>
    <row r="245" spans="1:24" x14ac:dyDescent="0.25">
      <c r="A245" s="5" t="s">
        <v>290</v>
      </c>
      <c r="B245" s="4"/>
      <c r="C245" s="14" t="s">
        <v>259</v>
      </c>
      <c r="D245" s="14"/>
      <c r="E245" s="14">
        <v>10</v>
      </c>
      <c r="F245" s="14">
        <v>220</v>
      </c>
      <c r="G245" s="19"/>
      <c r="H245" s="19"/>
      <c r="I245" s="19"/>
      <c r="J245" s="19"/>
      <c r="K245" s="19"/>
      <c r="L245" s="19"/>
      <c r="M245" s="19"/>
      <c r="N245" s="19"/>
      <c r="O245" s="19"/>
      <c r="P245" s="18">
        <f>SUM(G245:O245)</f>
        <v>0</v>
      </c>
      <c r="Q245" s="19">
        <f>$P245/$F245</f>
        <v>0</v>
      </c>
      <c r="R245" s="23">
        <v>0.06</v>
      </c>
      <c r="S245" s="23">
        <f t="shared" si="21"/>
        <v>0</v>
      </c>
      <c r="T245" s="31">
        <v>13.2</v>
      </c>
      <c r="U245" s="31">
        <f t="shared" si="22"/>
        <v>0</v>
      </c>
      <c r="W245" s="36">
        <v>35</v>
      </c>
      <c r="X245" s="37">
        <v>42</v>
      </c>
    </row>
    <row r="246" spans="1:24" x14ac:dyDescent="0.25">
      <c r="A246" s="5" t="s">
        <v>173</v>
      </c>
      <c r="B246" s="4"/>
      <c r="C246" s="14">
        <v>15</v>
      </c>
      <c r="D246" s="14"/>
      <c r="E246" s="14">
        <v>10</v>
      </c>
      <c r="F246" s="14">
        <v>1200</v>
      </c>
      <c r="G246" s="19"/>
      <c r="H246" s="19"/>
      <c r="I246" s="19"/>
      <c r="J246" s="19"/>
      <c r="K246" s="19">
        <v>1200</v>
      </c>
      <c r="L246" s="19"/>
      <c r="M246" s="19"/>
      <c r="N246" s="19">
        <v>7200</v>
      </c>
      <c r="O246" s="19"/>
      <c r="P246" s="18">
        <f>SUM(G246:O246)</f>
        <v>8400</v>
      </c>
      <c r="Q246" s="19">
        <f>$P246/$F246</f>
        <v>7</v>
      </c>
      <c r="R246" s="23">
        <v>0.06</v>
      </c>
      <c r="S246" s="23">
        <f t="shared" si="21"/>
        <v>0.42</v>
      </c>
      <c r="T246" s="31">
        <v>19.399999999999999</v>
      </c>
      <c r="U246" s="31">
        <f t="shared" si="22"/>
        <v>135.79999999999998</v>
      </c>
      <c r="W246" s="36">
        <v>12</v>
      </c>
      <c r="X246" s="37">
        <v>14.4</v>
      </c>
    </row>
    <row r="247" spans="1:24" x14ac:dyDescent="0.25">
      <c r="A247" s="5" t="s">
        <v>174</v>
      </c>
      <c r="B247" s="4"/>
      <c r="C247" s="14">
        <v>20</v>
      </c>
      <c r="D247" s="14"/>
      <c r="E247" s="14">
        <v>10</v>
      </c>
      <c r="F247" s="14">
        <v>750</v>
      </c>
      <c r="G247" s="19"/>
      <c r="H247" s="19"/>
      <c r="I247" s="19"/>
      <c r="J247" s="19">
        <v>3000</v>
      </c>
      <c r="K247" s="19">
        <v>3000</v>
      </c>
      <c r="L247" s="19">
        <v>3000</v>
      </c>
      <c r="M247" s="19"/>
      <c r="N247" s="19">
        <v>3000</v>
      </c>
      <c r="O247" s="19"/>
      <c r="P247" s="18">
        <f>SUM(G247:O247)</f>
        <v>12000</v>
      </c>
      <c r="Q247" s="19">
        <f>$P247/$F247</f>
        <v>16</v>
      </c>
      <c r="R247" s="23">
        <v>0.06</v>
      </c>
      <c r="S247" s="23">
        <f t="shared" si="21"/>
        <v>0.96</v>
      </c>
      <c r="T247" s="31">
        <v>19.8</v>
      </c>
      <c r="U247" s="31">
        <f t="shared" si="22"/>
        <v>316.8</v>
      </c>
      <c r="W247" s="36">
        <v>16</v>
      </c>
      <c r="X247" s="37">
        <v>19.2</v>
      </c>
    </row>
    <row r="248" spans="1:24" x14ac:dyDescent="0.2">
      <c r="A248" s="5" t="s">
        <v>175</v>
      </c>
      <c r="B248" s="4"/>
      <c r="C248" s="14">
        <v>25</v>
      </c>
      <c r="D248" s="14"/>
      <c r="E248" s="14">
        <v>10</v>
      </c>
      <c r="F248" s="14">
        <v>500</v>
      </c>
      <c r="G248" s="25"/>
      <c r="H248" s="25"/>
      <c r="I248" s="25"/>
      <c r="J248" s="25"/>
      <c r="K248" s="25"/>
      <c r="L248" s="25">
        <v>1000</v>
      </c>
      <c r="M248" s="25"/>
      <c r="N248" s="25">
        <v>1500</v>
      </c>
      <c r="O248" s="25"/>
      <c r="P248" s="18">
        <f>SUM(G248:O248)</f>
        <v>2500</v>
      </c>
      <c r="Q248" s="19">
        <f>$P248/$F248</f>
        <v>5</v>
      </c>
      <c r="R248" s="23">
        <v>0.06</v>
      </c>
      <c r="S248" s="23">
        <f t="shared" si="21"/>
        <v>0.3</v>
      </c>
      <c r="T248" s="31">
        <v>16.3</v>
      </c>
      <c r="U248" s="31">
        <f t="shared" si="22"/>
        <v>81.5</v>
      </c>
      <c r="W248" s="36">
        <v>19</v>
      </c>
      <c r="X248" s="37">
        <v>22.8</v>
      </c>
    </row>
    <row r="249" spans="1:24" x14ac:dyDescent="0.2">
      <c r="A249" s="5" t="s">
        <v>291</v>
      </c>
      <c r="B249" s="4"/>
      <c r="C249" s="14">
        <v>32</v>
      </c>
      <c r="D249" s="14"/>
      <c r="E249" s="14">
        <v>10</v>
      </c>
      <c r="F249" s="14">
        <v>320</v>
      </c>
      <c r="G249" s="25"/>
      <c r="H249" s="25"/>
      <c r="I249" s="25"/>
      <c r="J249" s="25"/>
      <c r="K249" s="25"/>
      <c r="L249" s="25"/>
      <c r="M249" s="25"/>
      <c r="N249" s="25"/>
      <c r="O249" s="25"/>
      <c r="P249" s="18">
        <f>SUM(G249:O249)</f>
        <v>0</v>
      </c>
      <c r="Q249" s="19">
        <f>$P249/$F249</f>
        <v>0</v>
      </c>
      <c r="R249" s="23">
        <v>0.06</v>
      </c>
      <c r="S249" s="23">
        <f t="shared" si="21"/>
        <v>0</v>
      </c>
      <c r="T249" s="31">
        <v>15.52</v>
      </c>
      <c r="U249" s="31">
        <f t="shared" si="22"/>
        <v>0</v>
      </c>
      <c r="W249" s="36">
        <v>33.58</v>
      </c>
      <c r="X249" s="37">
        <v>40.299999999999997</v>
      </c>
    </row>
    <row r="250" spans="1:24" x14ac:dyDescent="0.2">
      <c r="A250" s="5" t="s">
        <v>292</v>
      </c>
      <c r="B250" s="4"/>
      <c r="C250" s="14">
        <v>40</v>
      </c>
      <c r="D250" s="14"/>
      <c r="E250" s="14">
        <v>10</v>
      </c>
      <c r="F250" s="14">
        <v>210</v>
      </c>
      <c r="G250" s="25"/>
      <c r="H250" s="25"/>
      <c r="I250" s="25"/>
      <c r="J250" s="25"/>
      <c r="K250" s="25"/>
      <c r="L250" s="25"/>
      <c r="M250" s="25"/>
      <c r="N250" s="25"/>
      <c r="O250" s="25"/>
      <c r="P250" s="18">
        <f>SUM(G250:O250)</f>
        <v>0</v>
      </c>
      <c r="Q250" s="19">
        <f>$P250/$F250</f>
        <v>0</v>
      </c>
      <c r="R250" s="23">
        <v>0.06</v>
      </c>
      <c r="S250" s="23">
        <f t="shared" si="21"/>
        <v>0</v>
      </c>
      <c r="T250" s="31">
        <v>13</v>
      </c>
      <c r="U250" s="31">
        <f t="shared" si="22"/>
        <v>0</v>
      </c>
      <c r="W250" s="36">
        <v>39.29</v>
      </c>
      <c r="X250" s="37">
        <v>47.15</v>
      </c>
    </row>
    <row r="251" spans="1:24" x14ac:dyDescent="0.2">
      <c r="A251" s="5" t="s">
        <v>254</v>
      </c>
      <c r="B251" s="4"/>
      <c r="C251" s="14">
        <v>50</v>
      </c>
      <c r="D251" s="14"/>
      <c r="E251" s="14">
        <v>10</v>
      </c>
      <c r="F251" s="14">
        <v>140</v>
      </c>
      <c r="G251" s="25"/>
      <c r="H251" s="25"/>
      <c r="I251" s="25"/>
      <c r="J251" s="25"/>
      <c r="K251" s="25"/>
      <c r="L251" s="25"/>
      <c r="M251" s="25"/>
      <c r="N251" s="25"/>
      <c r="O251" s="25"/>
      <c r="P251" s="18">
        <f>SUM(G251:O251)</f>
        <v>0</v>
      </c>
      <c r="Q251" s="19">
        <f>$P251/$F251</f>
        <v>0</v>
      </c>
      <c r="R251" s="23">
        <v>0.06</v>
      </c>
      <c r="S251" s="23">
        <f t="shared" si="21"/>
        <v>0</v>
      </c>
      <c r="T251" s="31">
        <v>14.6</v>
      </c>
      <c r="U251" s="31">
        <f t="shared" si="22"/>
        <v>0</v>
      </c>
      <c r="W251" s="36">
        <v>63</v>
      </c>
      <c r="X251" s="37">
        <v>75.599999999999994</v>
      </c>
    </row>
    <row r="252" spans="1:24" x14ac:dyDescent="0.25">
      <c r="A252" s="5" t="s">
        <v>176</v>
      </c>
      <c r="B252" s="4"/>
      <c r="C252" s="14">
        <v>15</v>
      </c>
      <c r="D252" s="14"/>
      <c r="E252" s="14">
        <v>10</v>
      </c>
      <c r="F252" s="14">
        <v>540</v>
      </c>
      <c r="G252" s="19"/>
      <c r="H252" s="19"/>
      <c r="I252" s="19"/>
      <c r="J252" s="19"/>
      <c r="K252" s="19"/>
      <c r="L252" s="19"/>
      <c r="M252" s="19"/>
      <c r="N252" s="19">
        <v>1620</v>
      </c>
      <c r="O252" s="19"/>
      <c r="P252" s="18">
        <f>SUM(G252:O252)</f>
        <v>1620</v>
      </c>
      <c r="Q252" s="19">
        <f>$P252/$F252</f>
        <v>3</v>
      </c>
      <c r="R252" s="23">
        <v>0.06</v>
      </c>
      <c r="S252" s="23">
        <f t="shared" si="21"/>
        <v>0.18</v>
      </c>
      <c r="T252" s="31">
        <v>13.5</v>
      </c>
      <c r="U252" s="31">
        <f t="shared" si="22"/>
        <v>40.5</v>
      </c>
      <c r="W252" s="36">
        <v>28.000000000000004</v>
      </c>
      <c r="X252" s="37">
        <v>33.6</v>
      </c>
    </row>
    <row r="253" spans="1:24" x14ac:dyDescent="0.25">
      <c r="A253" s="5" t="s">
        <v>177</v>
      </c>
      <c r="B253" s="4"/>
      <c r="C253" s="14">
        <v>20</v>
      </c>
      <c r="D253" s="14"/>
      <c r="E253" s="14">
        <v>10</v>
      </c>
      <c r="F253" s="14">
        <v>350</v>
      </c>
      <c r="G253" s="19"/>
      <c r="H253" s="19"/>
      <c r="I253" s="19"/>
      <c r="J253" s="19"/>
      <c r="K253" s="19"/>
      <c r="L253" s="19"/>
      <c r="M253" s="19"/>
      <c r="N253" s="19">
        <v>700</v>
      </c>
      <c r="O253" s="19"/>
      <c r="P253" s="18">
        <f>SUM(G253:O253)</f>
        <v>700</v>
      </c>
      <c r="Q253" s="19">
        <f>$P253/$F253</f>
        <v>2</v>
      </c>
      <c r="R253" s="23">
        <v>0.06</v>
      </c>
      <c r="S253" s="23">
        <f t="shared" si="21"/>
        <v>0.12</v>
      </c>
      <c r="T253" s="31">
        <v>14.1</v>
      </c>
      <c r="U253" s="31">
        <f t="shared" si="22"/>
        <v>28.2</v>
      </c>
      <c r="W253" s="36">
        <v>34</v>
      </c>
      <c r="X253" s="37">
        <v>40.799999999999997</v>
      </c>
    </row>
    <row r="254" spans="1:24" x14ac:dyDescent="0.25">
      <c r="A254" s="5" t="s">
        <v>178</v>
      </c>
      <c r="B254" s="4"/>
      <c r="C254" s="14">
        <v>25</v>
      </c>
      <c r="D254" s="14"/>
      <c r="E254" s="14">
        <v>10</v>
      </c>
      <c r="F254" s="14">
        <v>220</v>
      </c>
      <c r="G254" s="19"/>
      <c r="H254" s="19"/>
      <c r="I254" s="19"/>
      <c r="J254" s="19"/>
      <c r="K254" s="19"/>
      <c r="L254" s="19"/>
      <c r="M254" s="19"/>
      <c r="N254" s="19">
        <v>440</v>
      </c>
      <c r="O254" s="19"/>
      <c r="P254" s="18">
        <f>SUM(G254:O254)</f>
        <v>440</v>
      </c>
      <c r="Q254" s="19">
        <f>$P254/$F254</f>
        <v>2</v>
      </c>
      <c r="R254" s="23">
        <v>0.06</v>
      </c>
      <c r="S254" s="23">
        <f t="shared" si="21"/>
        <v>0.12</v>
      </c>
      <c r="T254" s="31">
        <v>14</v>
      </c>
      <c r="U254" s="31">
        <f t="shared" si="22"/>
        <v>28</v>
      </c>
      <c r="W254" s="36">
        <v>42</v>
      </c>
      <c r="X254" s="37">
        <v>50.4</v>
      </c>
    </row>
    <row r="255" spans="1:24" x14ac:dyDescent="0.25">
      <c r="A255" s="5" t="s">
        <v>262</v>
      </c>
      <c r="B255" s="4"/>
      <c r="C255" s="14">
        <v>32</v>
      </c>
      <c r="D255" s="14"/>
      <c r="E255" s="14">
        <v>10</v>
      </c>
      <c r="F255" s="14">
        <v>100</v>
      </c>
      <c r="G255" s="19"/>
      <c r="H255" s="19"/>
      <c r="I255" s="19"/>
      <c r="J255" s="19"/>
      <c r="K255" s="19"/>
      <c r="L255" s="19"/>
      <c r="M255" s="19"/>
      <c r="N255" s="19"/>
      <c r="O255" s="19"/>
      <c r="P255" s="18">
        <f>SUM(G255:O255)</f>
        <v>0</v>
      </c>
      <c r="Q255" s="19">
        <f>$P255/$F255</f>
        <v>0</v>
      </c>
      <c r="R255" s="23">
        <v>0.06</v>
      </c>
      <c r="S255" s="23">
        <f t="shared" si="21"/>
        <v>0</v>
      </c>
      <c r="T255" s="31">
        <v>9.8000000000000007</v>
      </c>
      <c r="U255" s="31">
        <f t="shared" ref="U255:U257" si="24">T255*Q255</f>
        <v>0</v>
      </c>
      <c r="W255" s="36">
        <v>76</v>
      </c>
      <c r="X255" s="37">
        <v>91.2</v>
      </c>
    </row>
    <row r="256" spans="1:24" x14ac:dyDescent="0.25">
      <c r="A256" s="5" t="s">
        <v>263</v>
      </c>
      <c r="B256" s="4"/>
      <c r="C256" s="14">
        <v>40</v>
      </c>
      <c r="D256" s="14"/>
      <c r="E256" s="14">
        <v>10</v>
      </c>
      <c r="F256" s="14">
        <v>80</v>
      </c>
      <c r="G256" s="19"/>
      <c r="H256" s="19"/>
      <c r="I256" s="19"/>
      <c r="J256" s="19"/>
      <c r="K256" s="19"/>
      <c r="L256" s="19"/>
      <c r="M256" s="19"/>
      <c r="N256" s="19"/>
      <c r="O256" s="19"/>
      <c r="P256" s="18">
        <f>SUM(G256:O256)</f>
        <v>0</v>
      </c>
      <c r="Q256" s="19">
        <f>$P256/$F256</f>
        <v>0</v>
      </c>
      <c r="R256" s="23">
        <v>0.06</v>
      </c>
      <c r="S256" s="23">
        <f t="shared" si="21"/>
        <v>0</v>
      </c>
      <c r="T256" s="31">
        <v>9.8000000000000007</v>
      </c>
      <c r="U256" s="31">
        <f t="shared" si="24"/>
        <v>0</v>
      </c>
      <c r="W256" s="36">
        <v>95</v>
      </c>
      <c r="X256" s="37">
        <v>114</v>
      </c>
    </row>
    <row r="257" spans="1:24" x14ac:dyDescent="0.25">
      <c r="A257" s="7" t="s">
        <v>293</v>
      </c>
      <c r="B257" s="10"/>
      <c r="C257" s="16">
        <v>50</v>
      </c>
      <c r="D257" s="16"/>
      <c r="E257" s="16">
        <v>10</v>
      </c>
      <c r="F257" s="16">
        <v>50</v>
      </c>
      <c r="G257" s="20"/>
      <c r="H257" s="20"/>
      <c r="I257" s="20"/>
      <c r="J257" s="20"/>
      <c r="K257" s="20"/>
      <c r="L257" s="20"/>
      <c r="M257" s="20"/>
      <c r="N257" s="20"/>
      <c r="O257" s="20"/>
      <c r="P257" s="18">
        <f>SUM(G257:O257)</f>
        <v>0</v>
      </c>
      <c r="Q257" s="20">
        <f>$P257/$F257</f>
        <v>0</v>
      </c>
      <c r="R257" s="27">
        <v>0.06</v>
      </c>
      <c r="S257" s="27">
        <f t="shared" si="21"/>
        <v>0</v>
      </c>
      <c r="T257" s="32">
        <v>9.9</v>
      </c>
      <c r="U257" s="32">
        <f t="shared" si="24"/>
        <v>0</v>
      </c>
      <c r="W257" s="36">
        <v>129.02000000000001</v>
      </c>
      <c r="X257" s="37">
        <v>154.83000000000001</v>
      </c>
    </row>
    <row r="258" spans="1:24" x14ac:dyDescent="0.25">
      <c r="A258" s="72"/>
      <c r="B258" s="1"/>
      <c r="C258" s="72"/>
      <c r="D258" s="72"/>
      <c r="E258" s="72"/>
      <c r="F258" s="72"/>
      <c r="G258" s="21"/>
      <c r="H258" s="21"/>
      <c r="I258" s="21"/>
      <c r="J258" s="21"/>
      <c r="K258" s="21"/>
      <c r="L258" s="78"/>
      <c r="M258" s="78"/>
      <c r="N258" s="78"/>
      <c r="O258" s="21"/>
      <c r="P258" s="13"/>
      <c r="Q258" s="13"/>
      <c r="R258" s="49"/>
      <c r="S258" s="49"/>
      <c r="T258" s="50"/>
      <c r="U258" s="50"/>
    </row>
    <row r="259" spans="1:24" x14ac:dyDescent="0.25">
      <c r="A259" s="79" t="s">
        <v>271</v>
      </c>
      <c r="B259" s="79"/>
      <c r="C259" s="79"/>
      <c r="D259" s="79"/>
      <c r="E259" s="79"/>
      <c r="F259" s="79"/>
      <c r="G259" s="21">
        <f t="shared" ref="G259:Q259" si="25">SUBTOTAL(9,G8:G258)</f>
        <v>240</v>
      </c>
      <c r="H259" s="21">
        <f t="shared" si="25"/>
        <v>3400</v>
      </c>
      <c r="I259" s="21">
        <f t="shared" si="25"/>
        <v>22000</v>
      </c>
      <c r="J259" s="21">
        <f t="shared" si="25"/>
        <v>120770</v>
      </c>
      <c r="K259" s="21">
        <f t="shared" si="25"/>
        <v>158230</v>
      </c>
      <c r="L259" s="78">
        <f t="shared" ref="L259:N259" si="26">SUBTOTAL(9,L8:L258)</f>
        <v>254620</v>
      </c>
      <c r="M259" s="78">
        <f t="shared" si="26"/>
        <v>30710</v>
      </c>
      <c r="N259" s="78">
        <f t="shared" si="26"/>
        <v>318620</v>
      </c>
      <c r="O259" s="21">
        <f t="shared" si="25"/>
        <v>0</v>
      </c>
      <c r="P259" s="21">
        <f t="shared" si="25"/>
        <v>908590</v>
      </c>
      <c r="Q259" s="21">
        <f t="shared" si="25"/>
        <v>3096</v>
      </c>
      <c r="R259" s="13"/>
      <c r="S259" s="28">
        <f>SUBTOTAL(9,S8:S258)</f>
        <v>189.12000000000009</v>
      </c>
      <c r="T259" s="50"/>
      <c r="U259" s="56">
        <f>SUM(U8:U257)</f>
        <v>46951.539999999957</v>
      </c>
    </row>
    <row r="260" spans="1:24" x14ac:dyDescent="0.25">
      <c r="A260" s="79" t="s">
        <v>272</v>
      </c>
      <c r="B260" s="79"/>
      <c r="C260" s="79"/>
      <c r="D260" s="79"/>
      <c r="E260" s="79"/>
      <c r="F260" s="79"/>
      <c r="G260" s="21">
        <v>3</v>
      </c>
      <c r="H260" s="21">
        <v>50</v>
      </c>
      <c r="I260" s="21">
        <v>18</v>
      </c>
      <c r="J260" s="21">
        <v>267</v>
      </c>
      <c r="K260" s="21">
        <v>370</v>
      </c>
      <c r="L260" s="78">
        <v>953</v>
      </c>
      <c r="M260" s="78">
        <v>334</v>
      </c>
      <c r="N260" s="78">
        <v>1101</v>
      </c>
      <c r="O260" s="21">
        <v>0</v>
      </c>
      <c r="P260" s="21"/>
      <c r="Q260" s="21">
        <f>SUM(G260:O260)</f>
        <v>3096</v>
      </c>
      <c r="R260" s="73"/>
      <c r="S260" s="74"/>
      <c r="T260" s="74"/>
      <c r="U260" s="74"/>
    </row>
    <row r="261" spans="1:24" x14ac:dyDescent="0.25">
      <c r="A261" s="79" t="s">
        <v>273</v>
      </c>
      <c r="B261" s="79"/>
      <c r="C261" s="79"/>
      <c r="D261" s="79"/>
      <c r="E261" s="79"/>
      <c r="F261" s="79"/>
      <c r="G261" s="28"/>
      <c r="H261" s="28">
        <v>3</v>
      </c>
      <c r="I261" s="28">
        <v>1.08</v>
      </c>
      <c r="J261" s="28">
        <v>14.23</v>
      </c>
      <c r="K261" s="28">
        <v>21.61</v>
      </c>
      <c r="L261" s="28">
        <v>58.2</v>
      </c>
      <c r="M261" s="28">
        <v>21.41</v>
      </c>
      <c r="N261" s="28">
        <v>69.86</v>
      </c>
      <c r="O261" s="28">
        <v>0</v>
      </c>
      <c r="P261" s="21"/>
      <c r="Q261" s="28">
        <f>SUM(G261:O261)</f>
        <v>189.39</v>
      </c>
      <c r="R261" s="75"/>
    </row>
    <row r="262" spans="1:24" x14ac:dyDescent="0.25">
      <c r="A262" s="76"/>
      <c r="B262" s="76"/>
      <c r="C262" s="76"/>
      <c r="D262" s="76"/>
      <c r="E262" s="76"/>
      <c r="F262" s="76"/>
    </row>
    <row r="263" spans="1:24" x14ac:dyDescent="0.25">
      <c r="G263" s="12"/>
    </row>
  </sheetData>
  <mergeCells count="12">
    <mergeCell ref="W4:W5"/>
    <mergeCell ref="X4:X5"/>
    <mergeCell ref="W188:X188"/>
    <mergeCell ref="T5:U5"/>
    <mergeCell ref="A260:F260"/>
    <mergeCell ref="A261:F261"/>
    <mergeCell ref="A259:F259"/>
    <mergeCell ref="A3:S3"/>
    <mergeCell ref="A4:F4"/>
    <mergeCell ref="E5:F5"/>
    <mergeCell ref="P5:Q5"/>
    <mergeCell ref="R5:S5"/>
  </mergeCells>
  <pageMargins left="0.23622047244094491" right="0.23622047244094491" top="0.74803149606299213" bottom="0.74803149606299213" header="0" footer="0"/>
  <pageSetup paperSize="9" scale="5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Balance Orders</vt:lpstr>
      <vt:lpstr>'Balance Orders'!Print_Titles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Mina Doshi</cp:lastModifiedBy>
  <cp:lastPrinted>2026-02-05T07:40:40Z</cp:lastPrinted>
  <dcterms:created xsi:type="dcterms:W3CDTF">2022-01-17T12:52:37Z</dcterms:created>
  <dcterms:modified xsi:type="dcterms:W3CDTF">2026-05-26T10:22:00Z</dcterms:modified>
</cp:coreProperties>
</file>