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545"/>
  </bookViews>
  <sheets>
    <sheet name="PP" sheetId="1" r:id="rId1"/>
    <sheet name="GRN" sheetId="2" r:id="rId2"/>
  </sheets>
  <definedNames>
    <definedName name="_xlnm._FilterDatabase" localSheetId="1" hidden="1">GRN!$V$4:$V$23</definedName>
    <definedName name="_xlnm._FilterDatabase" localSheetId="0" hidden="1">PP!$B$4:$H$19</definedName>
  </definedNames>
  <calcPr calcId="152511"/>
</workbook>
</file>

<file path=xl/calcChain.xml><?xml version="1.0" encoding="utf-8"?>
<calcChain xmlns="http://schemas.openxmlformats.org/spreadsheetml/2006/main">
  <c r="I23" i="2" l="1"/>
  <c r="AE22" i="2"/>
  <c r="AD22" i="2"/>
  <c r="AC22" i="2"/>
  <c r="Z22" i="2"/>
  <c r="S22" i="2"/>
  <c r="T22" i="2" s="1"/>
  <c r="R22" i="2"/>
  <c r="P22" i="2"/>
  <c r="O22" i="2"/>
  <c r="J22" i="2"/>
  <c r="U22" i="2" s="1"/>
  <c r="W22" i="2" s="1"/>
  <c r="AE21" i="2"/>
  <c r="AD21" i="2" s="1"/>
  <c r="AC21" i="2"/>
  <c r="Z21" i="2"/>
  <c r="T21" i="2"/>
  <c r="S21" i="2"/>
  <c r="R21" i="2"/>
  <c r="J21" i="2"/>
  <c r="P21" i="2" s="1"/>
  <c r="AC20" i="2"/>
  <c r="AE20" i="2" s="1"/>
  <c r="AD20" i="2" s="1"/>
  <c r="Z20" i="2"/>
  <c r="S20" i="2"/>
  <c r="R20" i="2"/>
  <c r="T20" i="2" s="1"/>
  <c r="U20" i="2" s="1"/>
  <c r="W20" i="2" s="1"/>
  <c r="O20" i="2"/>
  <c r="K20" i="2"/>
  <c r="J20" i="2"/>
  <c r="P20" i="2" s="1"/>
  <c r="AE19" i="2"/>
  <c r="AD19" i="2"/>
  <c r="AC19" i="2"/>
  <c r="Z19" i="2"/>
  <c r="S19" i="2"/>
  <c r="T19" i="2" s="1"/>
  <c r="R19" i="2"/>
  <c r="O19" i="2"/>
  <c r="J19" i="2"/>
  <c r="AE18" i="2"/>
  <c r="AD18" i="2" s="1"/>
  <c r="AC18" i="2"/>
  <c r="Z18" i="2"/>
  <c r="T18" i="2"/>
  <c r="S18" i="2"/>
  <c r="R18" i="2"/>
  <c r="J18" i="2"/>
  <c r="O18" i="2" s="1"/>
  <c r="AC17" i="2"/>
  <c r="AE17" i="2" s="1"/>
  <c r="AD17" i="2" s="1"/>
  <c r="Z17" i="2"/>
  <c r="S17" i="2"/>
  <c r="R17" i="2"/>
  <c r="T17" i="2" s="1"/>
  <c r="U17" i="2" s="1"/>
  <c r="W17" i="2" s="1"/>
  <c r="P17" i="2"/>
  <c r="O17" i="2"/>
  <c r="K17" i="2"/>
  <c r="J17" i="2"/>
  <c r="AE16" i="2"/>
  <c r="AD16" i="2"/>
  <c r="AC16" i="2"/>
  <c r="Z16" i="2"/>
  <c r="S16" i="2"/>
  <c r="T16" i="2" s="1"/>
  <c r="R16" i="2"/>
  <c r="P16" i="2"/>
  <c r="O16" i="2"/>
  <c r="J16" i="2"/>
  <c r="AE15" i="2"/>
  <c r="AD15" i="2" s="1"/>
  <c r="AC15" i="2"/>
  <c r="Z15" i="2"/>
  <c r="T15" i="2"/>
  <c r="S15" i="2"/>
  <c r="R15" i="2"/>
  <c r="P15" i="2"/>
  <c r="J15" i="2"/>
  <c r="O15" i="2" s="1"/>
  <c r="AC14" i="2"/>
  <c r="AE14" i="2" s="1"/>
  <c r="AD14" i="2" s="1"/>
  <c r="Z14" i="2"/>
  <c r="S14" i="2"/>
  <c r="R14" i="2"/>
  <c r="T14" i="2" s="1"/>
  <c r="U14" i="2" s="1"/>
  <c r="W14" i="2" s="1"/>
  <c r="O14" i="2"/>
  <c r="K14" i="2"/>
  <c r="J14" i="2"/>
  <c r="P14" i="2" s="1"/>
  <c r="AE13" i="2"/>
  <c r="AD13" i="2"/>
  <c r="AC13" i="2"/>
  <c r="Z13" i="2"/>
  <c r="S13" i="2"/>
  <c r="T13" i="2" s="1"/>
  <c r="R13" i="2"/>
  <c r="O13" i="2"/>
  <c r="J13" i="2"/>
  <c r="AE12" i="2"/>
  <c r="AD12" i="2" s="1"/>
  <c r="AC12" i="2"/>
  <c r="Z12" i="2"/>
  <c r="T12" i="2"/>
  <c r="S12" i="2"/>
  <c r="R12" i="2"/>
  <c r="J12" i="2"/>
  <c r="O12" i="2" s="1"/>
  <c r="AC11" i="2"/>
  <c r="AE11" i="2" s="1"/>
  <c r="AD11" i="2" s="1"/>
  <c r="Z11" i="2"/>
  <c r="S11" i="2"/>
  <c r="R11" i="2"/>
  <c r="T11" i="2" s="1"/>
  <c r="U11" i="2" s="1"/>
  <c r="W11" i="2" s="1"/>
  <c r="P11" i="2"/>
  <c r="O11" i="2"/>
  <c r="K11" i="2"/>
  <c r="J11" i="2"/>
  <c r="AE10" i="2"/>
  <c r="AD10" i="2"/>
  <c r="AC10" i="2"/>
  <c r="Z10" i="2"/>
  <c r="S10" i="2"/>
  <c r="T10" i="2" s="1"/>
  <c r="R10" i="2"/>
  <c r="P10" i="2"/>
  <c r="O10" i="2"/>
  <c r="J10" i="2"/>
  <c r="U10" i="2" s="1"/>
  <c r="W10" i="2" s="1"/>
  <c r="AE9" i="2"/>
  <c r="AD9" i="2" s="1"/>
  <c r="AC9" i="2"/>
  <c r="Z9" i="2"/>
  <c r="T9" i="2"/>
  <c r="S9" i="2"/>
  <c r="R9" i="2"/>
  <c r="J9" i="2"/>
  <c r="P9" i="2" s="1"/>
  <c r="AC8" i="2"/>
  <c r="AE8" i="2" s="1"/>
  <c r="AD8" i="2" s="1"/>
  <c r="Z8" i="2"/>
  <c r="S8" i="2"/>
  <c r="R8" i="2"/>
  <c r="T8" i="2" s="1"/>
  <c r="U8" i="2" s="1"/>
  <c r="W8" i="2" s="1"/>
  <c r="O8" i="2"/>
  <c r="K8" i="2"/>
  <c r="J8" i="2"/>
  <c r="P8" i="2" s="1"/>
  <c r="AE7" i="2"/>
  <c r="AD7" i="2"/>
  <c r="AC7" i="2"/>
  <c r="Z7" i="2"/>
  <c r="S7" i="2"/>
  <c r="T7" i="2" s="1"/>
  <c r="R7" i="2"/>
  <c r="O7" i="2"/>
  <c r="J7" i="2"/>
  <c r="AE6" i="2"/>
  <c r="AD6" i="2" s="1"/>
  <c r="AC6" i="2"/>
  <c r="Z6" i="2"/>
  <c r="Z23" i="2" s="1"/>
  <c r="T6" i="2"/>
  <c r="S6" i="2"/>
  <c r="R6" i="2"/>
  <c r="P6" i="2"/>
  <c r="J6" i="2"/>
  <c r="O6" i="2" s="1"/>
  <c r="AC5" i="2"/>
  <c r="AC23" i="2" s="1"/>
  <c r="Z5" i="2"/>
  <c r="S5" i="2"/>
  <c r="R5" i="2"/>
  <c r="T5" i="2" s="1"/>
  <c r="U5" i="2" s="1"/>
  <c r="P5" i="2"/>
  <c r="O5" i="2"/>
  <c r="K5" i="2"/>
  <c r="J5" i="2"/>
  <c r="U13" i="2" l="1"/>
  <c r="W13" i="2" s="1"/>
  <c r="W5" i="2"/>
  <c r="W23" i="2" s="1"/>
  <c r="U7" i="2"/>
  <c r="W7" i="2" s="1"/>
  <c r="U16" i="2"/>
  <c r="W16" i="2" s="1"/>
  <c r="U19" i="2"/>
  <c r="W19" i="2" s="1"/>
  <c r="P12" i="2"/>
  <c r="P23" i="2" s="1"/>
  <c r="P18" i="2"/>
  <c r="P7" i="2"/>
  <c r="K9" i="2"/>
  <c r="U9" i="2"/>
  <c r="W9" i="2" s="1"/>
  <c r="P13" i="2"/>
  <c r="K15" i="2"/>
  <c r="U15" i="2"/>
  <c r="W15" i="2" s="1"/>
  <c r="P19" i="2"/>
  <c r="K21" i="2"/>
  <c r="U21" i="2"/>
  <c r="W21" i="2" s="1"/>
  <c r="AE5" i="2"/>
  <c r="O9" i="2"/>
  <c r="O23" i="2" s="1"/>
  <c r="K10" i="2"/>
  <c r="K16" i="2"/>
  <c r="O21" i="2"/>
  <c r="K22" i="2"/>
  <c r="J23" i="2"/>
  <c r="K6" i="2"/>
  <c r="K23" i="2" s="1"/>
  <c r="U6" i="2"/>
  <c r="W6" i="2" s="1"/>
  <c r="K12" i="2"/>
  <c r="U12" i="2"/>
  <c r="W12" i="2" s="1"/>
  <c r="K18" i="2"/>
  <c r="U18" i="2"/>
  <c r="W18" i="2" s="1"/>
  <c r="K7" i="2"/>
  <c r="K13" i="2"/>
  <c r="K19" i="2"/>
  <c r="AE23" i="2" l="1"/>
  <c r="AD5" i="2"/>
  <c r="U23" i="2"/>
  <c r="AE19" i="1" l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U8" i="1" l="1"/>
  <c r="T8" i="1"/>
  <c r="U16" i="1"/>
  <c r="T16" i="1"/>
  <c r="U15" i="1"/>
  <c r="T15" i="1"/>
  <c r="U14" i="1"/>
  <c r="T14" i="1"/>
  <c r="U7" i="1"/>
  <c r="T7" i="1"/>
  <c r="U19" i="1"/>
  <c r="T19" i="1"/>
  <c r="U13" i="1"/>
  <c r="T13" i="1"/>
  <c r="U12" i="1"/>
  <c r="T12" i="1"/>
  <c r="U11" i="1"/>
  <c r="T11" i="1"/>
  <c r="U6" i="1"/>
  <c r="T6" i="1"/>
  <c r="U5" i="1"/>
  <c r="T5" i="1"/>
  <c r="U18" i="1"/>
  <c r="T18" i="1"/>
  <c r="U17" i="1"/>
  <c r="T17" i="1"/>
  <c r="U10" i="1"/>
  <c r="T10" i="1"/>
  <c r="U9" i="1"/>
  <c r="T9" i="1"/>
  <c r="V19" i="1" l="1"/>
  <c r="V7" i="1"/>
  <c r="V8" i="1"/>
  <c r="V6" i="1"/>
  <c r="V13" i="1"/>
  <c r="V16" i="1"/>
  <c r="V10" i="1"/>
  <c r="V14" i="1"/>
  <c r="V17" i="1"/>
  <c r="V11" i="1"/>
  <c r="V18" i="1"/>
  <c r="V5" i="1"/>
  <c r="V12" i="1"/>
  <c r="V15" i="1"/>
  <c r="V9" i="1"/>
  <c r="AB8" i="1" l="1"/>
  <c r="AB16" i="1"/>
  <c r="AB15" i="1"/>
  <c r="AB14" i="1"/>
  <c r="AB7" i="1"/>
  <c r="AB19" i="1"/>
  <c r="AB13" i="1"/>
  <c r="AB12" i="1"/>
  <c r="AB11" i="1"/>
  <c r="AB6" i="1"/>
  <c r="AB5" i="1"/>
  <c r="AB18" i="1"/>
  <c r="AB17" i="1"/>
  <c r="AB10" i="1"/>
  <c r="AB9" i="1"/>
  <c r="AG8" i="1"/>
  <c r="AF8" i="1" s="1"/>
  <c r="AG16" i="1"/>
  <c r="AF16" i="1" s="1"/>
  <c r="AG15" i="1"/>
  <c r="AF15" i="1" s="1"/>
  <c r="AG14" i="1"/>
  <c r="AF14" i="1" s="1"/>
  <c r="AG7" i="1"/>
  <c r="AF7" i="1" s="1"/>
  <c r="AG19" i="1"/>
  <c r="AF19" i="1" s="1"/>
  <c r="AG13" i="1"/>
  <c r="AF13" i="1" s="1"/>
  <c r="AG12" i="1"/>
  <c r="AF12" i="1" s="1"/>
  <c r="AG11" i="1"/>
  <c r="AF11" i="1" s="1"/>
  <c r="AG6" i="1"/>
  <c r="AF6" i="1" s="1"/>
  <c r="AG5" i="1"/>
  <c r="AF5" i="1" s="1"/>
  <c r="AG18" i="1"/>
  <c r="AF18" i="1" s="1"/>
  <c r="AG17" i="1"/>
  <c r="AF17" i="1" s="1"/>
  <c r="AG10" i="1"/>
  <c r="AF10" i="1" s="1"/>
  <c r="AG9" i="1"/>
  <c r="AF9" i="1" s="1"/>
  <c r="K20" i="1" l="1"/>
  <c r="P18" i="1"/>
  <c r="P17" i="1"/>
  <c r="L15" i="1"/>
  <c r="L14" i="1"/>
  <c r="L19" i="1"/>
  <c r="L18" i="1"/>
  <c r="L17" i="1"/>
  <c r="L16" i="1"/>
  <c r="L9" i="1"/>
  <c r="P9" i="1"/>
  <c r="L5" i="1"/>
  <c r="P5" i="1"/>
  <c r="L12" i="1"/>
  <c r="L8" i="1"/>
  <c r="P8" i="1"/>
  <c r="P6" i="1"/>
  <c r="P10" i="1"/>
  <c r="L13" i="1"/>
  <c r="L7" i="1"/>
  <c r="L11" i="1"/>
  <c r="L10" i="1"/>
  <c r="L6" i="1"/>
  <c r="AE20" i="1"/>
  <c r="M12" i="1" l="1"/>
  <c r="W12" i="1"/>
  <c r="Y12" i="1" s="1"/>
  <c r="R16" i="1"/>
  <c r="W16" i="1"/>
  <c r="Y16" i="1" s="1"/>
  <c r="M6" i="1"/>
  <c r="W6" i="1"/>
  <c r="Y6" i="1" s="1"/>
  <c r="Q10" i="1"/>
  <c r="W10" i="1"/>
  <c r="Y10" i="1" s="1"/>
  <c r="M17" i="1"/>
  <c r="W17" i="1"/>
  <c r="Y17" i="1" s="1"/>
  <c r="Q13" i="1"/>
  <c r="W13" i="1"/>
  <c r="Y13" i="1" s="1"/>
  <c r="R19" i="1"/>
  <c r="W19" i="1"/>
  <c r="Y19" i="1" s="1"/>
  <c r="M19" i="1"/>
  <c r="M11" i="1"/>
  <c r="W11" i="1"/>
  <c r="Y11" i="1" s="1"/>
  <c r="M5" i="1"/>
  <c r="W5" i="1"/>
  <c r="Y5" i="1" s="1"/>
  <c r="Q18" i="1"/>
  <c r="W18" i="1"/>
  <c r="Y18" i="1" s="1"/>
  <c r="W9" i="1"/>
  <c r="Y9" i="1" s="1"/>
  <c r="R15" i="1"/>
  <c r="W15" i="1"/>
  <c r="Y15" i="1" s="1"/>
  <c r="Q7" i="1"/>
  <c r="W7" i="1"/>
  <c r="Y7" i="1" s="1"/>
  <c r="Q8" i="1"/>
  <c r="W8" i="1"/>
  <c r="Y8" i="1" s="1"/>
  <c r="R14" i="1"/>
  <c r="W14" i="1"/>
  <c r="Y14" i="1" s="1"/>
  <c r="M7" i="1"/>
  <c r="Q17" i="1"/>
  <c r="Q11" i="1"/>
  <c r="Q19" i="1"/>
  <c r="R11" i="1"/>
  <c r="M16" i="1"/>
  <c r="R6" i="1"/>
  <c r="R17" i="1"/>
  <c r="Q15" i="1"/>
  <c r="M15" i="1"/>
  <c r="R10" i="1"/>
  <c r="Q5" i="1"/>
  <c r="M10" i="1"/>
  <c r="Q6" i="1"/>
  <c r="M9" i="1"/>
  <c r="M8" i="1"/>
  <c r="Q12" i="1"/>
  <c r="R12" i="1"/>
  <c r="R5" i="1"/>
  <c r="AB20" i="1"/>
  <c r="R8" i="1"/>
  <c r="L20" i="1"/>
  <c r="Q9" i="1"/>
  <c r="Q16" i="1"/>
  <c r="R9" i="1"/>
  <c r="R18" i="1"/>
  <c r="Q14" i="1"/>
  <c r="M18" i="1"/>
  <c r="R13" i="1"/>
  <c r="M14" i="1"/>
  <c r="M13" i="1"/>
  <c r="R7" i="1"/>
  <c r="Y20" i="1" l="1"/>
  <c r="W20" i="1"/>
  <c r="M20" i="1"/>
  <c r="R20" i="1"/>
  <c r="Q20" i="1"/>
  <c r="AG20" i="1"/>
</calcChain>
</file>

<file path=xl/sharedStrings.xml><?xml version="1.0" encoding="utf-8"?>
<sst xmlns="http://schemas.openxmlformats.org/spreadsheetml/2006/main" count="262" uniqueCount="142">
  <si>
    <t>CODE</t>
  </si>
  <si>
    <t>DESCRIPTION</t>
  </si>
  <si>
    <t>PACKING</t>
  </si>
  <si>
    <t xml:space="preserve">UNIT </t>
  </si>
  <si>
    <t>BOX</t>
  </si>
  <si>
    <t>Bar Codes</t>
  </si>
  <si>
    <t>9319696015030</t>
  </si>
  <si>
    <t>9319696150106</t>
  </si>
  <si>
    <t>9319696015054</t>
  </si>
  <si>
    <t>9319696150649</t>
  </si>
  <si>
    <t xml:space="preserve">GD CODE </t>
  </si>
  <si>
    <t>SIZE</t>
  </si>
  <si>
    <t>LENGTH</t>
  </si>
  <si>
    <t>MM</t>
  </si>
  <si>
    <t>Quantity</t>
  </si>
  <si>
    <t>Pcs</t>
  </si>
  <si>
    <t>Box</t>
  </si>
  <si>
    <t>Volumn</t>
  </si>
  <si>
    <t>9319696150144</t>
  </si>
  <si>
    <t>9319696020027</t>
  </si>
  <si>
    <t>9319696020034</t>
  </si>
  <si>
    <t>9319696200139</t>
  </si>
  <si>
    <t>PP 1503 P/RISER M X M
80 x 15MM</t>
  </si>
  <si>
    <t>PP 1505 P/RISER M X M
125 x 15MM</t>
  </si>
  <si>
    <t>CUT 15 Flexi Cut Off Riser
15MM</t>
  </si>
  <si>
    <t>CUTMF 15 M/F Cut Off Riser
15MM</t>
  </si>
  <si>
    <t>PP 2002 P/RISER M X M
50 X 20MM</t>
  </si>
  <si>
    <t>PP 2003 P/RISER M X M
80 X 20MM</t>
  </si>
  <si>
    <t>FFC 20 F/F Couplings
20MM</t>
  </si>
  <si>
    <t>MFA 15 M/F Adaptors
15MM</t>
  </si>
  <si>
    <t>TOTAL</t>
  </si>
  <si>
    <t>PP 2006 P/RISER M X M
150 X 20MM</t>
  </si>
  <si>
    <t>9319696020065</t>
  </si>
  <si>
    <t>Stickers/Box</t>
  </si>
  <si>
    <t>Lables</t>
  </si>
  <si>
    <t>Bg/Box</t>
  </si>
  <si>
    <t>P/Box</t>
  </si>
  <si>
    <t>Total</t>
  </si>
  <si>
    <t>BARCODE</t>
  </si>
  <si>
    <t>UNIT</t>
  </si>
  <si>
    <t>PUR</t>
  </si>
  <si>
    <t>PKG, PUR, SALE</t>
  </si>
  <si>
    <t>PKG, BARCODE, PUR, SALE</t>
  </si>
  <si>
    <t>SALE</t>
  </si>
  <si>
    <t>Nett wt/
Box</t>
  </si>
  <si>
    <t>Gross Wt./
Box</t>
  </si>
  <si>
    <t>Total Nett
KGS</t>
  </si>
  <si>
    <t>Total Gross
Kgs</t>
  </si>
  <si>
    <t>TYPE</t>
  </si>
  <si>
    <t>UPS</t>
  </si>
  <si>
    <t>SHEETS</t>
  </si>
  <si>
    <t>REQD</t>
  </si>
  <si>
    <t>9313146000454</t>
  </si>
  <si>
    <t>PPA 1506 ARTIC. P/RISER 
150 X 15MM</t>
  </si>
  <si>
    <t>9319696215065</t>
  </si>
  <si>
    <t>PPA 1508 ARTIC. P/RISER
200 X 15MM</t>
  </si>
  <si>
    <t>9319696215089</t>
  </si>
  <si>
    <t>PPA 2008 ARTIC. P/RISER
200 X 20MM</t>
  </si>
  <si>
    <t>9319696220083</t>
  </si>
  <si>
    <t>PP 2504 P/RISER M X M
100 X 25MM</t>
  </si>
  <si>
    <t>9319696025046</t>
  </si>
  <si>
    <t>PP 2506 P/RISER M X M
150 X 25MM</t>
  </si>
  <si>
    <t>9391696025060</t>
  </si>
  <si>
    <t>PKG</t>
  </si>
  <si>
    <t>1"</t>
  </si>
  <si>
    <t>HSN CODES</t>
  </si>
  <si>
    <t>RBI REFERENCE</t>
  </si>
  <si>
    <t>RATE @ Rs.</t>
  </si>
  <si>
    <t>Unit</t>
  </si>
  <si>
    <t>GL CODE</t>
  </si>
  <si>
    <t>8109-04</t>
  </si>
  <si>
    <t>8109-10</t>
  </si>
  <si>
    <t>8109-05</t>
  </si>
  <si>
    <t>PKG, SALE</t>
  </si>
  <si>
    <t>PKG, PUR</t>
  </si>
  <si>
    <t>PP1503</t>
  </si>
  <si>
    <t>PP1505</t>
  </si>
  <si>
    <t>PPA1506</t>
  </si>
  <si>
    <t>PPA1508</t>
  </si>
  <si>
    <t>CUT15</t>
  </si>
  <si>
    <t>CUTMF15</t>
  </si>
  <si>
    <t>PP2002</t>
  </si>
  <si>
    <t>PP2003</t>
  </si>
  <si>
    <t>PP2006</t>
  </si>
  <si>
    <t>PPA2008</t>
  </si>
  <si>
    <t>FFC20</t>
  </si>
  <si>
    <t>PP2504</t>
  </si>
  <si>
    <t>PP2506</t>
  </si>
  <si>
    <t>PP2506PH</t>
  </si>
  <si>
    <t>MFA15</t>
  </si>
  <si>
    <t>VALUE - 06.02.23</t>
  </si>
  <si>
    <t>06.02.2023</t>
  </si>
  <si>
    <t>90443200 P/RISER M X M
1" x 1" x 150 MM</t>
  </si>
  <si>
    <t>FOB/100 PCS US$</t>
  </si>
  <si>
    <t>PO NO : 03455 DT 16.02.2026</t>
  </si>
  <si>
    <t>01.01.2025</t>
  </si>
  <si>
    <t>Sheets</t>
  </si>
  <si>
    <t>VALUE - 01.11.21</t>
  </si>
  <si>
    <t>Reqd</t>
  </si>
  <si>
    <t>GRC40</t>
  </si>
  <si>
    <t>40MM CAP</t>
  </si>
  <si>
    <t>GRE15</t>
  </si>
  <si>
    <t>15MM F/F ELBOW</t>
  </si>
  <si>
    <t>GRE20</t>
  </si>
  <si>
    <t>20MM F/F ELBOW</t>
  </si>
  <si>
    <t>GRE25</t>
  </si>
  <si>
    <t>25MM F/F ELBOW</t>
  </si>
  <si>
    <t>GRFTF-15</t>
  </si>
  <si>
    <t>15 mm GR F/M TANK FITTING</t>
  </si>
  <si>
    <t>9319696500208</t>
  </si>
  <si>
    <t>GRFTF-20</t>
  </si>
  <si>
    <t>20 mm GR F/M TANK FITTING</t>
  </si>
  <si>
    <t>9319696500307</t>
  </si>
  <si>
    <t>GRFTF-25</t>
  </si>
  <si>
    <t>25 mm GR F/M TANK FITTING</t>
  </si>
  <si>
    <t>9319696500406</t>
  </si>
  <si>
    <t>GRMHT15</t>
  </si>
  <si>
    <t>15MM MALE HOSE TAIL</t>
  </si>
  <si>
    <t>GRMHT20</t>
  </si>
  <si>
    <t>20MM MALE HOSE TAIL</t>
  </si>
  <si>
    <t>GRMHT25</t>
  </si>
  <si>
    <t>25MM MALE HOSE TAIL</t>
  </si>
  <si>
    <t>GRN15</t>
  </si>
  <si>
    <t>15MM NIPPLE</t>
  </si>
  <si>
    <t>GRN20</t>
  </si>
  <si>
    <t>20MM NIPPLE</t>
  </si>
  <si>
    <t>GRN25</t>
  </si>
  <si>
    <t>25MM NIPPLE</t>
  </si>
  <si>
    <t>GRRB2015</t>
  </si>
  <si>
    <t>20*15</t>
  </si>
  <si>
    <t>20 X 15MM RED. BUSH</t>
  </si>
  <si>
    <t>GRRB2515</t>
  </si>
  <si>
    <t>25*15</t>
  </si>
  <si>
    <t>25 X 15MM RED. BUSH</t>
  </si>
  <si>
    <t>GRRB2520</t>
  </si>
  <si>
    <t>25*20</t>
  </si>
  <si>
    <t>25 X 20MM RED. BUSH</t>
  </si>
  <si>
    <t>GRRB4025</t>
  </si>
  <si>
    <t>40*25</t>
  </si>
  <si>
    <t>40 X 25MM RED. BUSH</t>
  </si>
  <si>
    <t>GRS20</t>
  </si>
  <si>
    <t>20MM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</si>
</sst>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000"/>
    <numFmt numFmtId="166" formatCode="&quot;$&quot;#,##0.00"/>
    <numFmt numFmtId="167" formatCode="&quot;Rs.&quot;\ #,##0.00"/>
    <numFmt numFmtId="168" formatCode="&quot;₹&quot;\ #,##0.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  <font>
      <sz val="6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 wrapText="1"/>
    </xf>
    <xf numFmtId="0" fontId="0" fillId="0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65" fontId="2" fillId="0" borderId="1" xfId="0" quotePrefix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vertical="center"/>
    </xf>
    <xf numFmtId="2" fontId="1" fillId="0" borderId="1" xfId="0" applyNumberFormat="1" applyFont="1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68" fontId="2" fillId="0" borderId="1" xfId="0" applyNumberFormat="1" applyFont="1" applyFill="1" applyBorder="1" applyAlignment="1">
      <alignment vertical="center"/>
    </xf>
    <xf numFmtId="168" fontId="0" fillId="0" borderId="1" xfId="0" applyNumberFormat="1" applyFill="1" applyBorder="1" applyAlignment="1">
      <alignment vertical="center"/>
    </xf>
    <xf numFmtId="168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shrinkToFit="1"/>
    </xf>
    <xf numFmtId="166" fontId="2" fillId="0" borderId="1" xfId="1" applyNumberFormat="1" applyFont="1" applyFill="1" applyBorder="1" applyAlignment="1">
      <alignment vertical="center"/>
    </xf>
    <xf numFmtId="166" fontId="2" fillId="0" borderId="1" xfId="1" applyNumberFormat="1" applyFill="1" applyBorder="1" applyAlignment="1">
      <alignment vertical="center"/>
    </xf>
    <xf numFmtId="167" fontId="0" fillId="0" borderId="1" xfId="0" applyNumberFormat="1" applyFill="1" applyBorder="1" applyAlignment="1">
      <alignment vertical="center"/>
    </xf>
    <xf numFmtId="168" fontId="1" fillId="0" borderId="1" xfId="1" applyNumberFormat="1" applyFont="1" applyFill="1" applyBorder="1" applyAlignment="1">
      <alignment vertical="center"/>
    </xf>
    <xf numFmtId="166" fontId="1" fillId="0" borderId="1" xfId="1" applyNumberFormat="1" applyFont="1" applyFill="1" applyBorder="1" applyAlignment="1">
      <alignment vertical="center"/>
    </xf>
    <xf numFmtId="167" fontId="1" fillId="0" borderId="0" xfId="1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vertical="center" wrapText="1"/>
    </xf>
    <xf numFmtId="0" fontId="1" fillId="0" borderId="5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7" fontId="1" fillId="0" borderId="1" xfId="0" applyNumberFormat="1" applyFont="1" applyFill="1" applyBorder="1" applyAlignment="1">
      <alignment vertical="center" shrinkToFit="1"/>
    </xf>
    <xf numFmtId="168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/>
    <xf numFmtId="1" fontId="0" fillId="0" borderId="1" xfId="0" applyNumberFormat="1" applyBorder="1" applyAlignment="1">
      <alignment horizontal="center" vertical="center"/>
    </xf>
    <xf numFmtId="168" fontId="2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shrinkToFi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/>
    <xf numFmtId="166" fontId="0" fillId="0" borderId="1" xfId="0" applyNumberFormat="1" applyFill="1" applyBorder="1" applyAlignment="1">
      <alignment vertical="center"/>
    </xf>
    <xf numFmtId="4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8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7" fontId="1" fillId="0" borderId="1" xfId="1" applyNumberFormat="1" applyFont="1" applyBorder="1" applyAlignment="1">
      <alignment vertical="center"/>
    </xf>
    <xf numFmtId="168" fontId="1" fillId="0" borderId="1" xfId="1" applyNumberFormat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G2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9.140625" defaultRowHeight="12.75" x14ac:dyDescent="0.2"/>
  <cols>
    <col min="1" max="1" width="13.42578125" style="5" bestFit="1" customWidth="1"/>
    <col min="2" max="2" width="11.28515625" style="5" bestFit="1" customWidth="1"/>
    <col min="3" max="3" width="13.42578125" style="5" customWidth="1"/>
    <col min="4" max="4" width="5.140625" style="5" bestFit="1" customWidth="1"/>
    <col min="5" max="5" width="8.5703125" style="5" bestFit="1" customWidth="1"/>
    <col min="6" max="6" width="6" style="12" bestFit="1" customWidth="1"/>
    <col min="7" max="7" width="6.28515625" style="12" bestFit="1" customWidth="1"/>
    <col min="8" max="8" width="32.7109375" style="5" bestFit="1" customWidth="1"/>
    <col min="9" max="9" width="14.140625" style="5" bestFit="1" customWidth="1"/>
    <col min="10" max="10" width="14.140625" style="5" customWidth="1"/>
    <col min="11" max="11" width="7" style="5" bestFit="1" customWidth="1"/>
    <col min="12" max="12" width="7.28515625" style="5" bestFit="1" customWidth="1"/>
    <col min="13" max="13" width="8" style="5" bestFit="1" customWidth="1"/>
    <col min="14" max="14" width="9.140625" style="5" customWidth="1"/>
    <col min="15" max="19" width="9.140625" style="5"/>
    <col min="20" max="20" width="7.5703125" style="5" bestFit="1" customWidth="1"/>
    <col min="21" max="21" width="6.42578125" style="5" bestFit="1" customWidth="1"/>
    <col min="22" max="22" width="5.5703125" style="5" bestFit="1" customWidth="1"/>
    <col min="23" max="23" width="7" style="5" bestFit="1" customWidth="1"/>
    <col min="24" max="24" width="7" style="5" customWidth="1"/>
    <col min="25" max="25" width="8.28515625" style="5" bestFit="1" customWidth="1"/>
    <col min="26" max="16384" width="9.140625" style="5"/>
  </cols>
  <sheetData>
    <row r="1" spans="1:33" s="4" customFormat="1" ht="24.75" x14ac:dyDescent="0.2">
      <c r="A1" s="4" t="s">
        <v>41</v>
      </c>
      <c r="B1" s="4" t="s">
        <v>41</v>
      </c>
      <c r="C1" s="4" t="s">
        <v>73</v>
      </c>
      <c r="D1" s="4" t="s">
        <v>41</v>
      </c>
      <c r="E1" s="4" t="s">
        <v>41</v>
      </c>
      <c r="F1" s="4" t="s">
        <v>41</v>
      </c>
      <c r="G1" s="4" t="s">
        <v>41</v>
      </c>
      <c r="H1" s="4" t="s">
        <v>42</v>
      </c>
      <c r="I1" s="4" t="s">
        <v>42</v>
      </c>
      <c r="J1" s="4" t="s">
        <v>74</v>
      </c>
      <c r="K1" s="4" t="s">
        <v>41</v>
      </c>
      <c r="L1" s="4" t="s">
        <v>41</v>
      </c>
      <c r="M1" s="4" t="s">
        <v>41</v>
      </c>
      <c r="Q1" s="4" t="s">
        <v>63</v>
      </c>
      <c r="R1" s="4" t="s">
        <v>63</v>
      </c>
      <c r="W1" s="4" t="s">
        <v>38</v>
      </c>
      <c r="X1" s="4" t="s">
        <v>38</v>
      </c>
      <c r="Y1" s="4" t="s">
        <v>38</v>
      </c>
      <c r="AA1" s="4" t="s">
        <v>40</v>
      </c>
      <c r="AB1" s="4" t="s">
        <v>40</v>
      </c>
      <c r="AD1" s="4" t="s">
        <v>43</v>
      </c>
      <c r="AE1" s="4" t="s">
        <v>43</v>
      </c>
      <c r="AF1" s="4" t="s">
        <v>43</v>
      </c>
      <c r="AG1" s="4" t="s">
        <v>43</v>
      </c>
    </row>
    <row r="2" spans="1:33" x14ac:dyDescent="0.2">
      <c r="A2" s="49" t="s">
        <v>94</v>
      </c>
      <c r="B2" s="49"/>
      <c r="C2" s="49"/>
      <c r="AD2" s="53" t="s">
        <v>91</v>
      </c>
      <c r="AE2" s="53"/>
    </row>
    <row r="3" spans="1:33" ht="19.5" customHeight="1" x14ac:dyDescent="0.2">
      <c r="A3" s="17" t="s">
        <v>0</v>
      </c>
      <c r="B3" s="17" t="s">
        <v>10</v>
      </c>
      <c r="C3" s="19" t="s">
        <v>69</v>
      </c>
      <c r="D3" s="20" t="s">
        <v>11</v>
      </c>
      <c r="E3" s="20" t="s">
        <v>12</v>
      </c>
      <c r="F3" s="54" t="s">
        <v>2</v>
      </c>
      <c r="G3" s="55"/>
      <c r="H3" s="17" t="s">
        <v>1</v>
      </c>
      <c r="I3" s="20" t="s">
        <v>5</v>
      </c>
      <c r="J3" s="20" t="s">
        <v>65</v>
      </c>
      <c r="K3" s="54" t="s">
        <v>14</v>
      </c>
      <c r="L3" s="55"/>
      <c r="M3" s="20" t="s">
        <v>17</v>
      </c>
      <c r="O3" s="57" t="s">
        <v>44</v>
      </c>
      <c r="P3" s="59" t="s">
        <v>45</v>
      </c>
      <c r="Q3" s="57" t="s">
        <v>46</v>
      </c>
      <c r="R3" s="57" t="s">
        <v>47</v>
      </c>
      <c r="T3" s="56" t="s">
        <v>33</v>
      </c>
      <c r="U3" s="56"/>
      <c r="V3" s="56"/>
      <c r="W3" s="20" t="s">
        <v>34</v>
      </c>
      <c r="X3" s="20" t="s">
        <v>48</v>
      </c>
      <c r="Y3" s="20" t="s">
        <v>50</v>
      </c>
      <c r="AA3" s="58" t="s">
        <v>90</v>
      </c>
      <c r="AB3" s="58"/>
      <c r="AD3" s="56" t="s">
        <v>93</v>
      </c>
      <c r="AE3" s="56"/>
      <c r="AF3" s="56" t="s">
        <v>66</v>
      </c>
      <c r="AG3" s="56"/>
    </row>
    <row r="4" spans="1:33" ht="19.5" customHeight="1" x14ac:dyDescent="0.2">
      <c r="A4" s="7"/>
      <c r="B4" s="7"/>
      <c r="C4" s="21"/>
      <c r="D4" s="20" t="s">
        <v>13</v>
      </c>
      <c r="E4" s="20" t="s">
        <v>13</v>
      </c>
      <c r="F4" s="20" t="s">
        <v>3</v>
      </c>
      <c r="G4" s="20" t="s">
        <v>4</v>
      </c>
      <c r="H4" s="1"/>
      <c r="I4" s="20"/>
      <c r="J4" s="20"/>
      <c r="K4" s="20" t="s">
        <v>15</v>
      </c>
      <c r="L4" s="20" t="s">
        <v>16</v>
      </c>
      <c r="M4" s="21"/>
      <c r="O4" s="57"/>
      <c r="P4" s="59"/>
      <c r="Q4" s="57"/>
      <c r="R4" s="57"/>
      <c r="T4" s="20" t="s">
        <v>35</v>
      </c>
      <c r="U4" s="20" t="s">
        <v>36</v>
      </c>
      <c r="V4" s="20" t="s">
        <v>37</v>
      </c>
      <c r="W4" s="21"/>
      <c r="X4" s="20" t="s">
        <v>49</v>
      </c>
      <c r="Y4" s="20" t="s">
        <v>51</v>
      </c>
      <c r="AA4" s="20" t="s">
        <v>39</v>
      </c>
      <c r="AB4" s="20" t="s">
        <v>37</v>
      </c>
      <c r="AD4" s="20" t="s">
        <v>68</v>
      </c>
      <c r="AE4" s="20" t="s">
        <v>37</v>
      </c>
      <c r="AF4" s="41" t="s">
        <v>67</v>
      </c>
      <c r="AG4" s="40"/>
    </row>
    <row r="5" spans="1:33" ht="25.5" x14ac:dyDescent="0.2">
      <c r="A5" s="8" t="s">
        <v>79</v>
      </c>
      <c r="B5" s="8" t="s">
        <v>79</v>
      </c>
      <c r="C5" s="22" t="s">
        <v>70</v>
      </c>
      <c r="D5" s="20">
        <v>15</v>
      </c>
      <c r="E5" s="20"/>
      <c r="F5" s="21">
        <v>50</v>
      </c>
      <c r="G5" s="21">
        <v>550</v>
      </c>
      <c r="H5" s="3" t="s">
        <v>24</v>
      </c>
      <c r="I5" s="27" t="s">
        <v>9</v>
      </c>
      <c r="J5" s="18">
        <v>3917.4</v>
      </c>
      <c r="K5" s="7">
        <v>3300</v>
      </c>
      <c r="L5" s="7">
        <f t="shared" ref="L5:L19" si="0">K5/G5</f>
        <v>6</v>
      </c>
      <c r="M5" s="31">
        <f t="shared" ref="M5:M19" si="1">L5*0.06</f>
        <v>0.36</v>
      </c>
      <c r="O5" s="35">
        <v>10</v>
      </c>
      <c r="P5" s="35">
        <f>O5+1</f>
        <v>11</v>
      </c>
      <c r="Q5" s="33">
        <f t="shared" ref="Q5:Q19" si="2">O5*L5</f>
        <v>60</v>
      </c>
      <c r="R5" s="33">
        <f t="shared" ref="R5:R19" si="3">P5*L5</f>
        <v>66</v>
      </c>
      <c r="T5" s="21">
        <f t="shared" ref="T5:T19" si="4">$G5/$F5</f>
        <v>11</v>
      </c>
      <c r="U5" s="21">
        <f t="shared" ref="U5:U8" si="5">$G5</f>
        <v>550</v>
      </c>
      <c r="V5" s="37">
        <f t="shared" ref="V5:V7" si="6">(U5+T5)*1.1</f>
        <v>617.1</v>
      </c>
      <c r="W5" s="21">
        <f t="shared" ref="W5:W8" si="7">$L5*V5</f>
        <v>3702.6000000000004</v>
      </c>
      <c r="X5" s="21">
        <v>64</v>
      </c>
      <c r="Y5" s="7">
        <f t="shared" ref="Y5:Y8" si="8">ROUNDUP(W5/X5,)</f>
        <v>58</v>
      </c>
      <c r="AA5" s="39">
        <v>5.05</v>
      </c>
      <c r="AB5" s="39">
        <f t="shared" ref="AB5:AB19" si="9">$K5*AA5</f>
        <v>16665</v>
      </c>
      <c r="AD5" s="42">
        <v>8.5</v>
      </c>
      <c r="AE5" s="43">
        <f t="shared" ref="AE5:AE19" si="10">K5*AD5/100</f>
        <v>280.5</v>
      </c>
      <c r="AF5" s="44">
        <f t="shared" ref="AF5:AF19" si="11">AG5/K5</f>
        <v>0</v>
      </c>
      <c r="AG5" s="39">
        <f t="shared" ref="AG5:AG19" si="12">AE5*$AG$4</f>
        <v>0</v>
      </c>
    </row>
    <row r="6" spans="1:33" ht="25.5" x14ac:dyDescent="0.2">
      <c r="A6" s="8" t="s">
        <v>80</v>
      </c>
      <c r="B6" s="8" t="s">
        <v>80</v>
      </c>
      <c r="C6" s="22" t="s">
        <v>70</v>
      </c>
      <c r="D6" s="20">
        <v>15</v>
      </c>
      <c r="E6" s="20"/>
      <c r="F6" s="21">
        <v>50</v>
      </c>
      <c r="G6" s="21">
        <v>1200</v>
      </c>
      <c r="H6" s="3" t="s">
        <v>25</v>
      </c>
      <c r="I6" s="27" t="s">
        <v>18</v>
      </c>
      <c r="J6" s="18">
        <v>3917.4</v>
      </c>
      <c r="K6" s="7">
        <v>9600</v>
      </c>
      <c r="L6" s="7">
        <f t="shared" si="0"/>
        <v>8</v>
      </c>
      <c r="M6" s="31">
        <f t="shared" si="1"/>
        <v>0.48</v>
      </c>
      <c r="O6" s="35">
        <v>10.3</v>
      </c>
      <c r="P6" s="35">
        <f>O6+1</f>
        <v>11.3</v>
      </c>
      <c r="Q6" s="33">
        <f t="shared" si="2"/>
        <v>82.4</v>
      </c>
      <c r="R6" s="33">
        <f t="shared" si="3"/>
        <v>90.4</v>
      </c>
      <c r="T6" s="21">
        <f t="shared" si="4"/>
        <v>24</v>
      </c>
      <c r="U6" s="21">
        <f t="shared" si="5"/>
        <v>1200</v>
      </c>
      <c r="V6" s="37">
        <f t="shared" si="6"/>
        <v>1346.4</v>
      </c>
      <c r="W6" s="21">
        <f t="shared" si="7"/>
        <v>10771.2</v>
      </c>
      <c r="X6" s="21">
        <v>276</v>
      </c>
      <c r="Y6" s="7">
        <f t="shared" si="8"/>
        <v>40</v>
      </c>
      <c r="AA6" s="39">
        <v>2.5499999999999998</v>
      </c>
      <c r="AB6" s="39">
        <f t="shared" si="9"/>
        <v>24480</v>
      </c>
      <c r="AD6" s="42">
        <v>4.5</v>
      </c>
      <c r="AE6" s="43">
        <f t="shared" si="10"/>
        <v>432</v>
      </c>
      <c r="AF6" s="44">
        <f t="shared" si="11"/>
        <v>0</v>
      </c>
      <c r="AG6" s="39">
        <f t="shared" si="12"/>
        <v>0</v>
      </c>
    </row>
    <row r="7" spans="1:33" ht="25.5" x14ac:dyDescent="0.2">
      <c r="A7" s="8" t="s">
        <v>85</v>
      </c>
      <c r="B7" s="8" t="s">
        <v>85</v>
      </c>
      <c r="C7" s="22" t="s">
        <v>70</v>
      </c>
      <c r="D7" s="20">
        <v>20</v>
      </c>
      <c r="E7" s="20"/>
      <c r="F7" s="21">
        <v>10</v>
      </c>
      <c r="G7" s="21">
        <v>800</v>
      </c>
      <c r="H7" s="2" t="s">
        <v>28</v>
      </c>
      <c r="I7" s="27" t="s">
        <v>21</v>
      </c>
      <c r="J7" s="18">
        <v>3917.4</v>
      </c>
      <c r="K7" s="7">
        <v>1600</v>
      </c>
      <c r="L7" s="7">
        <f t="shared" si="0"/>
        <v>2</v>
      </c>
      <c r="M7" s="31">
        <f t="shared" si="1"/>
        <v>0.12</v>
      </c>
      <c r="O7" s="35">
        <v>12</v>
      </c>
      <c r="P7" s="35">
        <v>13.1</v>
      </c>
      <c r="Q7" s="33">
        <f t="shared" si="2"/>
        <v>24</v>
      </c>
      <c r="R7" s="33">
        <f t="shared" si="3"/>
        <v>26.2</v>
      </c>
      <c r="T7" s="21">
        <f t="shared" si="4"/>
        <v>80</v>
      </c>
      <c r="U7" s="21">
        <f t="shared" si="5"/>
        <v>800</v>
      </c>
      <c r="V7" s="37">
        <f t="shared" si="6"/>
        <v>968.00000000000011</v>
      </c>
      <c r="W7" s="21">
        <f t="shared" si="7"/>
        <v>1936.0000000000002</v>
      </c>
      <c r="X7" s="21">
        <v>276</v>
      </c>
      <c r="Y7" s="7">
        <f t="shared" si="8"/>
        <v>8</v>
      </c>
      <c r="AA7" s="38">
        <v>1.9</v>
      </c>
      <c r="AB7" s="39">
        <f t="shared" si="9"/>
        <v>3040</v>
      </c>
      <c r="AD7" s="42">
        <v>3</v>
      </c>
      <c r="AE7" s="43">
        <f t="shared" si="10"/>
        <v>48</v>
      </c>
      <c r="AF7" s="44">
        <f t="shared" si="11"/>
        <v>0</v>
      </c>
      <c r="AG7" s="39">
        <f t="shared" si="12"/>
        <v>0</v>
      </c>
    </row>
    <row r="8" spans="1:33" ht="25.5" x14ac:dyDescent="0.2">
      <c r="A8" s="8" t="s">
        <v>89</v>
      </c>
      <c r="B8" s="8" t="s">
        <v>89</v>
      </c>
      <c r="C8" s="22" t="s">
        <v>70</v>
      </c>
      <c r="D8" s="20">
        <v>15</v>
      </c>
      <c r="E8" s="20"/>
      <c r="F8" s="21">
        <v>50</v>
      </c>
      <c r="G8" s="21">
        <v>1750</v>
      </c>
      <c r="H8" s="3" t="s">
        <v>29</v>
      </c>
      <c r="I8" s="27" t="s">
        <v>7</v>
      </c>
      <c r="J8" s="18">
        <v>3917.4</v>
      </c>
      <c r="K8" s="7">
        <v>1750</v>
      </c>
      <c r="L8" s="7">
        <f t="shared" si="0"/>
        <v>1</v>
      </c>
      <c r="M8" s="31">
        <f t="shared" si="1"/>
        <v>0.06</v>
      </c>
      <c r="O8" s="35">
        <v>12.3</v>
      </c>
      <c r="P8" s="35">
        <f>O8+1</f>
        <v>13.3</v>
      </c>
      <c r="Q8" s="33">
        <f t="shared" si="2"/>
        <v>12.3</v>
      </c>
      <c r="R8" s="33">
        <f t="shared" si="3"/>
        <v>13.3</v>
      </c>
      <c r="T8" s="21">
        <f t="shared" si="4"/>
        <v>35</v>
      </c>
      <c r="U8" s="21">
        <f t="shared" si="5"/>
        <v>1750</v>
      </c>
      <c r="V8" s="37">
        <f>(U8+T8)*1.1</f>
        <v>1963.5000000000002</v>
      </c>
      <c r="W8" s="21">
        <f t="shared" si="7"/>
        <v>1963.5000000000002</v>
      </c>
      <c r="X8" s="21">
        <v>276</v>
      </c>
      <c r="Y8" s="7">
        <f t="shared" si="8"/>
        <v>8</v>
      </c>
      <c r="AA8" s="38">
        <v>1.7</v>
      </c>
      <c r="AB8" s="39">
        <f t="shared" si="9"/>
        <v>2975</v>
      </c>
      <c r="AD8" s="42">
        <v>3</v>
      </c>
      <c r="AE8" s="43">
        <f t="shared" si="10"/>
        <v>52.5</v>
      </c>
      <c r="AF8" s="44">
        <f t="shared" si="11"/>
        <v>0</v>
      </c>
      <c r="AG8" s="39">
        <f t="shared" si="12"/>
        <v>0</v>
      </c>
    </row>
    <row r="9" spans="1:33" ht="25.5" x14ac:dyDescent="0.2">
      <c r="A9" s="8" t="s">
        <v>75</v>
      </c>
      <c r="B9" s="8" t="s">
        <v>75</v>
      </c>
      <c r="C9" s="24" t="s">
        <v>70</v>
      </c>
      <c r="D9" s="20">
        <v>15</v>
      </c>
      <c r="E9" s="20">
        <v>80</v>
      </c>
      <c r="F9" s="21">
        <v>50</v>
      </c>
      <c r="G9" s="21">
        <v>1100</v>
      </c>
      <c r="H9" s="3" t="s">
        <v>22</v>
      </c>
      <c r="I9" s="27" t="s">
        <v>6</v>
      </c>
      <c r="J9" s="18">
        <v>3917.4</v>
      </c>
      <c r="K9" s="7">
        <v>19800</v>
      </c>
      <c r="L9" s="7">
        <f t="shared" si="0"/>
        <v>18</v>
      </c>
      <c r="M9" s="31">
        <f t="shared" si="1"/>
        <v>1.08</v>
      </c>
      <c r="O9" s="35">
        <v>12.8</v>
      </c>
      <c r="P9" s="35">
        <f t="shared" ref="P9:P10" si="13">O9+1</f>
        <v>13.8</v>
      </c>
      <c r="Q9" s="33">
        <f t="shared" si="2"/>
        <v>230.4</v>
      </c>
      <c r="R9" s="33">
        <f t="shared" si="3"/>
        <v>248.4</v>
      </c>
      <c r="T9" s="21">
        <f t="shared" si="4"/>
        <v>22</v>
      </c>
      <c r="U9" s="21">
        <f t="shared" ref="U9:U19" si="14">$G9</f>
        <v>1100</v>
      </c>
      <c r="V9" s="37">
        <f t="shared" ref="V9:V19" si="15">(U9+T9)*1.1</f>
        <v>1234.2</v>
      </c>
      <c r="W9" s="21">
        <f t="shared" ref="W9:W19" si="16">$L9*V9</f>
        <v>22215.600000000002</v>
      </c>
      <c r="X9" s="21">
        <v>276</v>
      </c>
      <c r="Y9" s="7">
        <f t="shared" ref="Y9:Y19" si="17">ROUNDUP(W9/X9,)</f>
        <v>81</v>
      </c>
      <c r="AA9" s="38">
        <v>1.85</v>
      </c>
      <c r="AB9" s="39">
        <f t="shared" si="9"/>
        <v>36630</v>
      </c>
      <c r="AD9" s="42">
        <v>3</v>
      </c>
      <c r="AE9" s="43">
        <f t="shared" si="10"/>
        <v>594</v>
      </c>
      <c r="AF9" s="44">
        <f t="shared" si="11"/>
        <v>0</v>
      </c>
      <c r="AG9" s="39">
        <f t="shared" si="12"/>
        <v>0</v>
      </c>
    </row>
    <row r="10" spans="1:33" ht="25.5" x14ac:dyDescent="0.2">
      <c r="A10" s="8" t="s">
        <v>76</v>
      </c>
      <c r="B10" s="8" t="s">
        <v>76</v>
      </c>
      <c r="C10" s="24" t="s">
        <v>70</v>
      </c>
      <c r="D10" s="20">
        <v>15</v>
      </c>
      <c r="E10" s="20">
        <v>125</v>
      </c>
      <c r="F10" s="21">
        <v>50</v>
      </c>
      <c r="G10" s="21">
        <v>800</v>
      </c>
      <c r="H10" s="3" t="s">
        <v>23</v>
      </c>
      <c r="I10" s="27" t="s">
        <v>8</v>
      </c>
      <c r="J10" s="18">
        <v>3917.4</v>
      </c>
      <c r="K10" s="7">
        <v>9600</v>
      </c>
      <c r="L10" s="7">
        <f t="shared" si="0"/>
        <v>12</v>
      </c>
      <c r="M10" s="31">
        <f t="shared" si="1"/>
        <v>0.72</v>
      </c>
      <c r="O10" s="35">
        <v>14.5</v>
      </c>
      <c r="P10" s="35">
        <f t="shared" si="13"/>
        <v>15.5</v>
      </c>
      <c r="Q10" s="33">
        <f t="shared" si="2"/>
        <v>174</v>
      </c>
      <c r="R10" s="33">
        <f t="shared" si="3"/>
        <v>186</v>
      </c>
      <c r="T10" s="21">
        <f t="shared" si="4"/>
        <v>16</v>
      </c>
      <c r="U10" s="21">
        <f t="shared" si="14"/>
        <v>800</v>
      </c>
      <c r="V10" s="37">
        <f t="shared" si="15"/>
        <v>897.6</v>
      </c>
      <c r="W10" s="21">
        <f t="shared" si="16"/>
        <v>10771.2</v>
      </c>
      <c r="X10" s="21">
        <v>144</v>
      </c>
      <c r="Y10" s="7">
        <f t="shared" si="17"/>
        <v>75</v>
      </c>
      <c r="AA10" s="38">
        <v>3.2</v>
      </c>
      <c r="AB10" s="39">
        <f t="shared" si="9"/>
        <v>30720</v>
      </c>
      <c r="AD10" s="42">
        <v>5</v>
      </c>
      <c r="AE10" s="43">
        <f t="shared" si="10"/>
        <v>480</v>
      </c>
      <c r="AF10" s="44">
        <f t="shared" si="11"/>
        <v>0</v>
      </c>
      <c r="AG10" s="39">
        <f t="shared" si="12"/>
        <v>0</v>
      </c>
    </row>
    <row r="11" spans="1:33" ht="25.5" x14ac:dyDescent="0.2">
      <c r="A11" s="8" t="s">
        <v>81</v>
      </c>
      <c r="B11" s="8" t="s">
        <v>81</v>
      </c>
      <c r="C11" s="22" t="s">
        <v>70</v>
      </c>
      <c r="D11" s="20">
        <v>20</v>
      </c>
      <c r="E11" s="20">
        <v>50</v>
      </c>
      <c r="F11" s="21">
        <v>10</v>
      </c>
      <c r="G11" s="21">
        <v>1300</v>
      </c>
      <c r="H11" s="3" t="s">
        <v>26</v>
      </c>
      <c r="I11" s="27" t="s">
        <v>19</v>
      </c>
      <c r="J11" s="18">
        <v>3917.4</v>
      </c>
      <c r="K11" s="7">
        <v>2600</v>
      </c>
      <c r="L11" s="7">
        <f t="shared" si="0"/>
        <v>2</v>
      </c>
      <c r="M11" s="31">
        <f t="shared" si="1"/>
        <v>0.12</v>
      </c>
      <c r="O11" s="35">
        <v>12.3</v>
      </c>
      <c r="P11" s="35">
        <v>13.3</v>
      </c>
      <c r="Q11" s="33">
        <f t="shared" si="2"/>
        <v>24.6</v>
      </c>
      <c r="R11" s="33">
        <f t="shared" si="3"/>
        <v>26.6</v>
      </c>
      <c r="T11" s="21">
        <f t="shared" si="4"/>
        <v>130</v>
      </c>
      <c r="U11" s="21">
        <f t="shared" si="14"/>
        <v>1300</v>
      </c>
      <c r="V11" s="37">
        <f t="shared" si="15"/>
        <v>1573.0000000000002</v>
      </c>
      <c r="W11" s="21">
        <f t="shared" si="16"/>
        <v>3146.0000000000005</v>
      </c>
      <c r="X11" s="21">
        <v>144</v>
      </c>
      <c r="Y11" s="7">
        <f t="shared" si="17"/>
        <v>22</v>
      </c>
      <c r="AA11" s="38">
        <v>2.2000000000000002</v>
      </c>
      <c r="AB11" s="39">
        <f t="shared" si="9"/>
        <v>5720.0000000000009</v>
      </c>
      <c r="AD11" s="42">
        <v>4</v>
      </c>
      <c r="AE11" s="43">
        <f t="shared" si="10"/>
        <v>104</v>
      </c>
      <c r="AF11" s="44">
        <f t="shared" si="11"/>
        <v>0</v>
      </c>
      <c r="AG11" s="39">
        <f t="shared" si="12"/>
        <v>0</v>
      </c>
    </row>
    <row r="12" spans="1:33" ht="25.5" x14ac:dyDescent="0.2">
      <c r="A12" s="8" t="s">
        <v>82</v>
      </c>
      <c r="B12" s="8" t="s">
        <v>82</v>
      </c>
      <c r="C12" s="22" t="s">
        <v>70</v>
      </c>
      <c r="D12" s="20">
        <v>20</v>
      </c>
      <c r="E12" s="20">
        <v>80</v>
      </c>
      <c r="F12" s="21">
        <v>10</v>
      </c>
      <c r="G12" s="21">
        <v>800</v>
      </c>
      <c r="H12" s="3" t="s">
        <v>27</v>
      </c>
      <c r="I12" s="27" t="s">
        <v>20</v>
      </c>
      <c r="J12" s="18">
        <v>3917.4</v>
      </c>
      <c r="K12" s="7">
        <v>1600</v>
      </c>
      <c r="L12" s="7">
        <f t="shared" si="0"/>
        <v>2</v>
      </c>
      <c r="M12" s="31">
        <f t="shared" si="1"/>
        <v>0.12</v>
      </c>
      <c r="O12" s="35">
        <v>12.8</v>
      </c>
      <c r="P12" s="35">
        <v>13.8</v>
      </c>
      <c r="Q12" s="33">
        <f t="shared" si="2"/>
        <v>25.6</v>
      </c>
      <c r="R12" s="33">
        <f t="shared" si="3"/>
        <v>27.6</v>
      </c>
      <c r="T12" s="21">
        <f t="shared" si="4"/>
        <v>80</v>
      </c>
      <c r="U12" s="21">
        <f t="shared" si="14"/>
        <v>800</v>
      </c>
      <c r="V12" s="37">
        <f t="shared" si="15"/>
        <v>968.00000000000011</v>
      </c>
      <c r="W12" s="21">
        <f t="shared" si="16"/>
        <v>1936.0000000000002</v>
      </c>
      <c r="X12" s="21">
        <v>144</v>
      </c>
      <c r="Y12" s="7">
        <f t="shared" si="17"/>
        <v>14</v>
      </c>
      <c r="AA12" s="38">
        <v>2.8</v>
      </c>
      <c r="AB12" s="39">
        <f t="shared" si="9"/>
        <v>4480</v>
      </c>
      <c r="AD12" s="42">
        <v>5</v>
      </c>
      <c r="AE12" s="43">
        <f t="shared" si="10"/>
        <v>80</v>
      </c>
      <c r="AF12" s="44">
        <f t="shared" si="11"/>
        <v>0</v>
      </c>
      <c r="AG12" s="39">
        <f t="shared" si="12"/>
        <v>0</v>
      </c>
    </row>
    <row r="13" spans="1:33" ht="25.5" x14ac:dyDescent="0.2">
      <c r="A13" s="8" t="s">
        <v>83</v>
      </c>
      <c r="B13" s="8" t="s">
        <v>83</v>
      </c>
      <c r="C13" s="22" t="s">
        <v>70</v>
      </c>
      <c r="D13" s="20">
        <v>20</v>
      </c>
      <c r="E13" s="20">
        <v>150</v>
      </c>
      <c r="F13" s="21">
        <v>10</v>
      </c>
      <c r="G13" s="21">
        <v>450</v>
      </c>
      <c r="H13" s="3" t="s">
        <v>31</v>
      </c>
      <c r="I13" s="27" t="s">
        <v>32</v>
      </c>
      <c r="J13" s="18">
        <v>3917.4</v>
      </c>
      <c r="K13" s="7">
        <v>1800</v>
      </c>
      <c r="L13" s="7">
        <f t="shared" si="0"/>
        <v>4</v>
      </c>
      <c r="M13" s="31">
        <f t="shared" si="1"/>
        <v>0.24</v>
      </c>
      <c r="O13" s="35">
        <v>16.3</v>
      </c>
      <c r="P13" s="35">
        <v>17.3</v>
      </c>
      <c r="Q13" s="33">
        <f t="shared" si="2"/>
        <v>65.2</v>
      </c>
      <c r="R13" s="33">
        <f t="shared" si="3"/>
        <v>69.2</v>
      </c>
      <c r="T13" s="21">
        <f t="shared" si="4"/>
        <v>45</v>
      </c>
      <c r="U13" s="21">
        <f t="shared" si="14"/>
        <v>450</v>
      </c>
      <c r="V13" s="37">
        <f t="shared" si="15"/>
        <v>544.5</v>
      </c>
      <c r="W13" s="21">
        <f t="shared" si="16"/>
        <v>2178</v>
      </c>
      <c r="X13" s="21">
        <v>144</v>
      </c>
      <c r="Y13" s="7">
        <f t="shared" si="17"/>
        <v>16</v>
      </c>
      <c r="AA13" s="38">
        <v>5.55</v>
      </c>
      <c r="AB13" s="39">
        <f t="shared" si="9"/>
        <v>9990</v>
      </c>
      <c r="AD13" s="42">
        <v>9</v>
      </c>
      <c r="AE13" s="43">
        <f t="shared" si="10"/>
        <v>162</v>
      </c>
      <c r="AF13" s="44">
        <f t="shared" si="11"/>
        <v>0</v>
      </c>
      <c r="AG13" s="39">
        <f t="shared" si="12"/>
        <v>0</v>
      </c>
    </row>
    <row r="14" spans="1:33" ht="25.5" x14ac:dyDescent="0.2">
      <c r="A14" s="13" t="s">
        <v>86</v>
      </c>
      <c r="B14" s="13" t="s">
        <v>86</v>
      </c>
      <c r="C14" s="24" t="s">
        <v>72</v>
      </c>
      <c r="D14" s="19">
        <v>25</v>
      </c>
      <c r="E14" s="19">
        <v>100</v>
      </c>
      <c r="F14" s="25">
        <v>10</v>
      </c>
      <c r="G14" s="25">
        <v>400</v>
      </c>
      <c r="H14" s="15" t="s">
        <v>59</v>
      </c>
      <c r="I14" s="28" t="s">
        <v>60</v>
      </c>
      <c r="J14" s="18">
        <v>3917.4</v>
      </c>
      <c r="K14" s="7">
        <v>800</v>
      </c>
      <c r="L14" s="7">
        <f t="shared" si="0"/>
        <v>2</v>
      </c>
      <c r="M14" s="31">
        <f t="shared" si="1"/>
        <v>0.12</v>
      </c>
      <c r="O14" s="35">
        <v>13</v>
      </c>
      <c r="P14" s="35">
        <v>14</v>
      </c>
      <c r="Q14" s="33">
        <f t="shared" si="2"/>
        <v>26</v>
      </c>
      <c r="R14" s="33">
        <f t="shared" si="3"/>
        <v>28</v>
      </c>
      <c r="T14" s="21">
        <f t="shared" si="4"/>
        <v>40</v>
      </c>
      <c r="U14" s="21">
        <f t="shared" si="14"/>
        <v>400</v>
      </c>
      <c r="V14" s="37">
        <f t="shared" si="15"/>
        <v>484.00000000000006</v>
      </c>
      <c r="W14" s="21">
        <f t="shared" si="16"/>
        <v>968.00000000000011</v>
      </c>
      <c r="X14" s="21">
        <v>144</v>
      </c>
      <c r="Y14" s="7">
        <f t="shared" si="17"/>
        <v>7</v>
      </c>
      <c r="AA14" s="38">
        <v>6.45</v>
      </c>
      <c r="AB14" s="39">
        <f t="shared" si="9"/>
        <v>5160</v>
      </c>
      <c r="AD14" s="42">
        <v>10</v>
      </c>
      <c r="AE14" s="43">
        <f t="shared" si="10"/>
        <v>80</v>
      </c>
      <c r="AF14" s="44">
        <f t="shared" si="11"/>
        <v>0</v>
      </c>
      <c r="AG14" s="39">
        <f t="shared" si="12"/>
        <v>0</v>
      </c>
    </row>
    <row r="15" spans="1:33" ht="25.5" x14ac:dyDescent="0.2">
      <c r="A15" s="13" t="s">
        <v>87</v>
      </c>
      <c r="B15" s="13" t="s">
        <v>87</v>
      </c>
      <c r="C15" s="24" t="s">
        <v>72</v>
      </c>
      <c r="D15" s="19">
        <v>25</v>
      </c>
      <c r="E15" s="19">
        <v>150</v>
      </c>
      <c r="F15" s="21">
        <v>10</v>
      </c>
      <c r="G15" s="21">
        <v>300</v>
      </c>
      <c r="H15" s="15" t="s">
        <v>61</v>
      </c>
      <c r="I15" s="29" t="s">
        <v>62</v>
      </c>
      <c r="J15" s="18">
        <v>3917.4</v>
      </c>
      <c r="K15" s="7">
        <v>300</v>
      </c>
      <c r="L15" s="7">
        <f t="shared" si="0"/>
        <v>1</v>
      </c>
      <c r="M15" s="31">
        <f t="shared" si="1"/>
        <v>0.06</v>
      </c>
      <c r="O15" s="35">
        <v>13</v>
      </c>
      <c r="P15" s="35">
        <v>14</v>
      </c>
      <c r="Q15" s="33">
        <f t="shared" si="2"/>
        <v>13</v>
      </c>
      <c r="R15" s="33">
        <f t="shared" si="3"/>
        <v>14</v>
      </c>
      <c r="T15" s="21">
        <f t="shared" si="4"/>
        <v>30</v>
      </c>
      <c r="U15" s="21">
        <f t="shared" si="14"/>
        <v>300</v>
      </c>
      <c r="V15" s="37">
        <f t="shared" si="15"/>
        <v>363.00000000000006</v>
      </c>
      <c r="W15" s="21">
        <f t="shared" si="16"/>
        <v>363.00000000000006</v>
      </c>
      <c r="X15" s="21">
        <v>144</v>
      </c>
      <c r="Y15" s="7">
        <f t="shared" si="17"/>
        <v>3</v>
      </c>
      <c r="AA15" s="38">
        <v>7.4</v>
      </c>
      <c r="AB15" s="39">
        <f t="shared" si="9"/>
        <v>2220</v>
      </c>
      <c r="AD15" s="42">
        <v>11</v>
      </c>
      <c r="AE15" s="43">
        <f t="shared" si="10"/>
        <v>33</v>
      </c>
      <c r="AF15" s="44">
        <f t="shared" si="11"/>
        <v>0</v>
      </c>
      <c r="AG15" s="39">
        <f t="shared" si="12"/>
        <v>0</v>
      </c>
    </row>
    <row r="16" spans="1:33" ht="25.5" x14ac:dyDescent="0.2">
      <c r="A16" s="1">
        <v>90443200</v>
      </c>
      <c r="B16" s="1" t="s">
        <v>88</v>
      </c>
      <c r="C16" s="20" t="s">
        <v>72</v>
      </c>
      <c r="D16" s="20" t="s">
        <v>64</v>
      </c>
      <c r="E16" s="20">
        <v>150</v>
      </c>
      <c r="F16" s="21">
        <v>10</v>
      </c>
      <c r="G16" s="21">
        <v>300</v>
      </c>
      <c r="H16" s="3" t="s">
        <v>92</v>
      </c>
      <c r="I16" s="30" t="s">
        <v>52</v>
      </c>
      <c r="J16" s="18">
        <v>3917.4</v>
      </c>
      <c r="K16" s="7">
        <v>900</v>
      </c>
      <c r="L16" s="7">
        <f t="shared" si="0"/>
        <v>3</v>
      </c>
      <c r="M16" s="31">
        <f t="shared" si="1"/>
        <v>0.18</v>
      </c>
      <c r="O16" s="35">
        <v>13</v>
      </c>
      <c r="P16" s="35">
        <v>14</v>
      </c>
      <c r="Q16" s="33">
        <f t="shared" si="2"/>
        <v>39</v>
      </c>
      <c r="R16" s="33">
        <f t="shared" si="3"/>
        <v>42</v>
      </c>
      <c r="T16" s="21">
        <f t="shared" si="4"/>
        <v>30</v>
      </c>
      <c r="U16" s="21">
        <f t="shared" si="14"/>
        <v>300</v>
      </c>
      <c r="V16" s="37">
        <f t="shared" si="15"/>
        <v>363.00000000000006</v>
      </c>
      <c r="W16" s="21">
        <f t="shared" si="16"/>
        <v>1089.0000000000002</v>
      </c>
      <c r="X16" s="21">
        <v>144</v>
      </c>
      <c r="Y16" s="7">
        <f t="shared" si="17"/>
        <v>8</v>
      </c>
      <c r="AA16" s="38">
        <v>6.95</v>
      </c>
      <c r="AB16" s="39">
        <f t="shared" si="9"/>
        <v>6255</v>
      </c>
      <c r="AD16" s="42">
        <v>12</v>
      </c>
      <c r="AE16" s="43">
        <f t="shared" si="10"/>
        <v>108</v>
      </c>
      <c r="AF16" s="44">
        <f t="shared" si="11"/>
        <v>0</v>
      </c>
      <c r="AG16" s="39">
        <f t="shared" si="12"/>
        <v>0</v>
      </c>
    </row>
    <row r="17" spans="1:33" ht="25.5" x14ac:dyDescent="0.2">
      <c r="A17" s="13" t="s">
        <v>77</v>
      </c>
      <c r="B17" s="13" t="s">
        <v>77</v>
      </c>
      <c r="C17" s="22" t="s">
        <v>71</v>
      </c>
      <c r="D17" s="19">
        <v>15</v>
      </c>
      <c r="E17" s="19">
        <v>150</v>
      </c>
      <c r="F17" s="26">
        <v>10</v>
      </c>
      <c r="G17" s="23">
        <v>130</v>
      </c>
      <c r="H17" s="14" t="s">
        <v>53</v>
      </c>
      <c r="I17" s="29" t="s">
        <v>54</v>
      </c>
      <c r="J17" s="18">
        <v>3917.4</v>
      </c>
      <c r="K17" s="7">
        <v>1950</v>
      </c>
      <c r="L17" s="7">
        <f t="shared" si="0"/>
        <v>15</v>
      </c>
      <c r="M17" s="31">
        <f t="shared" si="1"/>
        <v>0.89999999999999991</v>
      </c>
      <c r="O17" s="36">
        <v>8.5</v>
      </c>
      <c r="P17" s="36">
        <f>O17+1</f>
        <v>9.5</v>
      </c>
      <c r="Q17" s="33">
        <f t="shared" si="2"/>
        <v>127.5</v>
      </c>
      <c r="R17" s="33">
        <f t="shared" si="3"/>
        <v>142.5</v>
      </c>
      <c r="T17" s="21">
        <f t="shared" si="4"/>
        <v>13</v>
      </c>
      <c r="U17" s="21">
        <f t="shared" si="14"/>
        <v>130</v>
      </c>
      <c r="V17" s="37">
        <f t="shared" si="15"/>
        <v>157.30000000000001</v>
      </c>
      <c r="W17" s="21">
        <f t="shared" si="16"/>
        <v>2359.5</v>
      </c>
      <c r="X17" s="21">
        <v>144</v>
      </c>
      <c r="Y17" s="7">
        <f t="shared" si="17"/>
        <v>17</v>
      </c>
      <c r="AA17" s="38">
        <v>8.8000000000000007</v>
      </c>
      <c r="AB17" s="39">
        <f t="shared" si="9"/>
        <v>17160</v>
      </c>
      <c r="AD17" s="42">
        <v>14</v>
      </c>
      <c r="AE17" s="43">
        <f t="shared" si="10"/>
        <v>273</v>
      </c>
      <c r="AF17" s="44">
        <f t="shared" si="11"/>
        <v>0</v>
      </c>
      <c r="AG17" s="39">
        <f t="shared" si="12"/>
        <v>0</v>
      </c>
    </row>
    <row r="18" spans="1:33" ht="25.5" x14ac:dyDescent="0.2">
      <c r="A18" s="13" t="s">
        <v>78</v>
      </c>
      <c r="B18" s="13" t="s">
        <v>78</v>
      </c>
      <c r="C18" s="22" t="s">
        <v>71</v>
      </c>
      <c r="D18" s="19">
        <v>15</v>
      </c>
      <c r="E18" s="19">
        <v>200</v>
      </c>
      <c r="F18" s="23">
        <v>10</v>
      </c>
      <c r="G18" s="23">
        <v>110</v>
      </c>
      <c r="H18" s="14" t="s">
        <v>55</v>
      </c>
      <c r="I18" s="29" t="s">
        <v>56</v>
      </c>
      <c r="J18" s="18">
        <v>3917.4</v>
      </c>
      <c r="K18" s="7">
        <v>550</v>
      </c>
      <c r="L18" s="7">
        <f t="shared" si="0"/>
        <v>5</v>
      </c>
      <c r="M18" s="31">
        <f t="shared" si="1"/>
        <v>0.3</v>
      </c>
      <c r="O18" s="36">
        <v>8.5</v>
      </c>
      <c r="P18" s="36">
        <f>O18+1</f>
        <v>9.5</v>
      </c>
      <c r="Q18" s="33">
        <f t="shared" si="2"/>
        <v>42.5</v>
      </c>
      <c r="R18" s="33">
        <f t="shared" si="3"/>
        <v>47.5</v>
      </c>
      <c r="T18" s="21">
        <f t="shared" si="4"/>
        <v>11</v>
      </c>
      <c r="U18" s="21">
        <f t="shared" si="14"/>
        <v>110</v>
      </c>
      <c r="V18" s="37">
        <f t="shared" si="15"/>
        <v>133.10000000000002</v>
      </c>
      <c r="W18" s="21">
        <f t="shared" si="16"/>
        <v>665.50000000000011</v>
      </c>
      <c r="X18" s="21">
        <v>144</v>
      </c>
      <c r="Y18" s="7">
        <f t="shared" si="17"/>
        <v>5</v>
      </c>
      <c r="AA18" s="38">
        <v>9.35</v>
      </c>
      <c r="AB18" s="39">
        <f t="shared" si="9"/>
        <v>5142.5</v>
      </c>
      <c r="AD18" s="42">
        <v>15</v>
      </c>
      <c r="AE18" s="43">
        <f t="shared" si="10"/>
        <v>82.5</v>
      </c>
      <c r="AF18" s="44">
        <f t="shared" si="11"/>
        <v>0</v>
      </c>
      <c r="AG18" s="39">
        <f t="shared" si="12"/>
        <v>0</v>
      </c>
    </row>
    <row r="19" spans="1:33" ht="25.5" x14ac:dyDescent="0.2">
      <c r="A19" s="13" t="s">
        <v>84</v>
      </c>
      <c r="B19" s="13" t="s">
        <v>84</v>
      </c>
      <c r="C19" s="22" t="s">
        <v>71</v>
      </c>
      <c r="D19" s="19">
        <v>20</v>
      </c>
      <c r="E19" s="19">
        <v>200</v>
      </c>
      <c r="F19" s="23">
        <v>5</v>
      </c>
      <c r="G19" s="23">
        <v>75</v>
      </c>
      <c r="H19" s="14" t="s">
        <v>57</v>
      </c>
      <c r="I19" s="29" t="s">
        <v>58</v>
      </c>
      <c r="J19" s="18">
        <v>3917.4</v>
      </c>
      <c r="K19" s="7">
        <v>300</v>
      </c>
      <c r="L19" s="7">
        <f t="shared" si="0"/>
        <v>4</v>
      </c>
      <c r="M19" s="31">
        <f t="shared" si="1"/>
        <v>0.24</v>
      </c>
      <c r="O19" s="35">
        <v>8.1999999999999993</v>
      </c>
      <c r="P19" s="35">
        <v>9.1999999999999993</v>
      </c>
      <c r="Q19" s="33">
        <f t="shared" si="2"/>
        <v>32.799999999999997</v>
      </c>
      <c r="R19" s="33">
        <f t="shared" si="3"/>
        <v>36.799999999999997</v>
      </c>
      <c r="T19" s="21">
        <f t="shared" si="4"/>
        <v>15</v>
      </c>
      <c r="U19" s="21">
        <f t="shared" si="14"/>
        <v>75</v>
      </c>
      <c r="V19" s="37">
        <f t="shared" si="15"/>
        <v>99.000000000000014</v>
      </c>
      <c r="W19" s="21">
        <f t="shared" si="16"/>
        <v>396.00000000000006</v>
      </c>
      <c r="X19" s="21">
        <v>144</v>
      </c>
      <c r="Y19" s="7">
        <f t="shared" si="17"/>
        <v>3</v>
      </c>
      <c r="AA19" s="38">
        <v>16.649999999999999</v>
      </c>
      <c r="AB19" s="39">
        <f t="shared" si="9"/>
        <v>4995</v>
      </c>
      <c r="AD19" s="42">
        <v>27</v>
      </c>
      <c r="AE19" s="43">
        <f t="shared" si="10"/>
        <v>81</v>
      </c>
      <c r="AF19" s="44">
        <f t="shared" si="11"/>
        <v>0</v>
      </c>
      <c r="AG19" s="39">
        <f t="shared" si="12"/>
        <v>0</v>
      </c>
    </row>
    <row r="20" spans="1:33" x14ac:dyDescent="0.2">
      <c r="A20" s="9"/>
      <c r="B20" s="9"/>
      <c r="C20" s="9"/>
      <c r="D20" s="16"/>
      <c r="E20" s="16"/>
      <c r="F20" s="10"/>
      <c r="G20" s="10"/>
      <c r="H20" s="11"/>
      <c r="I20" s="6" t="s">
        <v>30</v>
      </c>
      <c r="J20" s="6"/>
      <c r="K20" s="6">
        <f>SUBTOTAL(9,K5:K19)</f>
        <v>56450</v>
      </c>
      <c r="L20" s="6">
        <f>SUBTOTAL(9,L5:L19)</f>
        <v>85</v>
      </c>
      <c r="M20" s="32">
        <f>SUBTOTAL(9,M5:M19)</f>
        <v>5.1000000000000005</v>
      </c>
      <c r="Q20" s="34">
        <f>SUBTOTAL(9,Q5:Q19)</f>
        <v>979.30000000000007</v>
      </c>
      <c r="R20" s="34">
        <f>SUBTOTAL(9,R5:R19)</f>
        <v>1064.5</v>
      </c>
      <c r="T20" s="50" t="s">
        <v>30</v>
      </c>
      <c r="U20" s="51"/>
      <c r="V20" s="52"/>
      <c r="W20" s="20">
        <f>SUBTOTAL(9,W5:W19)</f>
        <v>64461.100000000006</v>
      </c>
      <c r="X20" s="1"/>
      <c r="Y20" s="6">
        <f>SUM(Y5:Y19)</f>
        <v>365</v>
      </c>
      <c r="AA20" s="40"/>
      <c r="AB20" s="40">
        <f>SUBTOTAL(9,AB5:AB19)</f>
        <v>175632.5</v>
      </c>
      <c r="AD20" s="42"/>
      <c r="AE20" s="46">
        <f>SUBTOTAL(9,AE5:AE19)</f>
        <v>2890.5</v>
      </c>
      <c r="AF20" s="47"/>
      <c r="AG20" s="45">
        <f>SUBTOTAL(9,AG5:AG19)</f>
        <v>0</v>
      </c>
    </row>
  </sheetData>
  <sortState ref="B5:AJ47">
    <sortCondition ref="B5"/>
  </sortState>
  <mergeCells count="13">
    <mergeCell ref="A2:C2"/>
    <mergeCell ref="T20:V20"/>
    <mergeCell ref="AD2:AE2"/>
    <mergeCell ref="F3:G3"/>
    <mergeCell ref="AF3:AG3"/>
    <mergeCell ref="K3:L3"/>
    <mergeCell ref="Q3:Q4"/>
    <mergeCell ref="AA3:AB3"/>
    <mergeCell ref="O3:O4"/>
    <mergeCell ref="P3:P4"/>
    <mergeCell ref="T3:V3"/>
    <mergeCell ref="AD3:AE3"/>
    <mergeCell ref="R3:R4"/>
  </mergeCells>
  <phoneticPr fontId="0" type="noConversion"/>
  <pageMargins left="0.5" right="0.5" top="0.5" bottom="0.5" header="0" footer="0"/>
  <pageSetup paperSize="9"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AI2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11.28515625" style="63" bestFit="1" customWidth="1"/>
    <col min="2" max="2" width="11.28515625" style="63" customWidth="1"/>
    <col min="3" max="3" width="5.140625" style="63" bestFit="1" customWidth="1"/>
    <col min="4" max="4" width="6" style="62" bestFit="1" customWidth="1"/>
    <col min="5" max="5" width="6.28515625" style="62" bestFit="1" customWidth="1"/>
    <col min="6" max="6" width="32.7109375" style="63" bestFit="1" customWidth="1"/>
    <col min="7" max="7" width="14.140625" style="63" bestFit="1" customWidth="1"/>
    <col min="8" max="8" width="14.140625" style="63" customWidth="1"/>
    <col min="9" max="9" width="9.140625" style="63"/>
    <col min="10" max="11" width="9.28515625" style="63" bestFit="1" customWidth="1"/>
    <col min="12" max="24" width="9.140625" style="63"/>
    <col min="25" max="25" width="10" style="63" bestFit="1" customWidth="1"/>
    <col min="26" max="26" width="9.28515625" style="63" bestFit="1" customWidth="1"/>
    <col min="27" max="31" width="9.140625" style="63"/>
    <col min="32" max="16384" width="9.140625" style="5"/>
  </cols>
  <sheetData>
    <row r="1" spans="1:35" s="4" customFormat="1" ht="24.75" x14ac:dyDescent="0.2">
      <c r="A1" s="60" t="s">
        <v>41</v>
      </c>
      <c r="B1" s="60" t="s">
        <v>73</v>
      </c>
      <c r="C1" s="60" t="s">
        <v>41</v>
      </c>
      <c r="D1" s="60" t="s">
        <v>41</v>
      </c>
      <c r="E1" s="60" t="s">
        <v>41</v>
      </c>
      <c r="F1" s="60" t="s">
        <v>42</v>
      </c>
      <c r="G1" s="60" t="s">
        <v>42</v>
      </c>
      <c r="H1" s="60" t="s">
        <v>74</v>
      </c>
      <c r="I1" s="60" t="s">
        <v>41</v>
      </c>
      <c r="J1" s="60" t="s">
        <v>41</v>
      </c>
      <c r="K1" s="60" t="s">
        <v>41</v>
      </c>
      <c r="L1" s="60"/>
      <c r="M1" s="60"/>
      <c r="N1" s="60"/>
      <c r="O1" s="60" t="s">
        <v>63</v>
      </c>
      <c r="P1" s="60" t="s">
        <v>63</v>
      </c>
      <c r="Q1" s="60"/>
      <c r="R1" s="60"/>
      <c r="S1" s="60"/>
      <c r="T1" s="60"/>
      <c r="U1" s="60" t="s">
        <v>38</v>
      </c>
      <c r="V1" s="60" t="s">
        <v>38</v>
      </c>
      <c r="W1" s="60" t="s">
        <v>38</v>
      </c>
      <c r="X1" s="60"/>
      <c r="Y1" s="60" t="s">
        <v>40</v>
      </c>
      <c r="Z1" s="60" t="s">
        <v>40</v>
      </c>
      <c r="AA1" s="60"/>
      <c r="AB1" s="60" t="s">
        <v>43</v>
      </c>
      <c r="AC1" s="60" t="s">
        <v>43</v>
      </c>
      <c r="AD1" s="60" t="s">
        <v>43</v>
      </c>
      <c r="AE1" s="60" t="s">
        <v>43</v>
      </c>
    </row>
    <row r="2" spans="1:35" x14ac:dyDescent="0.2">
      <c r="A2" s="61" t="s">
        <v>94</v>
      </c>
      <c r="B2" s="61"/>
      <c r="C2" s="61"/>
      <c r="AB2" s="53" t="s">
        <v>95</v>
      </c>
      <c r="AC2" s="53"/>
    </row>
    <row r="3" spans="1:35" ht="20.25" customHeight="1" x14ac:dyDescent="0.2">
      <c r="A3" s="19" t="s">
        <v>10</v>
      </c>
      <c r="B3" s="19" t="s">
        <v>69</v>
      </c>
      <c r="C3" s="19" t="s">
        <v>11</v>
      </c>
      <c r="D3" s="64" t="s">
        <v>2</v>
      </c>
      <c r="E3" s="65"/>
      <c r="F3" s="19" t="s">
        <v>1</v>
      </c>
      <c r="G3" s="19" t="s">
        <v>5</v>
      </c>
      <c r="H3" s="19" t="s">
        <v>65</v>
      </c>
      <c r="I3" s="66" t="s">
        <v>14</v>
      </c>
      <c r="J3" s="66"/>
      <c r="K3" s="48" t="s">
        <v>17</v>
      </c>
      <c r="M3" s="67" t="s">
        <v>44</v>
      </c>
      <c r="N3" s="67" t="s">
        <v>45</v>
      </c>
      <c r="O3" s="68" t="s">
        <v>46</v>
      </c>
      <c r="P3" s="68" t="s">
        <v>47</v>
      </c>
      <c r="R3" s="64" t="s">
        <v>33</v>
      </c>
      <c r="S3" s="69"/>
      <c r="T3" s="65"/>
      <c r="U3" s="19" t="s">
        <v>34</v>
      </c>
      <c r="V3" s="19" t="s">
        <v>48</v>
      </c>
      <c r="W3" s="19" t="s">
        <v>96</v>
      </c>
      <c r="Y3" s="66" t="s">
        <v>97</v>
      </c>
      <c r="Z3" s="66"/>
      <c r="AB3" s="56" t="s">
        <v>93</v>
      </c>
      <c r="AC3" s="56"/>
      <c r="AD3" s="56" t="s">
        <v>66</v>
      </c>
      <c r="AE3" s="56"/>
    </row>
    <row r="4" spans="1:35" ht="20.25" customHeight="1" x14ac:dyDescent="0.2">
      <c r="A4" s="70"/>
      <c r="B4" s="23"/>
      <c r="C4" s="19" t="s">
        <v>13</v>
      </c>
      <c r="D4" s="19" t="s">
        <v>3</v>
      </c>
      <c r="E4" s="19" t="s">
        <v>4</v>
      </c>
      <c r="F4" s="71"/>
      <c r="G4" s="19"/>
      <c r="H4" s="19"/>
      <c r="I4" s="48" t="s">
        <v>15</v>
      </c>
      <c r="J4" s="48" t="s">
        <v>16</v>
      </c>
      <c r="K4" s="70"/>
      <c r="M4" s="67"/>
      <c r="N4" s="67"/>
      <c r="O4" s="68"/>
      <c r="P4" s="68"/>
      <c r="R4" s="19" t="s">
        <v>35</v>
      </c>
      <c r="S4" s="19" t="s">
        <v>36</v>
      </c>
      <c r="T4" s="19" t="s">
        <v>37</v>
      </c>
      <c r="U4" s="23"/>
      <c r="V4" s="23"/>
      <c r="W4" s="19" t="s">
        <v>98</v>
      </c>
      <c r="Y4" s="19" t="s">
        <v>39</v>
      </c>
      <c r="Z4" s="19" t="s">
        <v>37</v>
      </c>
      <c r="AB4" s="48" t="s">
        <v>68</v>
      </c>
      <c r="AC4" s="48" t="s">
        <v>37</v>
      </c>
      <c r="AD4" s="72" t="s">
        <v>67</v>
      </c>
      <c r="AE4" s="73"/>
    </row>
    <row r="5" spans="1:35" x14ac:dyDescent="0.2">
      <c r="A5" s="74" t="s">
        <v>99</v>
      </c>
      <c r="B5" s="75" t="s">
        <v>72</v>
      </c>
      <c r="C5" s="76">
        <v>40</v>
      </c>
      <c r="D5" s="23">
        <v>10</v>
      </c>
      <c r="E5" s="25">
        <v>400</v>
      </c>
      <c r="F5" s="14" t="s">
        <v>100</v>
      </c>
      <c r="G5" s="77">
        <v>9319696100408</v>
      </c>
      <c r="H5" s="78">
        <v>3917.4</v>
      </c>
      <c r="I5" s="70"/>
      <c r="J5" s="70">
        <f t="shared" ref="J5:J22" si="0">I5/E5</f>
        <v>0</v>
      </c>
      <c r="K5" s="79">
        <f t="shared" ref="K5:K22" si="1">J5*0.06</f>
        <v>0</v>
      </c>
      <c r="M5" s="80">
        <v>17.100000000000001</v>
      </c>
      <c r="N5" s="80">
        <v>18.2</v>
      </c>
      <c r="O5" s="81">
        <f t="shared" ref="O5:O22" si="2">M5*J5</f>
        <v>0</v>
      </c>
      <c r="P5" s="81">
        <f t="shared" ref="P5:P22" si="3">N5*J5</f>
        <v>0</v>
      </c>
      <c r="R5" s="23">
        <f t="shared" ref="R5:R22" si="4">$E5/$D5</f>
        <v>40</v>
      </c>
      <c r="S5" s="23">
        <f t="shared" ref="S5:S22" si="5">$E5</f>
        <v>400</v>
      </c>
      <c r="T5" s="82">
        <f t="shared" ref="T5:T22" si="6">ROUND(SUM(R5:S5)*1.1,)</f>
        <v>484</v>
      </c>
      <c r="U5" s="70">
        <f t="shared" ref="U5:U22" si="7">$J5*T5</f>
        <v>0</v>
      </c>
      <c r="V5" s="76">
        <v>184</v>
      </c>
      <c r="W5" s="70">
        <f t="shared" ref="W5:W22" si="8">ROUNDUP(U5/V5,)</f>
        <v>0</v>
      </c>
      <c r="Y5" s="83">
        <v>16.850000000000001</v>
      </c>
      <c r="Z5" s="84">
        <f t="shared" ref="Z5:Z22" si="9">$I5*Y5</f>
        <v>0</v>
      </c>
      <c r="AB5" s="85">
        <v>26</v>
      </c>
      <c r="AC5" s="85">
        <f>I5*AB5/100</f>
        <v>0</v>
      </c>
      <c r="AD5" s="44" t="e">
        <f t="shared" ref="AD5:AD22" si="10">AE5/I5</f>
        <v>#DIV/0!</v>
      </c>
      <c r="AE5" s="39">
        <f t="shared" ref="AE5:AE22" si="11">AC5*$AE$4</f>
        <v>0</v>
      </c>
    </row>
    <row r="6" spans="1:35" x14ac:dyDescent="0.2">
      <c r="A6" s="74" t="s">
        <v>101</v>
      </c>
      <c r="B6" s="75" t="s">
        <v>72</v>
      </c>
      <c r="C6" s="76">
        <v>15</v>
      </c>
      <c r="D6" s="23">
        <v>10</v>
      </c>
      <c r="E6" s="25">
        <v>800</v>
      </c>
      <c r="F6" s="14" t="s">
        <v>102</v>
      </c>
      <c r="G6" s="77">
        <v>9319696300150</v>
      </c>
      <c r="H6" s="78">
        <v>3917.4</v>
      </c>
      <c r="I6" s="70">
        <v>4800</v>
      </c>
      <c r="J6" s="70">
        <f t="shared" si="0"/>
        <v>6</v>
      </c>
      <c r="K6" s="79">
        <f t="shared" si="1"/>
        <v>0.36</v>
      </c>
      <c r="M6" s="80">
        <v>16.8</v>
      </c>
      <c r="N6" s="80">
        <v>18.5</v>
      </c>
      <c r="O6" s="81">
        <f t="shared" si="2"/>
        <v>100.80000000000001</v>
      </c>
      <c r="P6" s="81">
        <f t="shared" si="3"/>
        <v>111</v>
      </c>
      <c r="R6" s="23">
        <f t="shared" si="4"/>
        <v>80</v>
      </c>
      <c r="S6" s="23">
        <f t="shared" si="5"/>
        <v>800</v>
      </c>
      <c r="T6" s="82">
        <f t="shared" ref="T6" si="12">ROUND(SUM(R6:S6)*1.1,)</f>
        <v>968</v>
      </c>
      <c r="U6" s="70">
        <f t="shared" si="7"/>
        <v>5808</v>
      </c>
      <c r="V6" s="76">
        <v>184</v>
      </c>
      <c r="W6" s="70">
        <f t="shared" si="8"/>
        <v>32</v>
      </c>
      <c r="Y6" s="83">
        <v>9</v>
      </c>
      <c r="Z6" s="84">
        <f t="shared" si="9"/>
        <v>43200</v>
      </c>
      <c r="AB6" s="85">
        <v>12</v>
      </c>
      <c r="AC6" s="85">
        <f t="shared" ref="AC6:AC22" si="13">I6*AB6/100</f>
        <v>576</v>
      </c>
      <c r="AD6" s="44">
        <f t="shared" si="10"/>
        <v>0</v>
      </c>
      <c r="AE6" s="39">
        <f t="shared" si="11"/>
        <v>0</v>
      </c>
    </row>
    <row r="7" spans="1:35" x14ac:dyDescent="0.2">
      <c r="A7" s="74" t="s">
        <v>103</v>
      </c>
      <c r="B7" s="75" t="s">
        <v>72</v>
      </c>
      <c r="C7" s="76">
        <v>20</v>
      </c>
      <c r="D7" s="23">
        <v>10</v>
      </c>
      <c r="E7" s="23">
        <v>550</v>
      </c>
      <c r="F7" s="14" t="s">
        <v>104</v>
      </c>
      <c r="G7" s="77">
        <v>9319696300204</v>
      </c>
      <c r="H7" s="78">
        <v>3917.4</v>
      </c>
      <c r="I7" s="70">
        <v>4400</v>
      </c>
      <c r="J7" s="70">
        <f t="shared" si="0"/>
        <v>8</v>
      </c>
      <c r="K7" s="79">
        <f t="shared" si="1"/>
        <v>0.48</v>
      </c>
      <c r="M7" s="80">
        <v>19.25</v>
      </c>
      <c r="N7" s="80">
        <v>20.5</v>
      </c>
      <c r="O7" s="81">
        <f t="shared" si="2"/>
        <v>154</v>
      </c>
      <c r="P7" s="81">
        <f t="shared" si="3"/>
        <v>164</v>
      </c>
      <c r="R7" s="23">
        <f t="shared" si="4"/>
        <v>55</v>
      </c>
      <c r="S7" s="23">
        <f t="shared" si="5"/>
        <v>550</v>
      </c>
      <c r="T7" s="82">
        <f t="shared" si="6"/>
        <v>666</v>
      </c>
      <c r="U7" s="70">
        <f t="shared" si="7"/>
        <v>5328</v>
      </c>
      <c r="V7" s="76">
        <v>184</v>
      </c>
      <c r="W7" s="70">
        <f t="shared" si="8"/>
        <v>29</v>
      </c>
      <c r="Y7" s="83">
        <v>15.5</v>
      </c>
      <c r="Z7" s="84">
        <f t="shared" si="9"/>
        <v>68200</v>
      </c>
      <c r="AB7" s="85">
        <v>21</v>
      </c>
      <c r="AC7" s="85">
        <f t="shared" si="13"/>
        <v>924</v>
      </c>
      <c r="AD7" s="44">
        <f t="shared" si="10"/>
        <v>0</v>
      </c>
      <c r="AE7" s="39">
        <f t="shared" si="11"/>
        <v>0</v>
      </c>
    </row>
    <row r="8" spans="1:35" x14ac:dyDescent="0.2">
      <c r="A8" s="74" t="s">
        <v>105</v>
      </c>
      <c r="B8" s="75" t="s">
        <v>72</v>
      </c>
      <c r="C8" s="76">
        <v>25</v>
      </c>
      <c r="D8" s="23">
        <v>10</v>
      </c>
      <c r="E8" s="23">
        <v>300</v>
      </c>
      <c r="F8" s="14" t="s">
        <v>106</v>
      </c>
      <c r="G8" s="77">
        <v>9319696300259</v>
      </c>
      <c r="H8" s="78">
        <v>3917.4</v>
      </c>
      <c r="I8" s="70">
        <v>1800</v>
      </c>
      <c r="J8" s="70">
        <f t="shared" si="0"/>
        <v>6</v>
      </c>
      <c r="K8" s="79">
        <f t="shared" si="1"/>
        <v>0.36</v>
      </c>
      <c r="M8" s="80">
        <v>16.5</v>
      </c>
      <c r="N8" s="80">
        <v>17.7</v>
      </c>
      <c r="O8" s="81">
        <f t="shared" si="2"/>
        <v>99</v>
      </c>
      <c r="P8" s="81">
        <f t="shared" si="3"/>
        <v>106.19999999999999</v>
      </c>
      <c r="R8" s="23">
        <f t="shared" si="4"/>
        <v>30</v>
      </c>
      <c r="S8" s="23">
        <f t="shared" si="5"/>
        <v>300</v>
      </c>
      <c r="T8" s="82">
        <f t="shared" si="6"/>
        <v>363</v>
      </c>
      <c r="U8" s="70">
        <f t="shared" si="7"/>
        <v>2178</v>
      </c>
      <c r="V8" s="23">
        <v>276</v>
      </c>
      <c r="W8" s="70">
        <f t="shared" si="8"/>
        <v>8</v>
      </c>
      <c r="Y8" s="83">
        <v>23.95</v>
      </c>
      <c r="Z8" s="84">
        <f t="shared" si="9"/>
        <v>43110</v>
      </c>
      <c r="AB8" s="85">
        <v>32</v>
      </c>
      <c r="AC8" s="85">
        <f t="shared" si="13"/>
        <v>576</v>
      </c>
      <c r="AD8" s="44">
        <f t="shared" si="10"/>
        <v>0</v>
      </c>
      <c r="AE8" s="39">
        <f t="shared" si="11"/>
        <v>0</v>
      </c>
    </row>
    <row r="9" spans="1:35" x14ac:dyDescent="0.2">
      <c r="A9" s="74" t="s">
        <v>107</v>
      </c>
      <c r="B9" s="86" t="s">
        <v>72</v>
      </c>
      <c r="C9" s="76">
        <v>15</v>
      </c>
      <c r="D9" s="23">
        <v>5</v>
      </c>
      <c r="E9" s="25">
        <v>200</v>
      </c>
      <c r="F9" s="87" t="s">
        <v>108</v>
      </c>
      <c r="G9" s="88" t="s">
        <v>109</v>
      </c>
      <c r="H9" s="78">
        <v>3917.4</v>
      </c>
      <c r="I9" s="70">
        <v>2000</v>
      </c>
      <c r="J9" s="70">
        <f t="shared" si="0"/>
        <v>10</v>
      </c>
      <c r="K9" s="79">
        <f t="shared" si="1"/>
        <v>0.6</v>
      </c>
      <c r="M9" s="80">
        <v>15</v>
      </c>
      <c r="N9" s="80">
        <v>16</v>
      </c>
      <c r="O9" s="81">
        <f t="shared" si="2"/>
        <v>150</v>
      </c>
      <c r="P9" s="81">
        <f t="shared" si="3"/>
        <v>160</v>
      </c>
      <c r="R9" s="23">
        <f t="shared" si="4"/>
        <v>40</v>
      </c>
      <c r="S9" s="21">
        <f t="shared" si="5"/>
        <v>200</v>
      </c>
      <c r="T9" s="82">
        <f t="shared" si="6"/>
        <v>264</v>
      </c>
      <c r="U9" s="70">
        <f t="shared" si="7"/>
        <v>2640</v>
      </c>
      <c r="V9" s="76">
        <v>184</v>
      </c>
      <c r="W9" s="70">
        <f t="shared" si="8"/>
        <v>15</v>
      </c>
      <c r="Y9" s="38">
        <v>18.850000000000001</v>
      </c>
      <c r="Z9" s="84">
        <f t="shared" si="9"/>
        <v>37700</v>
      </c>
      <c r="AB9" s="85">
        <v>28.999999999999996</v>
      </c>
      <c r="AC9" s="85">
        <f t="shared" si="13"/>
        <v>579.99999999999989</v>
      </c>
      <c r="AD9" s="44">
        <f t="shared" si="10"/>
        <v>0</v>
      </c>
      <c r="AE9" s="39">
        <f t="shared" si="11"/>
        <v>0</v>
      </c>
    </row>
    <row r="10" spans="1:35" x14ac:dyDescent="0.2">
      <c r="A10" s="74" t="s">
        <v>110</v>
      </c>
      <c r="B10" s="86" t="s">
        <v>72</v>
      </c>
      <c r="C10" s="76">
        <v>20</v>
      </c>
      <c r="D10" s="21">
        <v>5</v>
      </c>
      <c r="E10" s="21">
        <v>150</v>
      </c>
      <c r="F10" s="87" t="s">
        <v>111</v>
      </c>
      <c r="G10" s="88" t="s">
        <v>112</v>
      </c>
      <c r="H10" s="78">
        <v>3917.4</v>
      </c>
      <c r="I10" s="70">
        <v>2100</v>
      </c>
      <c r="J10" s="7">
        <f t="shared" si="0"/>
        <v>14</v>
      </c>
      <c r="K10" s="79">
        <f t="shared" si="1"/>
        <v>0.84</v>
      </c>
      <c r="M10" s="80">
        <v>15.8</v>
      </c>
      <c r="N10" s="80">
        <v>16.8</v>
      </c>
      <c r="O10" s="81">
        <f t="shared" si="2"/>
        <v>221.20000000000002</v>
      </c>
      <c r="P10" s="81">
        <f t="shared" si="3"/>
        <v>235.20000000000002</v>
      </c>
      <c r="R10" s="23">
        <f t="shared" si="4"/>
        <v>30</v>
      </c>
      <c r="S10" s="21">
        <f t="shared" si="5"/>
        <v>150</v>
      </c>
      <c r="T10" s="82">
        <f t="shared" si="6"/>
        <v>198</v>
      </c>
      <c r="U10" s="70">
        <f t="shared" si="7"/>
        <v>2772</v>
      </c>
      <c r="V10" s="23">
        <v>276</v>
      </c>
      <c r="W10" s="70">
        <f t="shared" si="8"/>
        <v>11</v>
      </c>
      <c r="Y10" s="38">
        <v>25.15</v>
      </c>
      <c r="Z10" s="84">
        <f t="shared" si="9"/>
        <v>52815</v>
      </c>
      <c r="AB10" s="85">
        <v>37</v>
      </c>
      <c r="AC10" s="85">
        <f t="shared" si="13"/>
        <v>777</v>
      </c>
      <c r="AD10" s="44">
        <f t="shared" si="10"/>
        <v>0</v>
      </c>
      <c r="AE10" s="39">
        <f t="shared" si="11"/>
        <v>0</v>
      </c>
    </row>
    <row r="11" spans="1:35" x14ac:dyDescent="0.2">
      <c r="A11" s="74" t="s">
        <v>113</v>
      </c>
      <c r="B11" s="86" t="s">
        <v>72</v>
      </c>
      <c r="C11" s="76">
        <v>25</v>
      </c>
      <c r="D11" s="21">
        <v>5</v>
      </c>
      <c r="E11" s="21">
        <v>125</v>
      </c>
      <c r="F11" s="87" t="s">
        <v>114</v>
      </c>
      <c r="G11" s="88" t="s">
        <v>115</v>
      </c>
      <c r="H11" s="78">
        <v>3917.4</v>
      </c>
      <c r="I11" s="70">
        <v>2000</v>
      </c>
      <c r="J11" s="7">
        <f t="shared" si="0"/>
        <v>16</v>
      </c>
      <c r="K11" s="79">
        <f t="shared" si="1"/>
        <v>0.96</v>
      </c>
      <c r="M11" s="80">
        <v>15.6</v>
      </c>
      <c r="N11" s="80">
        <v>16.600000000000001</v>
      </c>
      <c r="O11" s="81">
        <f t="shared" si="2"/>
        <v>249.6</v>
      </c>
      <c r="P11" s="81">
        <f t="shared" si="3"/>
        <v>265.60000000000002</v>
      </c>
      <c r="R11" s="23">
        <f t="shared" si="4"/>
        <v>25</v>
      </c>
      <c r="S11" s="21">
        <f t="shared" si="5"/>
        <v>125</v>
      </c>
      <c r="T11" s="82">
        <f t="shared" si="6"/>
        <v>165</v>
      </c>
      <c r="U11" s="70">
        <f t="shared" si="7"/>
        <v>2640</v>
      </c>
      <c r="V11" s="23">
        <v>276</v>
      </c>
      <c r="W11" s="70">
        <f t="shared" si="8"/>
        <v>10</v>
      </c>
      <c r="Y11" s="38">
        <v>35.200000000000003</v>
      </c>
      <c r="Z11" s="84">
        <f t="shared" si="9"/>
        <v>70400</v>
      </c>
      <c r="AB11" s="85">
        <v>52</v>
      </c>
      <c r="AC11" s="85">
        <f t="shared" si="13"/>
        <v>1040</v>
      </c>
      <c r="AD11" s="44">
        <f t="shared" si="10"/>
        <v>0</v>
      </c>
      <c r="AE11" s="39">
        <f t="shared" si="11"/>
        <v>0</v>
      </c>
    </row>
    <row r="12" spans="1:35" x14ac:dyDescent="0.2">
      <c r="A12" s="74" t="s">
        <v>116</v>
      </c>
      <c r="B12" s="75" t="s">
        <v>72</v>
      </c>
      <c r="C12" s="76">
        <v>15</v>
      </c>
      <c r="D12" s="23">
        <v>10</v>
      </c>
      <c r="E12" s="23">
        <v>1500</v>
      </c>
      <c r="F12" s="15" t="s">
        <v>117</v>
      </c>
      <c r="G12" s="77">
        <v>9319696120154</v>
      </c>
      <c r="H12" s="78">
        <v>3917.4</v>
      </c>
      <c r="I12" s="70">
        <v>3000</v>
      </c>
      <c r="J12" s="70">
        <f t="shared" si="0"/>
        <v>2</v>
      </c>
      <c r="K12" s="79">
        <f t="shared" si="1"/>
        <v>0.12</v>
      </c>
      <c r="M12" s="80">
        <v>13.5</v>
      </c>
      <c r="N12" s="80">
        <v>15.2</v>
      </c>
      <c r="O12" s="81">
        <f t="shared" si="2"/>
        <v>27</v>
      </c>
      <c r="P12" s="81">
        <f t="shared" si="3"/>
        <v>30.4</v>
      </c>
      <c r="R12" s="23">
        <f t="shared" si="4"/>
        <v>150</v>
      </c>
      <c r="S12" s="23">
        <f t="shared" si="5"/>
        <v>1500</v>
      </c>
      <c r="T12" s="82">
        <f t="shared" si="6"/>
        <v>1815</v>
      </c>
      <c r="U12" s="70">
        <f t="shared" si="7"/>
        <v>3630</v>
      </c>
      <c r="V12" s="89">
        <v>276</v>
      </c>
      <c r="W12" s="70">
        <f t="shared" si="8"/>
        <v>14</v>
      </c>
      <c r="Y12" s="83">
        <v>5.5</v>
      </c>
      <c r="Z12" s="84">
        <f t="shared" si="9"/>
        <v>16500</v>
      </c>
      <c r="AB12" s="85">
        <v>8</v>
      </c>
      <c r="AC12" s="85">
        <f t="shared" si="13"/>
        <v>240</v>
      </c>
      <c r="AD12" s="44">
        <f t="shared" si="10"/>
        <v>0</v>
      </c>
      <c r="AE12" s="39">
        <f t="shared" si="11"/>
        <v>0</v>
      </c>
    </row>
    <row r="13" spans="1:35" x14ac:dyDescent="0.2">
      <c r="A13" s="74" t="s">
        <v>118</v>
      </c>
      <c r="B13" s="75" t="s">
        <v>72</v>
      </c>
      <c r="C13" s="76">
        <v>20</v>
      </c>
      <c r="D13" s="23">
        <v>10</v>
      </c>
      <c r="E13" s="23">
        <v>780</v>
      </c>
      <c r="F13" s="14" t="s">
        <v>119</v>
      </c>
      <c r="G13" s="77">
        <v>9319696120208</v>
      </c>
      <c r="H13" s="78">
        <v>3917.4</v>
      </c>
      <c r="I13" s="70">
        <v>1560</v>
      </c>
      <c r="J13" s="70">
        <f t="shared" si="0"/>
        <v>2</v>
      </c>
      <c r="K13" s="79">
        <f t="shared" si="1"/>
        <v>0.12</v>
      </c>
      <c r="M13" s="80">
        <v>12.48</v>
      </c>
      <c r="N13" s="80">
        <v>13.8</v>
      </c>
      <c r="O13" s="81">
        <f t="shared" si="2"/>
        <v>24.96</v>
      </c>
      <c r="P13" s="81">
        <f t="shared" si="3"/>
        <v>27.6</v>
      </c>
      <c r="R13" s="23">
        <f t="shared" si="4"/>
        <v>78</v>
      </c>
      <c r="S13" s="23">
        <f t="shared" si="5"/>
        <v>780</v>
      </c>
      <c r="T13" s="82">
        <f t="shared" si="6"/>
        <v>944</v>
      </c>
      <c r="U13" s="70">
        <f t="shared" si="7"/>
        <v>1888</v>
      </c>
      <c r="V13" s="23">
        <v>276</v>
      </c>
      <c r="W13" s="70">
        <f t="shared" si="8"/>
        <v>7</v>
      </c>
      <c r="Y13" s="83">
        <v>8</v>
      </c>
      <c r="Z13" s="84">
        <f t="shared" si="9"/>
        <v>12480</v>
      </c>
      <c r="AB13" s="85">
        <v>11</v>
      </c>
      <c r="AC13" s="85">
        <f t="shared" si="13"/>
        <v>171.6</v>
      </c>
      <c r="AD13" s="44">
        <f t="shared" si="10"/>
        <v>0</v>
      </c>
      <c r="AE13" s="39">
        <f t="shared" si="11"/>
        <v>0</v>
      </c>
    </row>
    <row r="14" spans="1:35" x14ac:dyDescent="0.2">
      <c r="A14" s="74" t="s">
        <v>120</v>
      </c>
      <c r="B14" s="75" t="s">
        <v>72</v>
      </c>
      <c r="C14" s="76">
        <v>25</v>
      </c>
      <c r="D14" s="23">
        <v>10</v>
      </c>
      <c r="E14" s="23">
        <v>550</v>
      </c>
      <c r="F14" s="14" t="s">
        <v>121</v>
      </c>
      <c r="G14" s="77">
        <v>9319696120253</v>
      </c>
      <c r="H14" s="78">
        <v>3917.4</v>
      </c>
      <c r="I14" s="70">
        <v>2200</v>
      </c>
      <c r="J14" s="70">
        <f t="shared" si="0"/>
        <v>4</v>
      </c>
      <c r="K14" s="79">
        <f t="shared" si="1"/>
        <v>0.24</v>
      </c>
      <c r="M14" s="80">
        <v>12.8</v>
      </c>
      <c r="N14" s="80">
        <v>14</v>
      </c>
      <c r="O14" s="81">
        <f t="shared" si="2"/>
        <v>51.2</v>
      </c>
      <c r="P14" s="81">
        <f t="shared" si="3"/>
        <v>56</v>
      </c>
      <c r="R14" s="23">
        <f t="shared" si="4"/>
        <v>55</v>
      </c>
      <c r="S14" s="23">
        <f t="shared" si="5"/>
        <v>550</v>
      </c>
      <c r="T14" s="82">
        <f t="shared" si="6"/>
        <v>666</v>
      </c>
      <c r="U14" s="70">
        <f t="shared" si="7"/>
        <v>2664</v>
      </c>
      <c r="V14" s="23">
        <v>276</v>
      </c>
      <c r="W14" s="70">
        <f t="shared" si="8"/>
        <v>10</v>
      </c>
      <c r="Y14" s="83">
        <v>9.9499999999999993</v>
      </c>
      <c r="Z14" s="84">
        <f t="shared" si="9"/>
        <v>21890</v>
      </c>
      <c r="AB14" s="85">
        <v>13</v>
      </c>
      <c r="AC14" s="85">
        <f t="shared" si="13"/>
        <v>286</v>
      </c>
      <c r="AD14" s="44">
        <f t="shared" si="10"/>
        <v>0</v>
      </c>
      <c r="AE14" s="39">
        <f t="shared" si="11"/>
        <v>0</v>
      </c>
    </row>
    <row r="15" spans="1:35" x14ac:dyDescent="0.2">
      <c r="A15" s="90" t="s">
        <v>122</v>
      </c>
      <c r="B15" s="86" t="s">
        <v>72</v>
      </c>
      <c r="C15" s="89">
        <v>15</v>
      </c>
      <c r="D15" s="21">
        <v>10</v>
      </c>
      <c r="E15" s="21">
        <v>1900</v>
      </c>
      <c r="F15" s="3" t="s">
        <v>123</v>
      </c>
      <c r="G15" s="91">
        <v>9319696400157</v>
      </c>
      <c r="H15" s="92">
        <v>3917.4</v>
      </c>
      <c r="I15" s="7">
        <v>19000</v>
      </c>
      <c r="J15" s="7">
        <f t="shared" si="0"/>
        <v>10</v>
      </c>
      <c r="K15" s="31">
        <f t="shared" si="1"/>
        <v>0.6</v>
      </c>
      <c r="L15" s="5"/>
      <c r="M15" s="93">
        <v>17.100000000000001</v>
      </c>
      <c r="N15" s="93">
        <v>18.2</v>
      </c>
      <c r="O15" s="94">
        <f t="shared" si="2"/>
        <v>171</v>
      </c>
      <c r="P15" s="94">
        <f t="shared" si="3"/>
        <v>182</v>
      </c>
      <c r="Q15" s="5"/>
      <c r="R15" s="21">
        <f t="shared" si="4"/>
        <v>190</v>
      </c>
      <c r="S15" s="21">
        <f t="shared" si="5"/>
        <v>1900</v>
      </c>
      <c r="T15" s="37">
        <f t="shared" si="6"/>
        <v>2299</v>
      </c>
      <c r="U15" s="7">
        <f t="shared" si="7"/>
        <v>22990</v>
      </c>
      <c r="V15" s="89">
        <v>184</v>
      </c>
      <c r="W15" s="7">
        <f t="shared" si="8"/>
        <v>125</v>
      </c>
      <c r="X15" s="5"/>
      <c r="Y15" s="38">
        <v>5.5</v>
      </c>
      <c r="Z15" s="39">
        <f t="shared" si="9"/>
        <v>104500</v>
      </c>
      <c r="AA15" s="5"/>
      <c r="AB15" s="95">
        <v>9</v>
      </c>
      <c r="AC15" s="95">
        <f t="shared" si="13"/>
        <v>1710</v>
      </c>
      <c r="AD15" s="44">
        <f t="shared" si="10"/>
        <v>0</v>
      </c>
      <c r="AE15" s="39">
        <f t="shared" si="11"/>
        <v>0</v>
      </c>
      <c r="AH15" s="96"/>
      <c r="AI15" s="97"/>
    </row>
    <row r="16" spans="1:35" x14ac:dyDescent="0.2">
      <c r="A16" s="90" t="s">
        <v>124</v>
      </c>
      <c r="B16" s="86" t="s">
        <v>72</v>
      </c>
      <c r="C16" s="89">
        <v>20</v>
      </c>
      <c r="D16" s="21">
        <v>10</v>
      </c>
      <c r="E16" s="21">
        <v>890</v>
      </c>
      <c r="F16" s="3" t="s">
        <v>125</v>
      </c>
      <c r="G16" s="91">
        <v>9319696400201</v>
      </c>
      <c r="H16" s="92">
        <v>3917.4</v>
      </c>
      <c r="I16" s="7">
        <v>8010</v>
      </c>
      <c r="J16" s="7">
        <f t="shared" si="0"/>
        <v>9</v>
      </c>
      <c r="K16" s="31">
        <f t="shared" si="1"/>
        <v>0.54</v>
      </c>
      <c r="L16" s="5"/>
      <c r="M16" s="93">
        <v>11.9</v>
      </c>
      <c r="N16" s="93">
        <v>13.3</v>
      </c>
      <c r="O16" s="94">
        <f t="shared" si="2"/>
        <v>107.10000000000001</v>
      </c>
      <c r="P16" s="94">
        <f t="shared" si="3"/>
        <v>119.7</v>
      </c>
      <c r="Q16" s="5"/>
      <c r="R16" s="21">
        <f t="shared" si="4"/>
        <v>89</v>
      </c>
      <c r="S16" s="21">
        <f t="shared" si="5"/>
        <v>890</v>
      </c>
      <c r="T16" s="37">
        <f t="shared" si="6"/>
        <v>1077</v>
      </c>
      <c r="U16" s="7">
        <f t="shared" si="7"/>
        <v>9693</v>
      </c>
      <c r="V16" s="89">
        <v>184</v>
      </c>
      <c r="W16" s="7">
        <f t="shared" si="8"/>
        <v>53</v>
      </c>
      <c r="X16" s="5"/>
      <c r="Y16" s="38">
        <v>6.5</v>
      </c>
      <c r="Z16" s="39">
        <f t="shared" si="9"/>
        <v>52065</v>
      </c>
      <c r="AA16" s="5"/>
      <c r="AB16" s="95">
        <v>10</v>
      </c>
      <c r="AC16" s="95">
        <f t="shared" si="13"/>
        <v>801</v>
      </c>
      <c r="AD16" s="44">
        <f t="shared" si="10"/>
        <v>0</v>
      </c>
      <c r="AE16" s="39">
        <f t="shared" si="11"/>
        <v>0</v>
      </c>
      <c r="AH16" s="96"/>
      <c r="AI16" s="97"/>
    </row>
    <row r="17" spans="1:35" x14ac:dyDescent="0.2">
      <c r="A17" s="90" t="s">
        <v>126</v>
      </c>
      <c r="B17" s="86" t="s">
        <v>72</v>
      </c>
      <c r="C17" s="89">
        <v>25</v>
      </c>
      <c r="D17" s="21">
        <v>10</v>
      </c>
      <c r="E17" s="21">
        <v>600</v>
      </c>
      <c r="F17" s="3" t="s">
        <v>127</v>
      </c>
      <c r="G17" s="91">
        <v>9319696400256</v>
      </c>
      <c r="H17" s="92">
        <v>3917.4</v>
      </c>
      <c r="I17" s="7">
        <v>7200</v>
      </c>
      <c r="J17" s="7">
        <f t="shared" si="0"/>
        <v>12</v>
      </c>
      <c r="K17" s="31">
        <f t="shared" si="1"/>
        <v>0.72</v>
      </c>
      <c r="L17" s="5"/>
      <c r="M17" s="93">
        <v>15.6</v>
      </c>
      <c r="N17" s="93">
        <v>17</v>
      </c>
      <c r="O17" s="94">
        <f t="shared" si="2"/>
        <v>187.2</v>
      </c>
      <c r="P17" s="94">
        <f t="shared" si="3"/>
        <v>204</v>
      </c>
      <c r="Q17" s="5"/>
      <c r="R17" s="21">
        <f t="shared" si="4"/>
        <v>60</v>
      </c>
      <c r="S17" s="21">
        <f t="shared" si="5"/>
        <v>600</v>
      </c>
      <c r="T17" s="37">
        <f t="shared" si="6"/>
        <v>726</v>
      </c>
      <c r="U17" s="7">
        <f t="shared" si="7"/>
        <v>8712</v>
      </c>
      <c r="V17" s="89">
        <v>184</v>
      </c>
      <c r="W17" s="7">
        <f t="shared" si="8"/>
        <v>48</v>
      </c>
      <c r="X17" s="5"/>
      <c r="Y17" s="38">
        <v>10</v>
      </c>
      <c r="Z17" s="39">
        <f t="shared" si="9"/>
        <v>72000</v>
      </c>
      <c r="AA17" s="5"/>
      <c r="AB17" s="95">
        <v>16</v>
      </c>
      <c r="AC17" s="95">
        <f t="shared" si="13"/>
        <v>1152</v>
      </c>
      <c r="AD17" s="44">
        <f t="shared" si="10"/>
        <v>0</v>
      </c>
      <c r="AE17" s="39">
        <f t="shared" si="11"/>
        <v>0</v>
      </c>
      <c r="AH17" s="96"/>
      <c r="AI17" s="97"/>
    </row>
    <row r="18" spans="1:35" x14ac:dyDescent="0.2">
      <c r="A18" s="74" t="s">
        <v>128</v>
      </c>
      <c r="B18" s="75" t="s">
        <v>72</v>
      </c>
      <c r="C18" s="76" t="s">
        <v>129</v>
      </c>
      <c r="D18" s="23">
        <v>10</v>
      </c>
      <c r="E18" s="23">
        <v>2000</v>
      </c>
      <c r="F18" s="14" t="s">
        <v>130</v>
      </c>
      <c r="G18" s="77">
        <v>9319696720156</v>
      </c>
      <c r="H18" s="78">
        <v>3917.4</v>
      </c>
      <c r="I18" s="70">
        <v>8000</v>
      </c>
      <c r="J18" s="70">
        <f t="shared" si="0"/>
        <v>4</v>
      </c>
      <c r="K18" s="79">
        <f t="shared" si="1"/>
        <v>0.24</v>
      </c>
      <c r="M18" s="80">
        <v>16.8</v>
      </c>
      <c r="N18" s="80">
        <v>18.8</v>
      </c>
      <c r="O18" s="81">
        <f t="shared" si="2"/>
        <v>67.2</v>
      </c>
      <c r="P18" s="81">
        <f t="shared" si="3"/>
        <v>75.2</v>
      </c>
      <c r="R18" s="23">
        <f t="shared" si="4"/>
        <v>200</v>
      </c>
      <c r="S18" s="23">
        <f t="shared" si="5"/>
        <v>2000</v>
      </c>
      <c r="T18" s="82">
        <f t="shared" si="6"/>
        <v>2420</v>
      </c>
      <c r="U18" s="70">
        <f t="shared" si="7"/>
        <v>9680</v>
      </c>
      <c r="V18" s="76">
        <v>184</v>
      </c>
      <c r="W18" s="70">
        <f t="shared" si="8"/>
        <v>53</v>
      </c>
      <c r="Y18" s="83">
        <v>6</v>
      </c>
      <c r="Z18" s="84">
        <f t="shared" si="9"/>
        <v>48000</v>
      </c>
      <c r="AB18" s="85">
        <v>8</v>
      </c>
      <c r="AC18" s="85">
        <f t="shared" si="13"/>
        <v>640</v>
      </c>
      <c r="AD18" s="44">
        <f t="shared" si="10"/>
        <v>0</v>
      </c>
      <c r="AE18" s="39">
        <f t="shared" si="11"/>
        <v>0</v>
      </c>
    </row>
    <row r="19" spans="1:35" x14ac:dyDescent="0.2">
      <c r="A19" s="74" t="s">
        <v>131</v>
      </c>
      <c r="B19" s="75" t="s">
        <v>72</v>
      </c>
      <c r="C19" s="76" t="s">
        <v>132</v>
      </c>
      <c r="D19" s="23">
        <v>10</v>
      </c>
      <c r="E19" s="23">
        <v>1200</v>
      </c>
      <c r="F19" s="14" t="s">
        <v>133</v>
      </c>
      <c r="G19" s="77">
        <v>9319696725151</v>
      </c>
      <c r="H19" s="78">
        <v>3917.4</v>
      </c>
      <c r="I19" s="70">
        <v>2400</v>
      </c>
      <c r="J19" s="70">
        <f t="shared" si="0"/>
        <v>2</v>
      </c>
      <c r="K19" s="79">
        <f t="shared" si="1"/>
        <v>0.12</v>
      </c>
      <c r="M19" s="80">
        <v>20.9</v>
      </c>
      <c r="N19" s="80">
        <v>22.4</v>
      </c>
      <c r="O19" s="81">
        <f t="shared" si="2"/>
        <v>41.8</v>
      </c>
      <c r="P19" s="81">
        <f t="shared" si="3"/>
        <v>44.8</v>
      </c>
      <c r="R19" s="23">
        <f t="shared" si="4"/>
        <v>120</v>
      </c>
      <c r="S19" s="23">
        <f t="shared" si="5"/>
        <v>1200</v>
      </c>
      <c r="T19" s="82">
        <f t="shared" si="6"/>
        <v>1452</v>
      </c>
      <c r="U19" s="70">
        <f t="shared" si="7"/>
        <v>2904</v>
      </c>
      <c r="V19" s="76">
        <v>184</v>
      </c>
      <c r="W19" s="70">
        <f t="shared" si="8"/>
        <v>16</v>
      </c>
      <c r="Y19" s="83">
        <v>9.9499999999999993</v>
      </c>
      <c r="Z19" s="84">
        <f t="shared" si="9"/>
        <v>23880</v>
      </c>
      <c r="AB19" s="85">
        <v>13</v>
      </c>
      <c r="AC19" s="85">
        <f t="shared" si="13"/>
        <v>312</v>
      </c>
      <c r="AD19" s="44">
        <f t="shared" si="10"/>
        <v>0</v>
      </c>
      <c r="AE19" s="39">
        <f t="shared" si="11"/>
        <v>0</v>
      </c>
    </row>
    <row r="20" spans="1:35" x14ac:dyDescent="0.2">
      <c r="A20" s="74" t="s">
        <v>134</v>
      </c>
      <c r="B20" s="75" t="s">
        <v>72</v>
      </c>
      <c r="C20" s="76" t="s">
        <v>135</v>
      </c>
      <c r="D20" s="23">
        <v>10</v>
      </c>
      <c r="E20" s="23">
        <v>1100</v>
      </c>
      <c r="F20" s="14" t="s">
        <v>136</v>
      </c>
      <c r="G20" s="77">
        <v>9319696725205</v>
      </c>
      <c r="H20" s="78">
        <v>3917.4</v>
      </c>
      <c r="I20" s="70">
        <v>4400</v>
      </c>
      <c r="J20" s="70">
        <f t="shared" si="0"/>
        <v>4</v>
      </c>
      <c r="K20" s="79">
        <f t="shared" si="1"/>
        <v>0.24</v>
      </c>
      <c r="M20" s="80">
        <v>14.9</v>
      </c>
      <c r="N20" s="80">
        <v>16.3</v>
      </c>
      <c r="O20" s="81">
        <f t="shared" si="2"/>
        <v>59.6</v>
      </c>
      <c r="P20" s="81">
        <f t="shared" si="3"/>
        <v>65.2</v>
      </c>
      <c r="R20" s="23">
        <f t="shared" si="4"/>
        <v>110</v>
      </c>
      <c r="S20" s="23">
        <f t="shared" si="5"/>
        <v>1100</v>
      </c>
      <c r="T20" s="82">
        <f t="shared" si="6"/>
        <v>1331</v>
      </c>
      <c r="U20" s="70">
        <f t="shared" si="7"/>
        <v>5324</v>
      </c>
      <c r="V20" s="76">
        <v>184</v>
      </c>
      <c r="W20" s="70">
        <f t="shared" si="8"/>
        <v>29</v>
      </c>
      <c r="Y20" s="83">
        <v>9</v>
      </c>
      <c r="Z20" s="84">
        <f t="shared" si="9"/>
        <v>39600</v>
      </c>
      <c r="AB20" s="85">
        <v>12</v>
      </c>
      <c r="AC20" s="85">
        <f t="shared" si="13"/>
        <v>528</v>
      </c>
      <c r="AD20" s="44">
        <f t="shared" si="10"/>
        <v>0</v>
      </c>
      <c r="AE20" s="39">
        <f t="shared" si="11"/>
        <v>0</v>
      </c>
    </row>
    <row r="21" spans="1:35" x14ac:dyDescent="0.2">
      <c r="A21" s="74" t="s">
        <v>137</v>
      </c>
      <c r="B21" s="75" t="s">
        <v>72</v>
      </c>
      <c r="C21" s="76" t="s">
        <v>138</v>
      </c>
      <c r="D21" s="23">
        <v>10</v>
      </c>
      <c r="E21" s="23">
        <v>500</v>
      </c>
      <c r="F21" s="14" t="s">
        <v>139</v>
      </c>
      <c r="G21" s="77">
        <v>9319696740253</v>
      </c>
      <c r="H21" s="78">
        <v>3917.4</v>
      </c>
      <c r="I21" s="70">
        <v>2000</v>
      </c>
      <c r="J21" s="70">
        <f t="shared" si="0"/>
        <v>4</v>
      </c>
      <c r="K21" s="79">
        <f t="shared" si="1"/>
        <v>0.24</v>
      </c>
      <c r="M21" s="80">
        <v>20.8</v>
      </c>
      <c r="N21" s="80">
        <v>21.9</v>
      </c>
      <c r="O21" s="81">
        <f t="shared" si="2"/>
        <v>83.2</v>
      </c>
      <c r="P21" s="81">
        <f t="shared" si="3"/>
        <v>87.6</v>
      </c>
      <c r="R21" s="23">
        <f t="shared" si="4"/>
        <v>50</v>
      </c>
      <c r="S21" s="23">
        <f t="shared" si="5"/>
        <v>500</v>
      </c>
      <c r="T21" s="82">
        <f t="shared" si="6"/>
        <v>605</v>
      </c>
      <c r="U21" s="70">
        <f t="shared" si="7"/>
        <v>2420</v>
      </c>
      <c r="V21" s="76">
        <v>184</v>
      </c>
      <c r="W21" s="70">
        <f t="shared" si="8"/>
        <v>14</v>
      </c>
      <c r="Y21" s="84">
        <v>15.95</v>
      </c>
      <c r="Z21" s="84">
        <f t="shared" si="9"/>
        <v>31900</v>
      </c>
      <c r="AB21" s="85">
        <v>21</v>
      </c>
      <c r="AC21" s="85">
        <f t="shared" si="13"/>
        <v>420</v>
      </c>
      <c r="AD21" s="44">
        <f t="shared" si="10"/>
        <v>0</v>
      </c>
      <c r="AE21" s="39">
        <f t="shared" si="11"/>
        <v>0</v>
      </c>
    </row>
    <row r="22" spans="1:35" x14ac:dyDescent="0.2">
      <c r="A22" s="74" t="s">
        <v>140</v>
      </c>
      <c r="B22" s="75" t="s">
        <v>72</v>
      </c>
      <c r="C22" s="21">
        <v>20</v>
      </c>
      <c r="D22" s="23">
        <v>10</v>
      </c>
      <c r="E22" s="23">
        <v>750</v>
      </c>
      <c r="F22" s="15" t="s">
        <v>141</v>
      </c>
      <c r="G22" s="77">
        <v>9319696502004</v>
      </c>
      <c r="H22" s="78">
        <v>3917.4</v>
      </c>
      <c r="I22" s="70">
        <v>9000</v>
      </c>
      <c r="J22" s="70">
        <f t="shared" si="0"/>
        <v>12</v>
      </c>
      <c r="K22" s="79">
        <f t="shared" si="1"/>
        <v>0.72</v>
      </c>
      <c r="M22" s="80">
        <v>19.8</v>
      </c>
      <c r="N22" s="80">
        <v>21.5</v>
      </c>
      <c r="O22" s="81">
        <f t="shared" si="2"/>
        <v>237.60000000000002</v>
      </c>
      <c r="P22" s="81">
        <f t="shared" si="3"/>
        <v>258</v>
      </c>
      <c r="R22" s="76">
        <f t="shared" si="4"/>
        <v>75</v>
      </c>
      <c r="S22" s="76">
        <f t="shared" si="5"/>
        <v>750</v>
      </c>
      <c r="T22" s="23">
        <f t="shared" si="6"/>
        <v>908</v>
      </c>
      <c r="U22" s="70">
        <f t="shared" si="7"/>
        <v>10896</v>
      </c>
      <c r="V22" s="76">
        <v>184</v>
      </c>
      <c r="W22" s="70">
        <f t="shared" si="8"/>
        <v>60</v>
      </c>
      <c r="Y22" s="84">
        <v>11.85</v>
      </c>
      <c r="Z22" s="84">
        <f t="shared" si="9"/>
        <v>106650</v>
      </c>
      <c r="AB22" s="85">
        <v>16</v>
      </c>
      <c r="AC22" s="85">
        <f t="shared" si="13"/>
        <v>1440</v>
      </c>
      <c r="AD22" s="44">
        <f t="shared" si="10"/>
        <v>0</v>
      </c>
      <c r="AE22" s="39">
        <f t="shared" si="11"/>
        <v>0</v>
      </c>
    </row>
    <row r="23" spans="1:35" x14ac:dyDescent="0.2">
      <c r="A23" s="98"/>
      <c r="B23" s="98"/>
      <c r="C23" s="99"/>
      <c r="D23" s="100"/>
      <c r="E23" s="100"/>
      <c r="F23" s="101"/>
      <c r="G23" s="102" t="s">
        <v>30</v>
      </c>
      <c r="H23" s="102"/>
      <c r="I23" s="102">
        <f>SUBTOTAL(9,I5:I22)</f>
        <v>83870</v>
      </c>
      <c r="J23" s="102">
        <f>SUBTOTAL(9,J5:J22)</f>
        <v>125</v>
      </c>
      <c r="K23" s="103">
        <f>SUBTOTAL(9,K5:K22)</f>
        <v>7.5</v>
      </c>
      <c r="O23" s="104">
        <f>SUBTOTAL(9,O5:O22)</f>
        <v>2032.46</v>
      </c>
      <c r="P23" s="104">
        <f>SUBTOTAL(9,P5:P22)</f>
        <v>2192.5</v>
      </c>
      <c r="R23" s="105" t="s">
        <v>30</v>
      </c>
      <c r="S23" s="105"/>
      <c r="T23" s="105"/>
      <c r="U23" s="102">
        <f>SUBTOTAL(9,U5:U22)</f>
        <v>102167</v>
      </c>
      <c r="W23" s="102">
        <f>SUBTOTAL(9,W5:W22)</f>
        <v>534</v>
      </c>
      <c r="Y23" s="106"/>
      <c r="Z23" s="106">
        <f>SUBTOTAL(9,Z5:Z22)</f>
        <v>844890</v>
      </c>
      <c r="AB23" s="85"/>
      <c r="AC23" s="107">
        <f>SUBTOTAL(9,AC5:AC22)</f>
        <v>12173.6</v>
      </c>
      <c r="AD23" s="108"/>
      <c r="AE23" s="109">
        <f>SUBTOTAL(9,AE5:AE22)</f>
        <v>0</v>
      </c>
    </row>
  </sheetData>
  <mergeCells count="13">
    <mergeCell ref="AB3:AC3"/>
    <mergeCell ref="AD3:AE3"/>
    <mergeCell ref="R23:T23"/>
    <mergeCell ref="A2:C2"/>
    <mergeCell ref="AB2:AC2"/>
    <mergeCell ref="D3:E3"/>
    <mergeCell ref="I3:J3"/>
    <mergeCell ref="M3:M4"/>
    <mergeCell ref="N3:N4"/>
    <mergeCell ref="O3:O4"/>
    <mergeCell ref="P3:P4"/>
    <mergeCell ref="R3:T3"/>
    <mergeCell ref="Y3:Z3"/>
  </mergeCells>
  <pageMargins left="0.51181102362204722" right="0.51181102362204722" top="0.51181102362204722" bottom="0.51181102362204722" header="0" footer="0"/>
  <pageSetup paperSize="9"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</vt:lpstr>
      <vt:lpstr>GRN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2021-08-10T05:25:17Z</cp:lastPrinted>
  <dcterms:created xsi:type="dcterms:W3CDTF">2008-10-02T09:29:29Z</dcterms:created>
  <dcterms:modified xsi:type="dcterms:W3CDTF">2026-05-29T10:36:25Z</dcterms:modified>
</cp:coreProperties>
</file>