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-105" yWindow="-105" windowWidth="19425" windowHeight="10305"/>
  </bookViews>
  <sheets>
    <sheet name="Sheet1" sheetId="1" r:id="rId1"/>
    <sheet name="Sheet2" sheetId="3" r:id="rId2"/>
  </sheets>
  <definedNames>
    <definedName name="_xlnm.Print_Area" localSheetId="0">Sheet1!$A$1:$I$76</definedName>
    <definedName name="_xlnm.Print_Area" localSheetId="1">Sheet2!$A$1:$I$75</definedName>
  </definedNames>
  <calcPr calcId="152511"/>
</workbook>
</file>

<file path=xl/calcChain.xml><?xml version="1.0" encoding="utf-8"?>
<calcChain xmlns="http://schemas.openxmlformats.org/spreadsheetml/2006/main">
  <c r="E70" i="3" l="1"/>
  <c r="D70" i="3"/>
  <c r="D71" i="3"/>
  <c r="I70" i="1"/>
  <c r="H70" i="1"/>
  <c r="F30" i="3" l="1"/>
  <c r="F29" i="3"/>
  <c r="F28" i="3"/>
  <c r="F27" i="3"/>
  <c r="F26" i="3"/>
  <c r="E73" i="3" l="1"/>
  <c r="D73" i="3"/>
  <c r="E72" i="3"/>
  <c r="D72" i="3"/>
  <c r="D74" i="3" s="1"/>
  <c r="E71" i="3"/>
  <c r="E74" i="3" s="1"/>
  <c r="F51" i="3" l="1"/>
  <c r="F50" i="3"/>
  <c r="F61" i="1" l="1"/>
  <c r="F60" i="1"/>
  <c r="F40" i="1"/>
  <c r="F39" i="1"/>
  <c r="F52" i="3" l="1"/>
  <c r="F68" i="1"/>
  <c r="F67" i="1"/>
  <c r="F66" i="1"/>
  <c r="F65" i="1"/>
  <c r="F64" i="1"/>
  <c r="F63" i="1"/>
  <c r="F62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7" i="3" l="1"/>
  <c r="F46" i="3"/>
  <c r="F45" i="3"/>
  <c r="F44" i="3"/>
  <c r="F43" i="3"/>
  <c r="F42" i="3"/>
  <c r="F41" i="3"/>
  <c r="F40" i="3"/>
  <c r="F39" i="3"/>
  <c r="F38" i="3"/>
  <c r="F37" i="3"/>
  <c r="F38" i="1" l="1"/>
  <c r="F37" i="1"/>
  <c r="F33" i="3" l="1"/>
  <c r="F34" i="3"/>
  <c r="F28" i="1" l="1"/>
  <c r="F29" i="1"/>
  <c r="F30" i="1"/>
  <c r="F31" i="1"/>
  <c r="F32" i="1"/>
  <c r="F33" i="1"/>
  <c r="F34" i="1"/>
  <c r="F35" i="1"/>
  <c r="F36" i="1"/>
  <c r="G2" i="3" l="1"/>
  <c r="G4" i="3"/>
  <c r="F27" i="1" l="1"/>
  <c r="H74" i="3" l="1"/>
  <c r="F69" i="3"/>
  <c r="A7" i="3" l="1"/>
  <c r="A5" i="3"/>
  <c r="B24" i="3"/>
  <c r="B23" i="3"/>
  <c r="D21" i="3"/>
  <c r="A21" i="3"/>
  <c r="D20" i="3"/>
  <c r="A20" i="3"/>
  <c r="D19" i="3"/>
  <c r="A19" i="3"/>
  <c r="D18" i="3"/>
  <c r="A18" i="3"/>
  <c r="D17" i="3"/>
  <c r="A17" i="3"/>
  <c r="D16" i="3"/>
  <c r="A16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H14" i="3"/>
  <c r="H13" i="3"/>
  <c r="E14" i="3"/>
  <c r="E13" i="3"/>
  <c r="E12" i="3"/>
  <c r="E11" i="3"/>
  <c r="E10" i="3"/>
  <c r="E9" i="3"/>
  <c r="E8" i="3"/>
  <c r="A15" i="3"/>
  <c r="A14" i="3"/>
  <c r="A13" i="3"/>
  <c r="A12" i="3"/>
  <c r="A11" i="3"/>
  <c r="A10" i="3"/>
  <c r="A9" i="3"/>
  <c r="A8" i="3"/>
  <c r="D8" i="3"/>
  <c r="A6" i="3"/>
  <c r="A4" i="3"/>
  <c r="A2" i="3"/>
  <c r="G7" i="3"/>
  <c r="G6" i="3"/>
  <c r="G5" i="3"/>
  <c r="G3" i="3"/>
  <c r="I25" i="3" l="1"/>
  <c r="I68" i="3" s="1"/>
  <c r="H25" i="3"/>
  <c r="H68" i="3" s="1"/>
</calcChain>
</file>

<file path=xl/sharedStrings.xml><?xml version="1.0" encoding="utf-8"?>
<sst xmlns="http://schemas.openxmlformats.org/spreadsheetml/2006/main" count="249" uniqueCount="191">
  <si>
    <t>PACKING LIST</t>
  </si>
  <si>
    <t xml:space="preserve">Invoice No. </t>
  </si>
  <si>
    <t xml:space="preserve">Buyers Order No: </t>
  </si>
  <si>
    <t xml:space="preserve">                                                                                                          </t>
  </si>
  <si>
    <t>Other Reference(s):</t>
  </si>
  <si>
    <t xml:space="preserve">                                                                                                     </t>
  </si>
  <si>
    <t>On Account &amp; risks of</t>
  </si>
  <si>
    <t>Country of Origin</t>
  </si>
  <si>
    <t>Country of Final Destination</t>
  </si>
  <si>
    <t>INDIA</t>
  </si>
  <si>
    <t>AUSTRALIA</t>
  </si>
  <si>
    <t xml:space="preserve">Shipping Marks </t>
  </si>
  <si>
    <t>Pre-Carraige by:</t>
  </si>
  <si>
    <t>Place of Receipt by Pre-Carraige</t>
  </si>
  <si>
    <t xml:space="preserve">                                                              </t>
  </si>
  <si>
    <t>Shipped per:</t>
  </si>
  <si>
    <t>Port of Loading:</t>
  </si>
  <si>
    <t>Port of Discharge:</t>
  </si>
  <si>
    <t>Final Destination:</t>
  </si>
  <si>
    <t>Sr.Nos.</t>
  </si>
  <si>
    <t>No. &amp; Kind of Pkgs                       Description of Goods</t>
  </si>
  <si>
    <t>Quantity</t>
  </si>
  <si>
    <t>WEIGHT</t>
  </si>
  <si>
    <t>NETT</t>
  </si>
  <si>
    <t>GROSS</t>
  </si>
  <si>
    <t>KGS</t>
  </si>
  <si>
    <t>Messrs. Corecomp Pty Ltd.,</t>
  </si>
  <si>
    <t>T/A G.D.Watermark,</t>
  </si>
  <si>
    <t xml:space="preserve">FREMANTLE </t>
  </si>
  <si>
    <t>G.D.W.</t>
  </si>
  <si>
    <t>CODE</t>
  </si>
  <si>
    <t>SR NOS</t>
  </si>
  <si>
    <t>PIECES</t>
  </si>
  <si>
    <t>13, Tesla Link,</t>
  </si>
  <si>
    <t xml:space="preserve">Wangara WA 6065 (Australia) </t>
  </si>
  <si>
    <t>PLASTIC (PP) EXTRUDED PIPES</t>
  </si>
  <si>
    <t>JAIKVIN GLOBAL</t>
  </si>
  <si>
    <t>Merchant Exporters</t>
  </si>
  <si>
    <t>A-101, Rajshree Royale, Navroji Lane, Ghatkopar (W),</t>
  </si>
  <si>
    <t>MUMBAI-400 086. Maharashtra (State Code : 27)</t>
  </si>
  <si>
    <t>Tel: 9987122600 E-Mail: aalok.shah@jaikvinglobal.com</t>
  </si>
  <si>
    <t>Page 2</t>
  </si>
  <si>
    <t>BAL B/F…</t>
  </si>
  <si>
    <t>TOTAL WEIGHTS</t>
  </si>
  <si>
    <t>BREAK-UP OF WEIGHTS</t>
  </si>
  <si>
    <t>NET WT</t>
  </si>
  <si>
    <t>GROSS WT</t>
  </si>
  <si>
    <t>PLASTIC (PP) MOULDED FITTINGS</t>
  </si>
  <si>
    <t>PLASTIC (PA) MOULDED FITTINGS</t>
  </si>
  <si>
    <t>BALANCE C/F….</t>
  </si>
  <si>
    <t>LEN (MM)</t>
  </si>
  <si>
    <t>3/4"</t>
  </si>
  <si>
    <t>1"</t>
  </si>
  <si>
    <t>SIZE (MM/IN)</t>
  </si>
  <si>
    <t>Qty/Ctn-Pcs</t>
  </si>
  <si>
    <t>CARTONS</t>
  </si>
  <si>
    <t>TOTAL WEIGHTS……….</t>
  </si>
  <si>
    <t>NHAVA SHEVA-MUMBAI (INDIA)</t>
  </si>
  <si>
    <t>PLASTIC (PP) EXTRUDED PIPES : BOTH SIDE THREADED PIPES</t>
  </si>
  <si>
    <t xml:space="preserve">PLASTIC (PA) MOULDED FITTINGS  </t>
  </si>
  <si>
    <t xml:space="preserve"> </t>
  </si>
  <si>
    <t>Qty/Pkg-Pcs</t>
  </si>
  <si>
    <t>PKGS</t>
  </si>
  <si>
    <t>SIZE (MM)</t>
  </si>
  <si>
    <t>PP1509</t>
  </si>
  <si>
    <t>PE2518</t>
  </si>
  <si>
    <t>2"</t>
  </si>
  <si>
    <t>PP1518</t>
  </si>
  <si>
    <t>1/2"</t>
  </si>
  <si>
    <t>PE1548</t>
  </si>
  <si>
    <t>20*15</t>
  </si>
  <si>
    <t>CORRUGATED BOXES</t>
  </si>
  <si>
    <t>EXTRUDED PIPES, PLASTIC (PP) &amp; (PA) MOULDED FITTINGS &amp; CORRUGATED BOXES</t>
  </si>
  <si>
    <t>PE1536</t>
  </si>
  <si>
    <t>GD4</t>
  </si>
  <si>
    <t>JG/26-27/6002 DT 04.05.2026</t>
  </si>
  <si>
    <t>JG/26-P/09 DT 27.04.2026</t>
  </si>
  <si>
    <t xml:space="preserve">CONTAINER NO : </t>
  </si>
  <si>
    <t xml:space="preserve">SEAL NO : </t>
  </si>
  <si>
    <t>2001 - 2421 / 2421</t>
  </si>
  <si>
    <t>421 PACKAGES (343 CARTONS &amp; 78 HDP BUNDLES) CONTAINING PLASTIC (PP)</t>
  </si>
  <si>
    <t>2001-2015</t>
  </si>
  <si>
    <t>2016-2051</t>
  </si>
  <si>
    <t>2052-2064</t>
  </si>
  <si>
    <t>2065-2087</t>
  </si>
  <si>
    <t>2088-2103</t>
  </si>
  <si>
    <t>2104-2113</t>
  </si>
  <si>
    <t>2114-2120</t>
  </si>
  <si>
    <t>2121-2121</t>
  </si>
  <si>
    <t>2122-2122</t>
  </si>
  <si>
    <t>2123-2138</t>
  </si>
  <si>
    <t>2139-2142</t>
  </si>
  <si>
    <t>2143-2158</t>
  </si>
  <si>
    <t>2159-2168</t>
  </si>
  <si>
    <t>2169-2173</t>
  </si>
  <si>
    <t>2174-2177</t>
  </si>
  <si>
    <t>2178-2182</t>
  </si>
  <si>
    <t>2183-2192</t>
  </si>
  <si>
    <t>2193-2215</t>
  </si>
  <si>
    <t>2216-2223</t>
  </si>
  <si>
    <t>2224-2231</t>
  </si>
  <si>
    <t>2232-2241</t>
  </si>
  <si>
    <t>2242-2251</t>
  </si>
  <si>
    <t>2252-2255</t>
  </si>
  <si>
    <t>2256-2257</t>
  </si>
  <si>
    <t>2258-2258</t>
  </si>
  <si>
    <t>2259-2259</t>
  </si>
  <si>
    <t>2260-2260</t>
  </si>
  <si>
    <t>2261-2262</t>
  </si>
  <si>
    <t>2263-2263</t>
  </si>
  <si>
    <t>2264-2265</t>
  </si>
  <si>
    <t>2266-2267</t>
  </si>
  <si>
    <t>2268-2268</t>
  </si>
  <si>
    <t>2269-2269</t>
  </si>
  <si>
    <t>2270-2270</t>
  </si>
  <si>
    <t>2271-2272</t>
  </si>
  <si>
    <t>2273-2273</t>
  </si>
  <si>
    <t>2274-2274</t>
  </si>
  <si>
    <t>2275-2275</t>
  </si>
  <si>
    <t>2276-2277</t>
  </si>
  <si>
    <t>2278-2279</t>
  </si>
  <si>
    <t>2280-2281</t>
  </si>
  <si>
    <t>2282-2284</t>
  </si>
  <si>
    <t>PP1524</t>
  </si>
  <si>
    <t>PP2004</t>
  </si>
  <si>
    <t>PE2018</t>
  </si>
  <si>
    <t>PE2024</t>
  </si>
  <si>
    <t>PP2508</t>
  </si>
  <si>
    <t>PE2515</t>
  </si>
  <si>
    <t>PE2524</t>
  </si>
  <si>
    <t>PE3206</t>
  </si>
  <si>
    <t>PE3218</t>
  </si>
  <si>
    <t>PE3230</t>
  </si>
  <si>
    <t>PE4008</t>
  </si>
  <si>
    <t>PE4018</t>
  </si>
  <si>
    <t>PE5006</t>
  </si>
  <si>
    <t>PE5018</t>
  </si>
  <si>
    <t>1-1/4"</t>
  </si>
  <si>
    <t>1-1/2"</t>
  </si>
  <si>
    <t>PLASTIC (PP) EXTRUDED PIPES : M / F THREADED PIPES</t>
  </si>
  <si>
    <t>2285-2286</t>
  </si>
  <si>
    <t>2287-2296</t>
  </si>
  <si>
    <t>2297-2300</t>
  </si>
  <si>
    <t>2301-2304</t>
  </si>
  <si>
    <t>2305-2308</t>
  </si>
  <si>
    <t>PMF2524</t>
  </si>
  <si>
    <t>PMF2536</t>
  </si>
  <si>
    <t>1800    BUNDLES</t>
  </si>
  <si>
    <t xml:space="preserve">PLASTIC (PP) MOULDED FITTINGS  </t>
  </si>
  <si>
    <t>2309-2309</t>
  </si>
  <si>
    <t>2310-2311</t>
  </si>
  <si>
    <t>PET1512</t>
  </si>
  <si>
    <t>PP1501 / 5</t>
  </si>
  <si>
    <t>2312-2315</t>
  </si>
  <si>
    <t>2316-2317</t>
  </si>
  <si>
    <t>2318-2318</t>
  </si>
  <si>
    <t>2319-2322</t>
  </si>
  <si>
    <t>2323-2324</t>
  </si>
  <si>
    <t>2325-2327</t>
  </si>
  <si>
    <t>2328-2328</t>
  </si>
  <si>
    <t>2329-2332</t>
  </si>
  <si>
    <t>2333-2334</t>
  </si>
  <si>
    <t>2335-2342</t>
  </si>
  <si>
    <t>2343-2352</t>
  </si>
  <si>
    <t>GRC15</t>
  </si>
  <si>
    <t>GRC20</t>
  </si>
  <si>
    <t>GRC25</t>
  </si>
  <si>
    <t>GRMFE25</t>
  </si>
  <si>
    <t>GRRS2015</t>
  </si>
  <si>
    <t>GRRS2520</t>
  </si>
  <si>
    <t>25*20</t>
  </si>
  <si>
    <t>GRS25</t>
  </si>
  <si>
    <t>GRT15</t>
  </si>
  <si>
    <t>GRT20</t>
  </si>
  <si>
    <t>GRT25</t>
  </si>
  <si>
    <t>GRT32</t>
  </si>
  <si>
    <t>2353-2402</t>
  </si>
  <si>
    <t>2403-2420</t>
  </si>
  <si>
    <t>2421-2421</t>
  </si>
  <si>
    <t>GD3</t>
  </si>
  <si>
    <t>BUNDLES</t>
  </si>
  <si>
    <t>Qty/BDL-Pcs</t>
  </si>
  <si>
    <r>
      <t xml:space="preserve">570 X 368 X 178          </t>
    </r>
    <r>
      <rPr>
        <b/>
        <sz val="9"/>
        <rFont val="Arial"/>
        <family val="2"/>
      </rPr>
      <t>BUNDLES</t>
    </r>
  </si>
  <si>
    <r>
      <t xml:space="preserve">570 X 368 X 267          </t>
    </r>
    <r>
      <rPr>
        <b/>
        <sz val="9"/>
        <rFont val="Arial"/>
        <family val="2"/>
      </rPr>
      <t>BUNDLES</t>
    </r>
  </si>
  <si>
    <t>OOCU0793142</t>
  </si>
  <si>
    <t>IND-0054079</t>
  </si>
  <si>
    <t>BL : 'SFPM2605165498  DT. 19.05.2026</t>
  </si>
  <si>
    <t>Shipped per: CAPE SYROS VOYAGE 092E</t>
  </si>
  <si>
    <t>CAPE SYROS VOYAGE 092E</t>
  </si>
  <si>
    <t>FOR JAIKVIN GLOBAL</t>
  </si>
  <si>
    <t>PROPRIETOR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</si>
</sst>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;\-0;;@"/>
  </numFmts>
  <fonts count="15" x14ac:knownFonts="1">
    <font>
      <sz val="10"/>
      <name val="Times New Roman"/>
    </font>
    <font>
      <b/>
      <sz val="9"/>
      <color indexed="10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9"/>
      <color indexed="8"/>
      <name val="Arial"/>
      <family val="2"/>
    </font>
    <font>
      <u/>
      <sz val="9"/>
      <name val="Arial"/>
      <family val="2"/>
    </font>
    <font>
      <sz val="9"/>
      <color indexed="12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0"/>
      <name val="Arial"/>
      <family val="2"/>
    </font>
    <font>
      <b/>
      <sz val="18"/>
      <color indexed="16"/>
      <name val="Centaur"/>
      <family val="1"/>
    </font>
    <font>
      <sz val="10"/>
      <color indexed="16"/>
      <name val="Arial"/>
      <family val="2"/>
    </font>
    <font>
      <sz val="10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9" fillId="0" borderId="0"/>
    <xf numFmtId="0" fontId="13" fillId="0" borderId="0"/>
    <xf numFmtId="0" fontId="14" fillId="0" borderId="0"/>
  </cellStyleXfs>
  <cellXfs count="2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 applyProtection="1">
      <alignment horizontal="right"/>
      <protection locked="0"/>
    </xf>
    <xf numFmtId="0" fontId="3" fillId="0" borderId="3" xfId="0" applyFont="1" applyBorder="1"/>
    <xf numFmtId="0" fontId="2" fillId="0" borderId="4" xfId="0" applyFont="1" applyBorder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7" fillId="0" borderId="5" xfId="0" applyFont="1" applyBorder="1"/>
    <xf numFmtId="0" fontId="7" fillId="0" borderId="3" xfId="0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2" fillId="0" borderId="6" xfId="0" applyFont="1" applyBorder="1"/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10" xfId="0" applyFont="1" applyBorder="1"/>
    <xf numFmtId="0" fontId="7" fillId="0" borderId="5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7" fillId="0" borderId="11" xfId="0" applyFont="1" applyBorder="1"/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2" fillId="0" borderId="16" xfId="0" applyFont="1" applyBorder="1" applyAlignment="1">
      <alignment shrinkToFit="1"/>
    </xf>
    <xf numFmtId="0" fontId="2" fillId="0" borderId="17" xfId="0" applyFont="1" applyBorder="1" applyAlignment="1">
      <alignment shrinkToFit="1"/>
    </xf>
    <xf numFmtId="0" fontId="2" fillId="0" borderId="19" xfId="0" applyFont="1" applyBorder="1" applyAlignment="1">
      <alignment shrinkToFit="1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7" xfId="0" applyFont="1" applyBorder="1" applyAlignment="1">
      <alignment horizontal="center" shrinkToFit="1"/>
    </xf>
    <xf numFmtId="0" fontId="7" fillId="0" borderId="11" xfId="0" applyFont="1" applyBorder="1" applyAlignment="1">
      <alignment horizontal="right"/>
    </xf>
    <xf numFmtId="0" fontId="2" fillId="0" borderId="14" xfId="0" applyFont="1" applyBorder="1" applyAlignment="1">
      <alignment horizontal="center" shrinkToFit="1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shrinkToFit="1"/>
    </xf>
    <xf numFmtId="164" fontId="2" fillId="0" borderId="4" xfId="0" applyNumberFormat="1" applyFont="1" applyBorder="1" applyAlignment="1">
      <alignment horizontal="center"/>
    </xf>
    <xf numFmtId="165" fontId="2" fillId="0" borderId="2" xfId="0" applyNumberFormat="1" applyFont="1" applyBorder="1" applyAlignment="1" applyProtection="1">
      <alignment horizontal="right"/>
      <protection locked="0"/>
    </xf>
    <xf numFmtId="165" fontId="3" fillId="0" borderId="3" xfId="0" applyNumberFormat="1" applyFont="1" applyBorder="1"/>
    <xf numFmtId="165" fontId="2" fillId="0" borderId="4" xfId="0" applyNumberFormat="1" applyFont="1" applyBorder="1" applyProtection="1">
      <protection locked="0"/>
    </xf>
    <xf numFmtId="165" fontId="1" fillId="0" borderId="4" xfId="0" applyNumberFormat="1" applyFont="1" applyBorder="1" applyAlignment="1" applyProtection="1">
      <alignment horizontal="center"/>
      <protection locked="0"/>
    </xf>
    <xf numFmtId="165" fontId="2" fillId="0" borderId="4" xfId="0" applyNumberFormat="1" applyFont="1" applyBorder="1" applyAlignment="1" applyProtection="1">
      <alignment horizontal="center"/>
      <protection locked="0"/>
    </xf>
    <xf numFmtId="0" fontId="2" fillId="0" borderId="22" xfId="0" applyFont="1" applyBorder="1" applyAlignment="1">
      <alignment shrinkToFit="1"/>
    </xf>
    <xf numFmtId="0" fontId="2" fillId="0" borderId="22" xfId="0" applyFont="1" applyBorder="1" applyAlignment="1">
      <alignment horizontal="center" shrinkToFit="1"/>
    </xf>
    <xf numFmtId="164" fontId="2" fillId="0" borderId="23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4" xfId="0" applyFont="1" applyBorder="1" applyAlignment="1">
      <alignment shrinkToFit="1"/>
    </xf>
    <xf numFmtId="164" fontId="2" fillId="0" borderId="24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7" xfId="0" applyFont="1" applyBorder="1" applyAlignment="1">
      <alignment shrinkToFit="1"/>
    </xf>
    <xf numFmtId="0" fontId="2" fillId="0" borderId="5" xfId="0" applyFont="1" applyBorder="1" applyAlignment="1">
      <alignment shrinkToFit="1"/>
    </xf>
    <xf numFmtId="0" fontId="2" fillId="0" borderId="5" xfId="0" applyFont="1" applyBorder="1" applyAlignment="1">
      <alignment horizontal="center" shrinkToFit="1"/>
    </xf>
    <xf numFmtId="0" fontId="2" fillId="0" borderId="14" xfId="0" applyFont="1" applyBorder="1"/>
    <xf numFmtId="0" fontId="2" fillId="0" borderId="7" xfId="0" applyFont="1" applyBorder="1"/>
    <xf numFmtId="164" fontId="2" fillId="0" borderId="3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0" xfId="0" applyFont="1"/>
    <xf numFmtId="0" fontId="2" fillId="0" borderId="17" xfId="0" applyFont="1" applyBorder="1" applyAlignment="1">
      <alignment horizontal="left" shrinkToFit="1"/>
    </xf>
    <xf numFmtId="0" fontId="2" fillId="0" borderId="0" xfId="0" applyFont="1"/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0" xfId="0" applyFont="1"/>
    <xf numFmtId="0" fontId="2" fillId="0" borderId="0" xfId="0" applyFont="1"/>
    <xf numFmtId="164" fontId="2" fillId="0" borderId="27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4" xfId="0" applyFont="1" applyFill="1" applyBorder="1"/>
    <xf numFmtId="0" fontId="2" fillId="0" borderId="4" xfId="0" applyFont="1" applyFill="1" applyBorder="1" applyAlignment="1">
      <alignment horizontal="center" shrinkToFit="1"/>
    </xf>
    <xf numFmtId="0" fontId="2" fillId="0" borderId="4" xfId="0" applyFont="1" applyFill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7" xfId="0" applyFont="1" applyBorder="1" applyAlignment="1">
      <alignment shrinkToFit="1"/>
    </xf>
    <xf numFmtId="0" fontId="2" fillId="0" borderId="7" xfId="0" applyFont="1" applyBorder="1"/>
    <xf numFmtId="0" fontId="2" fillId="0" borderId="28" xfId="0" applyFont="1" applyBorder="1" applyAlignment="1">
      <alignment horizontal="center"/>
    </xf>
    <xf numFmtId="0" fontId="2" fillId="0" borderId="0" xfId="0" applyFont="1"/>
    <xf numFmtId="0" fontId="2" fillId="0" borderId="7" xfId="0" applyFont="1" applyBorder="1" applyAlignment="1">
      <alignment shrinkToFit="1"/>
    </xf>
    <xf numFmtId="0" fontId="2" fillId="0" borderId="7" xfId="0" applyFont="1" applyBorder="1"/>
    <xf numFmtId="0" fontId="2" fillId="0" borderId="29" xfId="0" applyFont="1" applyBorder="1" applyAlignment="1">
      <alignment shrinkToFit="1"/>
    </xf>
    <xf numFmtId="0" fontId="2" fillId="0" borderId="29" xfId="0" applyFont="1" applyBorder="1" applyAlignment="1">
      <alignment horizontal="center" shrinkToFit="1"/>
    </xf>
    <xf numFmtId="0" fontId="2" fillId="0" borderId="30" xfId="0" applyFont="1" applyBorder="1" applyAlignment="1">
      <alignment horizontal="center"/>
    </xf>
    <xf numFmtId="164" fontId="2" fillId="0" borderId="30" xfId="0" applyNumberFormat="1" applyFont="1" applyBorder="1" applyAlignment="1">
      <alignment horizontal="center"/>
    </xf>
    <xf numFmtId="0" fontId="2" fillId="0" borderId="0" xfId="0" applyFont="1"/>
    <xf numFmtId="0" fontId="2" fillId="0" borderId="2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5" fontId="12" fillId="0" borderId="5" xfId="0" applyNumberFormat="1" applyFont="1" applyBorder="1" applyAlignment="1">
      <alignment horizontal="right"/>
    </xf>
    <xf numFmtId="165" fontId="12" fillId="0" borderId="0" xfId="0" applyNumberFormat="1" applyFont="1" applyAlignment="1">
      <alignment horizontal="right"/>
    </xf>
    <xf numFmtId="165" fontId="12" fillId="0" borderId="10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0" xfId="0" applyFont="1"/>
    <xf numFmtId="0" fontId="2" fillId="0" borderId="10" xfId="0" applyFont="1" applyBorder="1"/>
    <xf numFmtId="0" fontId="4" fillId="0" borderId="5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0" xfId="0" applyFont="1" applyBorder="1" applyProtection="1">
      <protection locked="0"/>
    </xf>
    <xf numFmtId="0" fontId="3" fillId="0" borderId="12" xfId="0" applyFont="1" applyBorder="1"/>
    <xf numFmtId="0" fontId="3" fillId="0" borderId="13" xfId="0" applyFont="1" applyBorder="1"/>
    <xf numFmtId="165" fontId="12" fillId="0" borderId="1" xfId="0" applyNumberFormat="1" applyFont="1" applyBorder="1" applyAlignment="1">
      <alignment horizontal="right"/>
    </xf>
    <xf numFmtId="165" fontId="12" fillId="0" borderId="9" xfId="0" applyNumberFormat="1" applyFont="1" applyBorder="1" applyAlignment="1">
      <alignment horizontal="right"/>
    </xf>
    <xf numFmtId="165" fontId="12" fillId="0" borderId="11" xfId="0" applyNumberFormat="1" applyFont="1" applyBorder="1" applyAlignment="1">
      <alignment horizontal="right"/>
    </xf>
    <xf numFmtId="0" fontId="2" fillId="0" borderId="1" xfId="0" applyFont="1" applyBorder="1" applyAlignment="1" applyProtection="1">
      <alignment shrinkToFit="1"/>
      <protection locked="0"/>
    </xf>
    <xf numFmtId="0" fontId="2" fillId="0" borderId="9" xfId="0" applyFont="1" applyBorder="1" applyAlignment="1" applyProtection="1">
      <alignment shrinkToFit="1"/>
      <protection locked="0"/>
    </xf>
    <xf numFmtId="0" fontId="2" fillId="0" borderId="11" xfId="0" applyFont="1" applyBorder="1" applyAlignment="1" applyProtection="1">
      <alignment shrinkToFit="1"/>
      <protection locked="0"/>
    </xf>
    <xf numFmtId="0" fontId="3" fillId="0" borderId="12" xfId="0" quotePrefix="1" applyFont="1" applyBorder="1"/>
    <xf numFmtId="0" fontId="3" fillId="0" borderId="2" xfId="0" applyFont="1" applyBorder="1"/>
    <xf numFmtId="0" fontId="2" fillId="0" borderId="12" xfId="0" applyFont="1" applyBorder="1" applyAlignment="1" applyProtection="1">
      <alignment shrinkToFit="1"/>
      <protection locked="0"/>
    </xf>
    <xf numFmtId="0" fontId="2" fillId="0" borderId="13" xfId="0" applyFont="1" applyBorder="1" applyAlignment="1" applyProtection="1">
      <alignment shrinkToFit="1"/>
      <protection locked="0"/>
    </xf>
    <xf numFmtId="0" fontId="2" fillId="0" borderId="2" xfId="0" applyFont="1" applyBorder="1" applyAlignment="1" applyProtection="1">
      <alignment shrinkToFit="1"/>
      <protection locked="0"/>
    </xf>
    <xf numFmtId="0" fontId="2" fillId="0" borderId="1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1" xfId="0" applyFont="1" applyBorder="1"/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10" fillId="0" borderId="12" xfId="0" applyNumberFormat="1" applyFont="1" applyBorder="1" applyAlignment="1">
      <alignment horizontal="right"/>
    </xf>
    <xf numFmtId="165" fontId="10" fillId="0" borderId="13" xfId="0" applyNumberFormat="1" applyFont="1" applyBorder="1" applyAlignment="1">
      <alignment horizontal="right"/>
    </xf>
    <xf numFmtId="165" fontId="10" fillId="0" borderId="2" xfId="0" applyNumberFormat="1" applyFont="1" applyBorder="1" applyAlignment="1">
      <alignment horizontal="right"/>
    </xf>
    <xf numFmtId="165" fontId="10" fillId="0" borderId="5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right"/>
    </xf>
    <xf numFmtId="165" fontId="10" fillId="0" borderId="10" xfId="0" applyNumberFormat="1" applyFont="1" applyBorder="1" applyAlignment="1">
      <alignment horizontal="right"/>
    </xf>
    <xf numFmtId="165" fontId="11" fillId="0" borderId="5" xfId="0" applyNumberFormat="1" applyFont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65" fontId="11" fillId="0" borderId="10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2" xfId="0" applyFont="1" applyBorder="1"/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5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9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0" borderId="0" xfId="0" applyFont="1" applyProtection="1">
      <protection locked="0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7" fillId="0" borderId="6" xfId="0" applyFont="1" applyBorder="1" applyProtection="1">
      <protection locked="0"/>
    </xf>
    <xf numFmtId="0" fontId="7" fillId="0" borderId="10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0" xfId="0" applyFont="1" applyProtection="1">
      <protection locked="0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Protection="1">
      <protection locked="0"/>
    </xf>
    <xf numFmtId="0" fontId="3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2" xfId="0" applyFont="1" applyBorder="1" applyProtection="1">
      <protection locked="0"/>
    </xf>
    <xf numFmtId="0" fontId="6" fillId="0" borderId="12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2" fillId="0" borderId="6" xfId="0" applyFont="1" applyBorder="1" applyProtection="1">
      <protection locked="0"/>
    </xf>
    <xf numFmtId="0" fontId="2" fillId="0" borderId="5" xfId="0" applyFont="1" applyBorder="1" applyAlignment="1">
      <alignment horizontal="left" shrinkToFit="1"/>
    </xf>
    <xf numFmtId="0" fontId="2" fillId="0" borderId="0" xfId="0" applyFont="1" applyBorder="1" applyAlignment="1">
      <alignment horizontal="left" shrinkToFit="1"/>
    </xf>
    <xf numFmtId="0" fontId="2" fillId="0" borderId="10" xfId="0" applyFont="1" applyBorder="1" applyAlignment="1">
      <alignment horizontal="left" shrinkToFit="1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2" fillId="0" borderId="7" xfId="0" applyFont="1" applyBorder="1" applyAlignment="1">
      <alignment shrinkToFit="1"/>
    </xf>
    <xf numFmtId="0" fontId="2" fillId="0" borderId="4" xfId="0" applyFont="1" applyBorder="1" applyProtection="1"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2" fillId="0" borderId="7" xfId="0" applyFont="1" applyBorder="1"/>
    <xf numFmtId="165" fontId="2" fillId="0" borderId="1" xfId="0" applyNumberFormat="1" applyFont="1" applyBorder="1" applyProtection="1">
      <protection locked="0"/>
    </xf>
    <xf numFmtId="165" fontId="2" fillId="0" borderId="9" xfId="0" applyNumberFormat="1" applyFont="1" applyBorder="1" applyProtection="1">
      <protection locked="0"/>
    </xf>
    <xf numFmtId="165" fontId="2" fillId="0" borderId="9" xfId="0" applyNumberFormat="1" applyFont="1" applyBorder="1" applyAlignment="1">
      <alignment horizontal="right"/>
    </xf>
    <xf numFmtId="165" fontId="2" fillId="0" borderId="11" xfId="0" applyNumberFormat="1" applyFont="1" applyBorder="1" applyAlignment="1">
      <alignment horizontal="right"/>
    </xf>
    <xf numFmtId="165" fontId="2" fillId="0" borderId="5" xfId="0" applyNumberFormat="1" applyFont="1" applyBorder="1" applyProtection="1">
      <protection locked="0"/>
    </xf>
    <xf numFmtId="165" fontId="2" fillId="0" borderId="0" xfId="0" applyNumberFormat="1" applyFont="1" applyProtection="1">
      <protection locked="0"/>
    </xf>
    <xf numFmtId="165" fontId="2" fillId="0" borderId="10" xfId="0" applyNumberFormat="1" applyFont="1" applyBorder="1" applyProtection="1">
      <protection locked="0"/>
    </xf>
    <xf numFmtId="0" fontId="2" fillId="0" borderId="24" xfId="0" applyFont="1" applyBorder="1" applyAlignment="1">
      <alignment horizontal="left" shrinkToFit="1"/>
    </xf>
    <xf numFmtId="0" fontId="2" fillId="0" borderId="17" xfId="0" applyFont="1" applyBorder="1" applyAlignment="1">
      <alignment horizontal="left" shrinkToFit="1"/>
    </xf>
    <xf numFmtId="0" fontId="2" fillId="0" borderId="26" xfId="0" applyFont="1" applyBorder="1" applyAlignment="1">
      <alignment horizontal="left" shrinkToFit="1"/>
    </xf>
    <xf numFmtId="0" fontId="2" fillId="0" borderId="20" xfId="0" applyFont="1" applyBorder="1" applyAlignment="1">
      <alignment horizontal="left" shrinkToFit="1"/>
    </xf>
    <xf numFmtId="0" fontId="2" fillId="0" borderId="9" xfId="0" applyFont="1" applyFill="1" applyBorder="1" applyAlignment="1">
      <alignment horizontal="center" shrinkToFit="1"/>
    </xf>
    <xf numFmtId="0" fontId="2" fillId="0" borderId="11" xfId="0" applyFont="1" applyFill="1" applyBorder="1" applyAlignment="1">
      <alignment horizontal="center" shrinkToFit="1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3" fillId="0" borderId="12" xfId="0" applyNumberFormat="1" applyFont="1" applyBorder="1"/>
    <xf numFmtId="165" fontId="3" fillId="0" borderId="13" xfId="0" applyNumberFormat="1" applyFont="1" applyBorder="1"/>
    <xf numFmtId="165" fontId="3" fillId="0" borderId="2" xfId="0" applyNumberFormat="1" applyFont="1" applyBorder="1"/>
    <xf numFmtId="165" fontId="7" fillId="0" borderId="5" xfId="0" applyNumberFormat="1" applyFont="1" applyBorder="1" applyProtection="1">
      <protection locked="0"/>
    </xf>
    <xf numFmtId="165" fontId="7" fillId="0" borderId="10" xfId="0" applyNumberFormat="1" applyFont="1" applyBorder="1" applyProtection="1">
      <protection locked="0"/>
    </xf>
    <xf numFmtId="165" fontId="2" fillId="0" borderId="11" xfId="0" applyNumberFormat="1" applyFont="1" applyBorder="1" applyProtection="1">
      <protection locked="0"/>
    </xf>
    <xf numFmtId="165" fontId="7" fillId="0" borderId="1" xfId="0" applyNumberFormat="1" applyFont="1" applyBorder="1" applyProtection="1">
      <protection locked="0"/>
    </xf>
    <xf numFmtId="165" fontId="7" fillId="0" borderId="9" xfId="0" applyNumberFormat="1" applyFont="1" applyBorder="1" applyProtection="1">
      <protection locked="0"/>
    </xf>
    <xf numFmtId="165" fontId="7" fillId="0" borderId="11" xfId="0" applyNumberFormat="1" applyFont="1" applyBorder="1" applyProtection="1">
      <protection locked="0"/>
    </xf>
    <xf numFmtId="165" fontId="2" fillId="0" borderId="5" xfId="0" applyNumberFormat="1" applyFont="1" applyBorder="1" applyAlignment="1" applyProtection="1">
      <alignment horizontal="left"/>
      <protection locked="0"/>
    </xf>
    <xf numFmtId="165" fontId="2" fillId="0" borderId="10" xfId="0" applyNumberFormat="1" applyFont="1" applyBorder="1" applyAlignment="1" applyProtection="1">
      <alignment horizontal="left"/>
      <protection locked="0"/>
    </xf>
    <xf numFmtId="165" fontId="3" fillId="0" borderId="12" xfId="0" applyNumberFormat="1" applyFont="1" applyBorder="1" applyProtection="1">
      <protection locked="0"/>
    </xf>
    <xf numFmtId="165" fontId="3" fillId="0" borderId="13" xfId="0" applyNumberFormat="1" applyFont="1" applyBorder="1" applyProtection="1">
      <protection locked="0"/>
    </xf>
    <xf numFmtId="165" fontId="3" fillId="0" borderId="2" xfId="0" applyNumberFormat="1" applyFont="1" applyBorder="1" applyProtection="1">
      <protection locked="0"/>
    </xf>
    <xf numFmtId="165" fontId="2" fillId="0" borderId="1" xfId="0" applyNumberFormat="1" applyFont="1" applyBorder="1" applyAlignment="1" applyProtection="1">
      <alignment shrinkToFit="1"/>
      <protection locked="0"/>
    </xf>
    <xf numFmtId="165" fontId="2" fillId="0" borderId="9" xfId="0" applyNumberFormat="1" applyFont="1" applyBorder="1" applyAlignment="1" applyProtection="1">
      <alignment shrinkToFit="1"/>
      <protection locked="0"/>
    </xf>
    <xf numFmtId="165" fontId="2" fillId="0" borderId="11" xfId="0" applyNumberFormat="1" applyFont="1" applyBorder="1" applyAlignment="1" applyProtection="1">
      <alignment shrinkToFit="1"/>
      <protection locked="0"/>
    </xf>
    <xf numFmtId="0" fontId="2" fillId="0" borderId="14" xfId="0" applyFont="1" applyBorder="1" applyAlignment="1">
      <alignment shrinkToFit="1"/>
    </xf>
    <xf numFmtId="0" fontId="2" fillId="0" borderId="8" xfId="0" applyFont="1" applyBorder="1" applyAlignment="1">
      <alignment shrinkToFit="1"/>
    </xf>
    <xf numFmtId="0" fontId="2" fillId="0" borderId="15" xfId="0" applyFont="1" applyBorder="1" applyAlignment="1">
      <alignment shrinkToFit="1"/>
    </xf>
    <xf numFmtId="165" fontId="6" fillId="0" borderId="12" xfId="0" applyNumberFormat="1" applyFont="1" applyBorder="1" applyAlignment="1">
      <alignment horizontal="right"/>
    </xf>
    <xf numFmtId="165" fontId="6" fillId="0" borderId="13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165" fontId="3" fillId="0" borderId="5" xfId="0" applyNumberFormat="1" applyFont="1" applyBorder="1" applyProtection="1">
      <protection locked="0"/>
    </xf>
    <xf numFmtId="165" fontId="3" fillId="0" borderId="10" xfId="0" applyNumberFormat="1" applyFont="1" applyBorder="1" applyProtection="1"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165" fontId="2" fillId="0" borderId="9" xfId="0" applyNumberFormat="1" applyFont="1" applyBorder="1" applyAlignment="1" applyProtection="1">
      <alignment horizontal="center"/>
      <protection locked="0"/>
    </xf>
    <xf numFmtId="165" fontId="2" fillId="0" borderId="11" xfId="0" applyNumberFormat="1" applyFont="1" applyBorder="1" applyAlignment="1" applyProtection="1">
      <alignment horizontal="center"/>
      <protection locked="0"/>
    </xf>
    <xf numFmtId="165" fontId="3" fillId="0" borderId="1" xfId="0" applyNumberFormat="1" applyFont="1" applyBorder="1" applyProtection="1">
      <protection locked="0"/>
    </xf>
    <xf numFmtId="165" fontId="3" fillId="0" borderId="11" xfId="0" applyNumberFormat="1" applyFont="1" applyBorder="1" applyProtection="1">
      <protection locked="0"/>
    </xf>
    <xf numFmtId="0" fontId="2" fillId="0" borderId="1" xfId="0" applyFont="1" applyBorder="1" applyAlignment="1">
      <alignment shrinkToFit="1"/>
    </xf>
    <xf numFmtId="0" fontId="2" fillId="0" borderId="9" xfId="0" applyFont="1" applyBorder="1" applyAlignment="1">
      <alignment shrinkToFit="1"/>
    </xf>
    <xf numFmtId="0" fontId="2" fillId="0" borderId="9" xfId="0" applyFont="1" applyBorder="1" applyAlignment="1">
      <alignment horizontal="right" shrinkToFit="1"/>
    </xf>
    <xf numFmtId="0" fontId="2" fillId="0" borderId="11" xfId="0" applyFont="1" applyBorder="1" applyAlignment="1">
      <alignment horizontal="right" shrinkToFit="1"/>
    </xf>
    <xf numFmtId="0" fontId="2" fillId="0" borderId="1" xfId="0" applyFont="1" applyBorder="1" applyAlignment="1">
      <alignment horizontal="left" shrinkToFit="1"/>
    </xf>
    <xf numFmtId="0" fontId="2" fillId="0" borderId="9" xfId="0" applyFont="1" applyBorder="1" applyAlignment="1">
      <alignment horizontal="left" shrinkToFit="1"/>
    </xf>
    <xf numFmtId="0" fontId="2" fillId="0" borderId="11" xfId="0" applyFont="1" applyBorder="1" applyAlignment="1">
      <alignment horizontal="left" shrinkToFit="1"/>
    </xf>
    <xf numFmtId="165" fontId="1" fillId="0" borderId="1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5" fontId="1" fillId="0" borderId="1" xfId="0" applyNumberFormat="1" applyFont="1" applyBorder="1" applyAlignment="1" applyProtection="1">
      <alignment horizontal="center"/>
      <protection locked="0"/>
    </xf>
    <xf numFmtId="165" fontId="1" fillId="0" borderId="11" xfId="0" applyNumberFormat="1" applyFont="1" applyBorder="1" applyAlignment="1" applyProtection="1">
      <alignment horizontal="center"/>
      <protection locked="0"/>
    </xf>
    <xf numFmtId="165" fontId="1" fillId="0" borderId="1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right"/>
    </xf>
    <xf numFmtId="165" fontId="1" fillId="0" borderId="15" xfId="0" applyNumberFormat="1" applyFont="1" applyBorder="1" applyAlignment="1">
      <alignment horizontal="right"/>
    </xf>
    <xf numFmtId="165" fontId="2" fillId="0" borderId="1" xfId="0" applyNumberFormat="1" applyFont="1" applyBorder="1"/>
    <xf numFmtId="165" fontId="2" fillId="0" borderId="11" xfId="0" applyNumberFormat="1" applyFont="1" applyBorder="1"/>
    <xf numFmtId="165" fontId="2" fillId="0" borderId="12" xfId="0" applyNumberFormat="1" applyFont="1" applyBorder="1" applyProtection="1">
      <protection locked="0"/>
    </xf>
    <xf numFmtId="165" fontId="2" fillId="0" borderId="13" xfId="0" applyNumberFormat="1" applyFont="1" applyBorder="1" applyProtection="1">
      <protection locked="0"/>
    </xf>
    <xf numFmtId="165" fontId="2" fillId="0" borderId="2" xfId="0" applyNumberFormat="1" applyFont="1" applyBorder="1" applyProtection="1">
      <protection locked="0"/>
    </xf>
    <xf numFmtId="165" fontId="7" fillId="0" borderId="12" xfId="0" applyNumberFormat="1" applyFont="1" applyBorder="1" applyProtection="1">
      <protection locked="0"/>
    </xf>
    <xf numFmtId="165" fontId="7" fillId="0" borderId="13" xfId="0" applyNumberFormat="1" applyFont="1" applyBorder="1" applyProtection="1">
      <protection locked="0"/>
    </xf>
    <xf numFmtId="165" fontId="7" fillId="0" borderId="2" xfId="0" applyNumberFormat="1" applyFont="1" applyBorder="1" applyProtection="1">
      <protection locked="0"/>
    </xf>
    <xf numFmtId="165" fontId="7" fillId="0" borderId="0" xfId="0" applyNumberFormat="1" applyFont="1" applyProtection="1">
      <protection locked="0"/>
    </xf>
    <xf numFmtId="165" fontId="4" fillId="0" borderId="1" xfId="0" applyNumberFormat="1" applyFont="1" applyBorder="1" applyProtection="1">
      <protection locked="0"/>
    </xf>
    <xf numFmtId="165" fontId="4" fillId="0" borderId="9" xfId="0" applyNumberFormat="1" applyFont="1" applyBorder="1" applyProtection="1">
      <protection locked="0"/>
    </xf>
    <xf numFmtId="165" fontId="4" fillId="0" borderId="11" xfId="0" applyNumberFormat="1" applyFont="1" applyBorder="1" applyProtection="1">
      <protection locked="0"/>
    </xf>
    <xf numFmtId="165" fontId="2" fillId="0" borderId="5" xfId="0" applyNumberFormat="1" applyFont="1" applyBorder="1"/>
    <xf numFmtId="165" fontId="2" fillId="0" borderId="0" xfId="0" applyNumberFormat="1" applyFont="1"/>
    <xf numFmtId="165" fontId="2" fillId="0" borderId="10" xfId="0" applyNumberFormat="1" applyFont="1" applyBorder="1"/>
    <xf numFmtId="165" fontId="4" fillId="0" borderId="5" xfId="0" applyNumberFormat="1" applyFont="1" applyBorder="1" applyProtection="1">
      <protection locked="0"/>
    </xf>
    <xf numFmtId="165" fontId="4" fillId="0" borderId="0" xfId="0" applyNumberFormat="1" applyFont="1" applyProtection="1">
      <protection locked="0"/>
    </xf>
    <xf numFmtId="165" fontId="4" fillId="0" borderId="10" xfId="0" applyNumberFormat="1" applyFont="1" applyBorder="1" applyProtection="1">
      <protection locked="0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2" fillId="0" borderId="12" xfId="0" applyNumberFormat="1" applyFont="1" applyBorder="1" applyAlignment="1" applyProtection="1">
      <alignment shrinkToFit="1"/>
      <protection locked="0"/>
    </xf>
    <xf numFmtId="165" fontId="2" fillId="0" borderId="13" xfId="0" applyNumberFormat="1" applyFont="1" applyBorder="1" applyAlignment="1" applyProtection="1">
      <alignment shrinkToFit="1"/>
      <protection locked="0"/>
    </xf>
    <xf numFmtId="165" fontId="2" fillId="0" borderId="2" xfId="0" applyNumberFormat="1" applyFont="1" applyBorder="1" applyAlignment="1" applyProtection="1">
      <alignment shrinkToFit="1"/>
      <protection locked="0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85726</xdr:rowOff>
    </xdr:from>
    <xdr:to>
      <xdr:col>1</xdr:col>
      <xdr:colOff>114300</xdr:colOff>
      <xdr:row>6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47651"/>
          <a:ext cx="733425" cy="704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85726</xdr:rowOff>
    </xdr:from>
    <xdr:to>
      <xdr:col>1</xdr:col>
      <xdr:colOff>114300</xdr:colOff>
      <xdr:row>6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38126"/>
          <a:ext cx="73342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5"/>
  <sheetViews>
    <sheetView tabSelected="1" zoomScaleNormal="100" workbookViewId="0">
      <selection sqref="A1:I1"/>
    </sheetView>
  </sheetViews>
  <sheetFormatPr defaultColWidth="9.33203125" defaultRowHeight="12" x14ac:dyDescent="0.2"/>
  <cols>
    <col min="1" max="1" width="11.83203125" style="1" bestFit="1" customWidth="1"/>
    <col min="2" max="3" width="9.33203125" style="1"/>
    <col min="4" max="4" width="36.5" style="1" customWidth="1"/>
    <col min="5" max="5" width="12.6640625" style="1" bestFit="1" customWidth="1"/>
    <col min="6" max="6" width="9.33203125" style="1"/>
    <col min="7" max="7" width="9.1640625" style="1" bestFit="1" customWidth="1"/>
    <col min="8" max="9" width="12.33203125" style="1" customWidth="1"/>
    <col min="10" max="16384" width="9.33203125" style="1"/>
  </cols>
  <sheetData>
    <row r="1" spans="1:9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9"/>
    </row>
    <row r="2" spans="1:9" ht="12.75" customHeight="1" x14ac:dyDescent="0.2">
      <c r="A2" s="130" t="s">
        <v>36</v>
      </c>
      <c r="B2" s="131"/>
      <c r="C2" s="131"/>
      <c r="D2" s="132"/>
      <c r="E2" s="108" t="s">
        <v>1</v>
      </c>
      <c r="F2" s="117"/>
      <c r="G2" s="124" t="s">
        <v>75</v>
      </c>
      <c r="H2" s="124"/>
      <c r="I2" s="125"/>
    </row>
    <row r="3" spans="1:9" ht="12.75" customHeight="1" x14ac:dyDescent="0.2">
      <c r="A3" s="133"/>
      <c r="B3" s="134"/>
      <c r="C3" s="134"/>
      <c r="D3" s="135"/>
      <c r="E3" s="100"/>
      <c r="F3" s="126"/>
      <c r="G3" s="122"/>
      <c r="H3" s="122"/>
      <c r="I3" s="123"/>
    </row>
    <row r="4" spans="1:9" ht="12.75" x14ac:dyDescent="0.2">
      <c r="A4" s="136" t="s">
        <v>37</v>
      </c>
      <c r="B4" s="137"/>
      <c r="C4" s="137"/>
      <c r="D4" s="138"/>
      <c r="E4" s="108" t="s">
        <v>2</v>
      </c>
      <c r="F4" s="109"/>
      <c r="G4" s="118" t="s">
        <v>76</v>
      </c>
      <c r="H4" s="119"/>
      <c r="I4" s="120"/>
    </row>
    <row r="5" spans="1:9" ht="12.75" x14ac:dyDescent="0.2">
      <c r="A5" s="97" t="s">
        <v>38</v>
      </c>
      <c r="B5" s="98"/>
      <c r="C5" s="98"/>
      <c r="D5" s="99"/>
      <c r="E5" s="100" t="s">
        <v>3</v>
      </c>
      <c r="F5" s="101"/>
      <c r="G5" s="121"/>
      <c r="H5" s="122"/>
      <c r="I5" s="123"/>
    </row>
    <row r="6" spans="1:9" ht="12.75" x14ac:dyDescent="0.2">
      <c r="A6" s="97" t="s">
        <v>39</v>
      </c>
      <c r="B6" s="98"/>
      <c r="C6" s="98"/>
      <c r="D6" s="99"/>
      <c r="E6" s="108" t="s">
        <v>4</v>
      </c>
      <c r="F6" s="109"/>
      <c r="G6" s="118"/>
      <c r="H6" s="119"/>
      <c r="I6" s="120"/>
    </row>
    <row r="7" spans="1:9" ht="12.75" x14ac:dyDescent="0.2">
      <c r="A7" s="110" t="s">
        <v>40</v>
      </c>
      <c r="B7" s="111"/>
      <c r="C7" s="111"/>
      <c r="D7" s="112"/>
      <c r="E7" s="100" t="s">
        <v>5</v>
      </c>
      <c r="F7" s="101"/>
      <c r="G7" s="113"/>
      <c r="H7" s="114"/>
      <c r="I7" s="115"/>
    </row>
    <row r="8" spans="1:9" x14ac:dyDescent="0.2">
      <c r="A8" s="108" t="s">
        <v>6</v>
      </c>
      <c r="B8" s="109"/>
      <c r="C8" s="109"/>
      <c r="D8" s="3"/>
      <c r="E8" s="116" t="s">
        <v>186</v>
      </c>
      <c r="F8" s="109"/>
      <c r="G8" s="109"/>
      <c r="H8" s="109"/>
      <c r="I8" s="117"/>
    </row>
    <row r="9" spans="1:9" x14ac:dyDescent="0.2">
      <c r="A9" s="102" t="s">
        <v>26</v>
      </c>
      <c r="B9" s="103"/>
      <c r="C9" s="103"/>
      <c r="D9" s="104"/>
      <c r="E9" s="105"/>
      <c r="F9" s="106"/>
      <c r="G9" s="106"/>
      <c r="H9" s="106"/>
      <c r="I9" s="107"/>
    </row>
    <row r="10" spans="1:9" x14ac:dyDescent="0.2">
      <c r="A10" s="102" t="s">
        <v>27</v>
      </c>
      <c r="B10" s="103"/>
      <c r="C10" s="103"/>
      <c r="D10" s="104"/>
      <c r="E10" s="105" t="s">
        <v>187</v>
      </c>
      <c r="F10" s="106"/>
      <c r="G10" s="106"/>
      <c r="H10" s="106"/>
      <c r="I10" s="107"/>
    </row>
    <row r="11" spans="1:9" x14ac:dyDescent="0.2">
      <c r="A11" s="102" t="s">
        <v>33</v>
      </c>
      <c r="B11" s="103"/>
      <c r="C11" s="103"/>
      <c r="D11" s="104"/>
      <c r="E11" s="105"/>
      <c r="F11" s="106"/>
      <c r="G11" s="106"/>
      <c r="H11" s="106"/>
      <c r="I11" s="107"/>
    </row>
    <row r="12" spans="1:9" x14ac:dyDescent="0.2">
      <c r="A12" s="153" t="s">
        <v>34</v>
      </c>
      <c r="B12" s="106"/>
      <c r="C12" s="106"/>
      <c r="D12" s="107"/>
      <c r="E12" s="105"/>
      <c r="F12" s="106"/>
      <c r="G12" s="106"/>
      <c r="H12" s="106"/>
      <c r="I12" s="107"/>
    </row>
    <row r="13" spans="1:9" x14ac:dyDescent="0.2">
      <c r="A13" s="166"/>
      <c r="B13" s="167"/>
      <c r="C13" s="106"/>
      <c r="D13" s="107"/>
      <c r="E13" s="168" t="s">
        <v>7</v>
      </c>
      <c r="F13" s="169"/>
      <c r="G13" s="170"/>
      <c r="H13" s="108" t="s">
        <v>8</v>
      </c>
      <c r="I13" s="144"/>
    </row>
    <row r="14" spans="1:9" x14ac:dyDescent="0.2">
      <c r="A14" s="166"/>
      <c r="B14" s="167"/>
      <c r="C14" s="106"/>
      <c r="D14" s="107"/>
      <c r="E14" s="159" t="s">
        <v>9</v>
      </c>
      <c r="F14" s="160"/>
      <c r="G14" s="161"/>
      <c r="H14" s="162" t="s">
        <v>10</v>
      </c>
      <c r="I14" s="163"/>
    </row>
    <row r="15" spans="1:9" x14ac:dyDescent="0.2">
      <c r="A15" s="166"/>
      <c r="B15" s="167"/>
      <c r="C15" s="106"/>
      <c r="D15" s="107"/>
      <c r="E15" s="171" t="s">
        <v>11</v>
      </c>
      <c r="F15" s="172"/>
      <c r="G15" s="173" t="s">
        <v>77</v>
      </c>
      <c r="H15" s="174"/>
      <c r="I15" s="175"/>
    </row>
    <row r="16" spans="1:9" x14ac:dyDescent="0.2">
      <c r="A16" s="108" t="s">
        <v>12</v>
      </c>
      <c r="B16" s="109"/>
      <c r="C16" s="109"/>
      <c r="D16" s="4" t="s">
        <v>13</v>
      </c>
      <c r="E16" s="157" t="s">
        <v>29</v>
      </c>
      <c r="F16" s="158"/>
      <c r="G16" s="157" t="s">
        <v>184</v>
      </c>
      <c r="H16" s="158"/>
      <c r="I16" s="165"/>
    </row>
    <row r="17" spans="1:10" x14ac:dyDescent="0.2">
      <c r="A17" s="121" t="s">
        <v>14</v>
      </c>
      <c r="B17" s="122"/>
      <c r="C17" s="122"/>
      <c r="D17" s="5"/>
      <c r="E17" s="153" t="s">
        <v>79</v>
      </c>
      <c r="F17" s="106"/>
      <c r="G17" s="154" t="s">
        <v>60</v>
      </c>
      <c r="H17" s="155"/>
      <c r="I17" s="156"/>
    </row>
    <row r="18" spans="1:10" x14ac:dyDescent="0.2">
      <c r="A18" s="191" t="s">
        <v>15</v>
      </c>
      <c r="B18" s="192"/>
      <c r="C18" s="193"/>
      <c r="D18" s="4" t="s">
        <v>16</v>
      </c>
      <c r="E18" s="189"/>
      <c r="F18" s="190"/>
      <c r="G18" s="157" t="s">
        <v>78</v>
      </c>
      <c r="H18" s="158"/>
      <c r="I18" s="165"/>
    </row>
    <row r="19" spans="1:10" x14ac:dyDescent="0.2">
      <c r="A19" s="113" t="s">
        <v>188</v>
      </c>
      <c r="B19" s="114"/>
      <c r="C19" s="115"/>
      <c r="D19" s="7" t="s">
        <v>57</v>
      </c>
      <c r="E19" s="153"/>
      <c r="F19" s="106"/>
      <c r="G19" s="164" t="s">
        <v>185</v>
      </c>
      <c r="H19" s="165"/>
      <c r="I19" s="165"/>
    </row>
    <row r="20" spans="1:10" x14ac:dyDescent="0.2">
      <c r="A20" s="108" t="s">
        <v>17</v>
      </c>
      <c r="B20" s="109"/>
      <c r="C20" s="117"/>
      <c r="D20" s="4" t="s">
        <v>18</v>
      </c>
      <c r="E20" s="171"/>
      <c r="F20" s="106"/>
      <c r="G20" s="179"/>
      <c r="H20" s="107"/>
      <c r="I20" s="107"/>
    </row>
    <row r="21" spans="1:10" x14ac:dyDescent="0.2">
      <c r="A21" s="183" t="s">
        <v>28</v>
      </c>
      <c r="B21" s="184"/>
      <c r="C21" s="185"/>
      <c r="D21" s="6" t="s">
        <v>28</v>
      </c>
      <c r="E21" s="186"/>
      <c r="F21" s="122"/>
      <c r="G21" s="188"/>
      <c r="H21" s="123"/>
      <c r="I21" s="123"/>
    </row>
    <row r="22" spans="1:10" x14ac:dyDescent="0.2">
      <c r="A22" s="8" t="s">
        <v>19</v>
      </c>
      <c r="B22" s="147" t="s">
        <v>20</v>
      </c>
      <c r="C22" s="148"/>
      <c r="D22" s="148"/>
      <c r="E22" s="148"/>
      <c r="F22" s="149"/>
      <c r="G22" s="9" t="s">
        <v>21</v>
      </c>
      <c r="H22" s="145" t="s">
        <v>22</v>
      </c>
      <c r="I22" s="146"/>
    </row>
    <row r="23" spans="1:10" x14ac:dyDescent="0.2">
      <c r="A23" s="10"/>
      <c r="B23" s="150" t="s">
        <v>80</v>
      </c>
      <c r="C23" s="151"/>
      <c r="D23" s="151"/>
      <c r="E23" s="151"/>
      <c r="F23" s="152"/>
      <c r="G23" s="12"/>
      <c r="H23" s="13" t="s">
        <v>23</v>
      </c>
      <c r="I23" s="13" t="s">
        <v>24</v>
      </c>
    </row>
    <row r="24" spans="1:10" x14ac:dyDescent="0.2">
      <c r="A24" s="10"/>
      <c r="B24" s="180" t="s">
        <v>72</v>
      </c>
      <c r="C24" s="181"/>
      <c r="D24" s="181"/>
      <c r="E24" s="181"/>
      <c r="F24" s="182"/>
      <c r="G24" s="18"/>
      <c r="H24" s="14" t="s">
        <v>25</v>
      </c>
      <c r="I24" s="14" t="s">
        <v>25</v>
      </c>
    </row>
    <row r="25" spans="1:10" x14ac:dyDescent="0.2">
      <c r="A25" s="52"/>
      <c r="B25" s="187" t="s">
        <v>58</v>
      </c>
      <c r="C25" s="187"/>
      <c r="D25" s="187"/>
      <c r="E25" s="187"/>
      <c r="F25" s="187"/>
      <c r="G25" s="25"/>
      <c r="H25" s="60"/>
      <c r="I25" s="60"/>
    </row>
    <row r="26" spans="1:10" x14ac:dyDescent="0.2">
      <c r="A26" s="55" t="s">
        <v>31</v>
      </c>
      <c r="B26" s="37" t="s">
        <v>30</v>
      </c>
      <c r="C26" s="39" t="s">
        <v>53</v>
      </c>
      <c r="D26" s="37" t="s">
        <v>50</v>
      </c>
      <c r="E26" s="61" t="s">
        <v>61</v>
      </c>
      <c r="F26" s="37" t="s">
        <v>62</v>
      </c>
      <c r="G26" s="34" t="s">
        <v>32</v>
      </c>
      <c r="H26" s="42"/>
      <c r="I26" s="42"/>
    </row>
    <row r="27" spans="1:10" x14ac:dyDescent="0.2">
      <c r="A27" s="31" t="s">
        <v>81</v>
      </c>
      <c r="B27" s="35" t="s">
        <v>64</v>
      </c>
      <c r="C27" s="85">
        <v>15</v>
      </c>
      <c r="D27" s="54">
        <v>225</v>
      </c>
      <c r="E27" s="27">
        <v>400</v>
      </c>
      <c r="F27" s="27">
        <f t="shared" ref="F27:F35" si="0">G27/E27</f>
        <v>15</v>
      </c>
      <c r="G27" s="27">
        <v>6000</v>
      </c>
      <c r="H27" s="28">
        <v>242.10000000000002</v>
      </c>
      <c r="I27" s="28">
        <v>253</v>
      </c>
    </row>
    <row r="28" spans="1:10" x14ac:dyDescent="0.2">
      <c r="A28" s="31" t="s">
        <v>82</v>
      </c>
      <c r="B28" s="35" t="s">
        <v>67</v>
      </c>
      <c r="C28" s="65">
        <v>15</v>
      </c>
      <c r="D28" s="27">
        <v>457</v>
      </c>
      <c r="E28" s="27">
        <v>200</v>
      </c>
      <c r="F28" s="27">
        <f t="shared" si="0"/>
        <v>36</v>
      </c>
      <c r="G28" s="27">
        <v>7200</v>
      </c>
      <c r="H28" s="28">
        <v>581.04</v>
      </c>
      <c r="I28" s="28">
        <v>609.51</v>
      </c>
      <c r="J28" s="81"/>
    </row>
    <row r="29" spans="1:10" x14ac:dyDescent="0.2">
      <c r="A29" s="32" t="s">
        <v>83</v>
      </c>
      <c r="B29" s="36">
        <v>90441400</v>
      </c>
      <c r="C29" s="65" t="s">
        <v>68</v>
      </c>
      <c r="D29" s="27">
        <v>450</v>
      </c>
      <c r="E29" s="27">
        <v>200</v>
      </c>
      <c r="F29" s="27">
        <f t="shared" si="0"/>
        <v>13</v>
      </c>
      <c r="G29" s="27">
        <v>2600</v>
      </c>
      <c r="H29" s="28">
        <v>209.82</v>
      </c>
      <c r="I29" s="28">
        <v>220.35</v>
      </c>
    </row>
    <row r="30" spans="1:10" x14ac:dyDescent="0.2">
      <c r="A30" s="32" t="s">
        <v>84</v>
      </c>
      <c r="B30" s="36" t="s">
        <v>123</v>
      </c>
      <c r="C30" s="65">
        <v>15</v>
      </c>
      <c r="D30" s="27">
        <v>610</v>
      </c>
      <c r="E30" s="27">
        <v>100</v>
      </c>
      <c r="F30" s="27">
        <f t="shared" si="0"/>
        <v>23</v>
      </c>
      <c r="G30" s="27">
        <v>2300</v>
      </c>
      <c r="H30" s="28">
        <v>247.25</v>
      </c>
      <c r="I30" s="28">
        <v>267.72000000000003</v>
      </c>
    </row>
    <row r="31" spans="1:10" x14ac:dyDescent="0.2">
      <c r="A31" s="32" t="s">
        <v>85</v>
      </c>
      <c r="B31" s="36">
        <v>90441600</v>
      </c>
      <c r="C31" s="65" t="s">
        <v>68</v>
      </c>
      <c r="D31" s="27">
        <v>600</v>
      </c>
      <c r="E31" s="27">
        <v>100</v>
      </c>
      <c r="F31" s="27">
        <f t="shared" ref="F31:F32" si="1">G31/E31</f>
        <v>16</v>
      </c>
      <c r="G31" s="27">
        <v>1600</v>
      </c>
      <c r="H31" s="28">
        <v>172</v>
      </c>
      <c r="I31" s="28">
        <v>186.24</v>
      </c>
    </row>
    <row r="32" spans="1:10" x14ac:dyDescent="0.2">
      <c r="A32" s="32" t="s">
        <v>86</v>
      </c>
      <c r="B32" s="36" t="s">
        <v>73</v>
      </c>
      <c r="C32" s="65">
        <v>15</v>
      </c>
      <c r="D32" s="27">
        <v>915</v>
      </c>
      <c r="E32" s="27">
        <v>100</v>
      </c>
      <c r="F32" s="27">
        <f t="shared" si="1"/>
        <v>10</v>
      </c>
      <c r="G32" s="27">
        <v>1000</v>
      </c>
      <c r="H32" s="28">
        <v>161.4</v>
      </c>
      <c r="I32" s="28">
        <v>169.5</v>
      </c>
    </row>
    <row r="33" spans="1:16" x14ac:dyDescent="0.2">
      <c r="A33" s="63" t="s">
        <v>87</v>
      </c>
      <c r="B33" s="36">
        <v>90441800</v>
      </c>
      <c r="C33" s="65" t="s">
        <v>68</v>
      </c>
      <c r="D33" s="27">
        <v>900</v>
      </c>
      <c r="E33" s="27">
        <v>100</v>
      </c>
      <c r="F33" s="27">
        <f t="shared" si="0"/>
        <v>7</v>
      </c>
      <c r="G33" s="27">
        <v>700</v>
      </c>
      <c r="H33" s="28">
        <v>112.98</v>
      </c>
      <c r="I33" s="28">
        <v>118.64999999999999</v>
      </c>
      <c r="M33" s="70" t="s">
        <v>60</v>
      </c>
    </row>
    <row r="34" spans="1:16" x14ac:dyDescent="0.2">
      <c r="A34" s="32" t="s">
        <v>88</v>
      </c>
      <c r="B34" s="36" t="s">
        <v>69</v>
      </c>
      <c r="C34" s="65">
        <v>15</v>
      </c>
      <c r="D34" s="27">
        <v>1220</v>
      </c>
      <c r="E34" s="27">
        <v>50</v>
      </c>
      <c r="F34" s="27">
        <f t="shared" si="0"/>
        <v>1</v>
      </c>
      <c r="G34" s="27">
        <v>50</v>
      </c>
      <c r="H34" s="28">
        <v>10.75</v>
      </c>
      <c r="I34" s="28">
        <v>11.64</v>
      </c>
    </row>
    <row r="35" spans="1:16" x14ac:dyDescent="0.2">
      <c r="A35" s="32" t="s">
        <v>89</v>
      </c>
      <c r="B35" s="36" t="s">
        <v>124</v>
      </c>
      <c r="C35" s="65">
        <v>20</v>
      </c>
      <c r="D35" s="27">
        <v>100</v>
      </c>
      <c r="E35" s="27">
        <v>500</v>
      </c>
      <c r="F35" s="27">
        <f t="shared" si="0"/>
        <v>1</v>
      </c>
      <c r="G35" s="27">
        <v>500</v>
      </c>
      <c r="H35" s="28">
        <v>14</v>
      </c>
      <c r="I35" s="28">
        <v>15.24</v>
      </c>
    </row>
    <row r="36" spans="1:16" x14ac:dyDescent="0.2">
      <c r="A36" s="32" t="s">
        <v>90</v>
      </c>
      <c r="B36" s="36">
        <v>90447000</v>
      </c>
      <c r="C36" s="65" t="s">
        <v>51</v>
      </c>
      <c r="D36" s="27">
        <v>240</v>
      </c>
      <c r="E36" s="27">
        <v>250</v>
      </c>
      <c r="F36" s="27">
        <f t="shared" ref="F36" si="2">G36/E36</f>
        <v>16</v>
      </c>
      <c r="G36" s="27">
        <v>4000</v>
      </c>
      <c r="H36" s="28">
        <v>256</v>
      </c>
      <c r="I36" s="28">
        <v>276.8</v>
      </c>
      <c r="O36" s="1" t="s">
        <v>60</v>
      </c>
      <c r="P36" s="69"/>
    </row>
    <row r="37" spans="1:16" s="80" customFormat="1" x14ac:dyDescent="0.2">
      <c r="A37" s="32" t="s">
        <v>91</v>
      </c>
      <c r="B37" s="36" t="s">
        <v>125</v>
      </c>
      <c r="C37" s="65">
        <v>20</v>
      </c>
      <c r="D37" s="27">
        <v>457</v>
      </c>
      <c r="E37" s="27">
        <v>100</v>
      </c>
      <c r="F37" s="27">
        <f t="shared" ref="F37:F38" si="3">G37/E37</f>
        <v>4</v>
      </c>
      <c r="G37" s="27">
        <v>400</v>
      </c>
      <c r="H37" s="28">
        <v>52</v>
      </c>
      <c r="I37" s="28">
        <v>55.2</v>
      </c>
      <c r="O37" s="80" t="s">
        <v>60</v>
      </c>
    </row>
    <row r="38" spans="1:16" s="80" customFormat="1" x14ac:dyDescent="0.2">
      <c r="A38" s="31" t="s">
        <v>92</v>
      </c>
      <c r="B38" s="36">
        <v>90442400</v>
      </c>
      <c r="C38" s="65" t="s">
        <v>51</v>
      </c>
      <c r="D38" s="27">
        <v>450</v>
      </c>
      <c r="E38" s="27">
        <v>100</v>
      </c>
      <c r="F38" s="27">
        <f t="shared" si="3"/>
        <v>16</v>
      </c>
      <c r="G38" s="27">
        <v>1600</v>
      </c>
      <c r="H38" s="28">
        <v>208</v>
      </c>
      <c r="I38" s="28">
        <v>220.8</v>
      </c>
      <c r="O38" s="80" t="s">
        <v>60</v>
      </c>
    </row>
    <row r="39" spans="1:16" s="82" customFormat="1" x14ac:dyDescent="0.2">
      <c r="A39" s="31" t="s">
        <v>93</v>
      </c>
      <c r="B39" s="36" t="s">
        <v>126</v>
      </c>
      <c r="C39" s="65">
        <v>20</v>
      </c>
      <c r="D39" s="27">
        <v>610</v>
      </c>
      <c r="E39" s="27">
        <v>100</v>
      </c>
      <c r="F39" s="27">
        <f t="shared" ref="F39:F40" si="4">G39/E39</f>
        <v>10</v>
      </c>
      <c r="G39" s="27">
        <v>1000</v>
      </c>
      <c r="H39" s="28">
        <v>170</v>
      </c>
      <c r="I39" s="28">
        <v>183</v>
      </c>
    </row>
    <row r="40" spans="1:16" s="82" customFormat="1" x14ac:dyDescent="0.2">
      <c r="A40" s="31" t="s">
        <v>94</v>
      </c>
      <c r="B40" s="36">
        <v>90442700</v>
      </c>
      <c r="C40" s="65" t="s">
        <v>51</v>
      </c>
      <c r="D40" s="27">
        <v>750</v>
      </c>
      <c r="E40" s="27">
        <v>100</v>
      </c>
      <c r="F40" s="27">
        <f t="shared" si="4"/>
        <v>5</v>
      </c>
      <c r="G40" s="27">
        <v>500</v>
      </c>
      <c r="H40" s="28">
        <v>110</v>
      </c>
      <c r="I40" s="28">
        <v>115</v>
      </c>
    </row>
    <row r="41" spans="1:16" x14ac:dyDescent="0.2">
      <c r="A41" s="31" t="s">
        <v>95</v>
      </c>
      <c r="B41" s="36" t="s">
        <v>127</v>
      </c>
      <c r="C41" s="65">
        <v>25</v>
      </c>
      <c r="D41" s="27">
        <v>200</v>
      </c>
      <c r="E41" s="27">
        <v>150</v>
      </c>
      <c r="F41" s="27">
        <f t="shared" ref="F41:F68" si="5">G41/E41</f>
        <v>4</v>
      </c>
      <c r="G41" s="27">
        <v>600</v>
      </c>
      <c r="H41" s="28">
        <v>43.2</v>
      </c>
      <c r="I41" s="28">
        <v>46.88</v>
      </c>
      <c r="P41" s="69"/>
    </row>
    <row r="42" spans="1:16" x14ac:dyDescent="0.2">
      <c r="A42" s="32" t="s">
        <v>96</v>
      </c>
      <c r="B42" s="36">
        <v>90448000</v>
      </c>
      <c r="C42" s="65" t="s">
        <v>52</v>
      </c>
      <c r="D42" s="27">
        <v>270</v>
      </c>
      <c r="E42" s="27">
        <v>100</v>
      </c>
      <c r="F42" s="27">
        <f t="shared" si="5"/>
        <v>5</v>
      </c>
      <c r="G42" s="27">
        <v>500</v>
      </c>
      <c r="H42" s="28">
        <v>49.3</v>
      </c>
      <c r="I42" s="28">
        <v>53.5</v>
      </c>
    </row>
    <row r="43" spans="1:16" s="73" customFormat="1" x14ac:dyDescent="0.2">
      <c r="A43" s="32" t="s">
        <v>97</v>
      </c>
      <c r="B43" s="36" t="s">
        <v>128</v>
      </c>
      <c r="C43" s="65">
        <v>25</v>
      </c>
      <c r="D43" s="27">
        <v>375</v>
      </c>
      <c r="E43" s="27">
        <v>100</v>
      </c>
      <c r="F43" s="27">
        <f t="shared" si="5"/>
        <v>10</v>
      </c>
      <c r="G43" s="27">
        <v>1000</v>
      </c>
      <c r="H43" s="28">
        <v>137</v>
      </c>
      <c r="I43" s="28">
        <v>146.5</v>
      </c>
    </row>
    <row r="44" spans="1:16" s="73" customFormat="1" x14ac:dyDescent="0.2">
      <c r="A44" s="32" t="s">
        <v>98</v>
      </c>
      <c r="B44" s="36" t="s">
        <v>65</v>
      </c>
      <c r="C44" s="65">
        <v>25</v>
      </c>
      <c r="D44" s="27">
        <v>457</v>
      </c>
      <c r="E44" s="27">
        <v>100</v>
      </c>
      <c r="F44" s="27">
        <f t="shared" si="5"/>
        <v>23</v>
      </c>
      <c r="G44" s="27">
        <v>2300</v>
      </c>
      <c r="H44" s="28">
        <v>391</v>
      </c>
      <c r="I44" s="28">
        <v>418.59999999999997</v>
      </c>
    </row>
    <row r="45" spans="1:16" s="73" customFormat="1" x14ac:dyDescent="0.2">
      <c r="A45" s="32" t="s">
        <v>99</v>
      </c>
      <c r="B45" s="36">
        <v>90443400</v>
      </c>
      <c r="C45" s="65" t="s">
        <v>52</v>
      </c>
      <c r="D45" s="27">
        <v>450</v>
      </c>
      <c r="E45" s="27">
        <v>100</v>
      </c>
      <c r="F45" s="27">
        <f t="shared" si="5"/>
        <v>8</v>
      </c>
      <c r="G45" s="27">
        <v>800</v>
      </c>
      <c r="H45" s="28">
        <v>136</v>
      </c>
      <c r="I45" s="28">
        <v>145.6</v>
      </c>
    </row>
    <row r="46" spans="1:16" s="73" customFormat="1" x14ac:dyDescent="0.2">
      <c r="A46" s="32" t="s">
        <v>100</v>
      </c>
      <c r="B46" s="36" t="s">
        <v>129</v>
      </c>
      <c r="C46" s="65">
        <v>25</v>
      </c>
      <c r="D46" s="27">
        <v>610</v>
      </c>
      <c r="E46" s="27">
        <v>50</v>
      </c>
      <c r="F46" s="27">
        <f t="shared" si="5"/>
        <v>8</v>
      </c>
      <c r="G46" s="27">
        <v>400</v>
      </c>
      <c r="H46" s="28">
        <v>94</v>
      </c>
      <c r="I46" s="28">
        <v>100.96</v>
      </c>
    </row>
    <row r="47" spans="1:16" s="73" customFormat="1" x14ac:dyDescent="0.2">
      <c r="A47" s="32" t="s">
        <v>101</v>
      </c>
      <c r="B47" s="36">
        <v>90443600</v>
      </c>
      <c r="C47" s="65" t="s">
        <v>52</v>
      </c>
      <c r="D47" s="27">
        <v>600</v>
      </c>
      <c r="E47" s="27">
        <v>50</v>
      </c>
      <c r="F47" s="27">
        <f t="shared" si="5"/>
        <v>10</v>
      </c>
      <c r="G47" s="27">
        <v>500</v>
      </c>
      <c r="H47" s="28">
        <v>117.5</v>
      </c>
      <c r="I47" s="28">
        <v>126.19999999999999</v>
      </c>
    </row>
    <row r="48" spans="1:16" x14ac:dyDescent="0.2">
      <c r="A48" s="32" t="s">
        <v>102</v>
      </c>
      <c r="B48" s="36">
        <v>90443700</v>
      </c>
      <c r="C48" s="65" t="s">
        <v>52</v>
      </c>
      <c r="D48" s="27">
        <v>750</v>
      </c>
      <c r="E48" s="27">
        <v>50</v>
      </c>
      <c r="F48" s="27">
        <f t="shared" si="5"/>
        <v>10</v>
      </c>
      <c r="G48" s="27">
        <v>500</v>
      </c>
      <c r="H48" s="28">
        <v>143</v>
      </c>
      <c r="I48" s="28">
        <v>153</v>
      </c>
    </row>
    <row r="49" spans="1:9" s="82" customFormat="1" x14ac:dyDescent="0.2">
      <c r="A49" s="32" t="s">
        <v>103</v>
      </c>
      <c r="B49" s="36">
        <v>90443900</v>
      </c>
      <c r="C49" s="65" t="s">
        <v>52</v>
      </c>
      <c r="D49" s="27" t="s">
        <v>147</v>
      </c>
      <c r="E49" s="27">
        <v>50</v>
      </c>
      <c r="F49" s="27">
        <f t="shared" si="5"/>
        <v>4</v>
      </c>
      <c r="G49" s="27">
        <v>200</v>
      </c>
      <c r="H49" s="28">
        <v>132</v>
      </c>
      <c r="I49" s="28">
        <v>133.6</v>
      </c>
    </row>
    <row r="50" spans="1:9" s="82" customFormat="1" x14ac:dyDescent="0.2">
      <c r="A50" s="32" t="s">
        <v>104</v>
      </c>
      <c r="B50" s="36" t="s">
        <v>130</v>
      </c>
      <c r="C50" s="65">
        <v>32</v>
      </c>
      <c r="D50" s="27">
        <v>150</v>
      </c>
      <c r="E50" s="27">
        <v>300</v>
      </c>
      <c r="F50" s="27">
        <f t="shared" si="5"/>
        <v>2</v>
      </c>
      <c r="G50" s="27">
        <v>600</v>
      </c>
      <c r="H50" s="28">
        <v>45</v>
      </c>
      <c r="I50" s="28">
        <v>47.96</v>
      </c>
    </row>
    <row r="51" spans="1:9" s="82" customFormat="1" x14ac:dyDescent="0.2">
      <c r="A51" s="32" t="s">
        <v>105</v>
      </c>
      <c r="B51" s="36">
        <v>90446200</v>
      </c>
      <c r="C51" s="65" t="s">
        <v>137</v>
      </c>
      <c r="D51" s="27">
        <v>150</v>
      </c>
      <c r="E51" s="27">
        <v>300</v>
      </c>
      <c r="F51" s="27">
        <f t="shared" si="5"/>
        <v>1</v>
      </c>
      <c r="G51" s="27">
        <v>300</v>
      </c>
      <c r="H51" s="28">
        <v>22.5</v>
      </c>
      <c r="I51" s="28">
        <v>23.98</v>
      </c>
    </row>
    <row r="52" spans="1:9" s="82" customFormat="1" x14ac:dyDescent="0.2">
      <c r="A52" s="32" t="s">
        <v>106</v>
      </c>
      <c r="B52" s="36" t="s">
        <v>131</v>
      </c>
      <c r="C52" s="65">
        <v>32</v>
      </c>
      <c r="D52" s="27">
        <v>450</v>
      </c>
      <c r="E52" s="27">
        <v>100</v>
      </c>
      <c r="F52" s="27">
        <f t="shared" si="5"/>
        <v>1</v>
      </c>
      <c r="G52" s="27">
        <v>100</v>
      </c>
      <c r="H52" s="28">
        <v>22.5</v>
      </c>
      <c r="I52" s="28">
        <v>23.98</v>
      </c>
    </row>
    <row r="53" spans="1:9" s="82" customFormat="1" x14ac:dyDescent="0.2">
      <c r="A53" s="32" t="s">
        <v>107</v>
      </c>
      <c r="B53" s="36">
        <v>90446400</v>
      </c>
      <c r="C53" s="65" t="s">
        <v>137</v>
      </c>
      <c r="D53" s="27">
        <v>450</v>
      </c>
      <c r="E53" s="27">
        <v>100</v>
      </c>
      <c r="F53" s="27">
        <f t="shared" si="5"/>
        <v>1</v>
      </c>
      <c r="G53" s="27">
        <v>100</v>
      </c>
      <c r="H53" s="28">
        <v>22.5</v>
      </c>
      <c r="I53" s="28">
        <v>23.98</v>
      </c>
    </row>
    <row r="54" spans="1:9" s="82" customFormat="1" x14ac:dyDescent="0.2">
      <c r="A54" s="32" t="s">
        <v>108</v>
      </c>
      <c r="B54" s="36">
        <v>90446600</v>
      </c>
      <c r="C54" s="65" t="s">
        <v>137</v>
      </c>
      <c r="D54" s="27">
        <v>600</v>
      </c>
      <c r="E54" s="27">
        <v>100</v>
      </c>
      <c r="F54" s="27">
        <f t="shared" si="5"/>
        <v>2</v>
      </c>
      <c r="G54" s="27">
        <v>200</v>
      </c>
      <c r="H54" s="28">
        <v>60</v>
      </c>
      <c r="I54" s="28">
        <v>63.4</v>
      </c>
    </row>
    <row r="55" spans="1:9" s="82" customFormat="1" x14ac:dyDescent="0.2">
      <c r="A55" s="32" t="s">
        <v>109</v>
      </c>
      <c r="B55" s="36" t="s">
        <v>132</v>
      </c>
      <c r="C55" s="65">
        <v>32</v>
      </c>
      <c r="D55" s="27">
        <v>750</v>
      </c>
      <c r="E55" s="27">
        <v>60</v>
      </c>
      <c r="F55" s="27">
        <f t="shared" si="5"/>
        <v>1</v>
      </c>
      <c r="G55" s="27">
        <v>60</v>
      </c>
      <c r="H55" s="28">
        <v>19.100000000000001</v>
      </c>
      <c r="I55" s="28">
        <v>20.04</v>
      </c>
    </row>
    <row r="56" spans="1:9" s="82" customFormat="1" x14ac:dyDescent="0.2">
      <c r="A56" s="32" t="s">
        <v>110</v>
      </c>
      <c r="B56" s="36">
        <v>90446700</v>
      </c>
      <c r="C56" s="65" t="s">
        <v>137</v>
      </c>
      <c r="D56" s="27">
        <v>900</v>
      </c>
      <c r="E56" s="27">
        <v>50</v>
      </c>
      <c r="F56" s="27">
        <f t="shared" si="5"/>
        <v>2</v>
      </c>
      <c r="G56" s="27">
        <v>100</v>
      </c>
      <c r="H56" s="28">
        <v>45</v>
      </c>
      <c r="I56" s="28">
        <v>47.96</v>
      </c>
    </row>
    <row r="57" spans="1:9" s="82" customFormat="1" x14ac:dyDescent="0.2">
      <c r="A57" s="32" t="s">
        <v>111</v>
      </c>
      <c r="B57" s="36">
        <v>90446800</v>
      </c>
      <c r="C57" s="65" t="s">
        <v>137</v>
      </c>
      <c r="D57" s="27" t="s">
        <v>147</v>
      </c>
      <c r="E57" s="27">
        <v>25</v>
      </c>
      <c r="F57" s="27">
        <f t="shared" si="5"/>
        <v>2</v>
      </c>
      <c r="G57" s="27">
        <v>50</v>
      </c>
      <c r="H57" s="28">
        <v>45.8</v>
      </c>
      <c r="I57" s="28">
        <v>46.2</v>
      </c>
    </row>
    <row r="58" spans="1:9" s="82" customFormat="1" x14ac:dyDescent="0.2">
      <c r="A58" s="32" t="s">
        <v>112</v>
      </c>
      <c r="B58" s="36">
        <v>90447200</v>
      </c>
      <c r="C58" s="65" t="s">
        <v>138</v>
      </c>
      <c r="D58" s="27">
        <v>150</v>
      </c>
      <c r="E58" s="27">
        <v>300</v>
      </c>
      <c r="F58" s="27">
        <f t="shared" si="5"/>
        <v>1</v>
      </c>
      <c r="G58" s="27">
        <v>300</v>
      </c>
      <c r="H58" s="28">
        <v>29.9</v>
      </c>
      <c r="I58" s="28">
        <v>31.62</v>
      </c>
    </row>
    <row r="59" spans="1:9" s="82" customFormat="1" x14ac:dyDescent="0.2">
      <c r="A59" s="31" t="s">
        <v>113</v>
      </c>
      <c r="B59" s="36" t="s">
        <v>133</v>
      </c>
      <c r="C59" s="65">
        <v>40</v>
      </c>
      <c r="D59" s="27">
        <v>200</v>
      </c>
      <c r="E59" s="27">
        <v>150</v>
      </c>
      <c r="F59" s="27">
        <f t="shared" si="5"/>
        <v>1</v>
      </c>
      <c r="G59" s="27">
        <v>150</v>
      </c>
      <c r="H59" s="28">
        <v>20.8</v>
      </c>
      <c r="I59" s="28">
        <v>22.5</v>
      </c>
    </row>
    <row r="60" spans="1:9" s="82" customFormat="1" x14ac:dyDescent="0.2">
      <c r="A60" s="31" t="s">
        <v>114</v>
      </c>
      <c r="B60" s="36" t="s">
        <v>134</v>
      </c>
      <c r="C60" s="65">
        <v>40</v>
      </c>
      <c r="D60" s="27">
        <v>450</v>
      </c>
      <c r="E60" s="27">
        <v>100</v>
      </c>
      <c r="F60" s="27">
        <f t="shared" si="5"/>
        <v>1</v>
      </c>
      <c r="G60" s="27">
        <v>100</v>
      </c>
      <c r="H60" s="28">
        <v>29.9</v>
      </c>
      <c r="I60" s="28">
        <v>31.62</v>
      </c>
    </row>
    <row r="61" spans="1:9" s="82" customFormat="1" x14ac:dyDescent="0.2">
      <c r="A61" s="31" t="s">
        <v>115</v>
      </c>
      <c r="B61" s="36">
        <v>90447400</v>
      </c>
      <c r="C61" s="65" t="s">
        <v>138</v>
      </c>
      <c r="D61" s="27">
        <v>450</v>
      </c>
      <c r="E61" s="27">
        <v>100</v>
      </c>
      <c r="F61" s="27">
        <f t="shared" si="5"/>
        <v>2</v>
      </c>
      <c r="G61" s="27">
        <v>200</v>
      </c>
      <c r="H61" s="28">
        <v>59.8</v>
      </c>
      <c r="I61" s="28">
        <v>63.24</v>
      </c>
    </row>
    <row r="62" spans="1:9" s="82" customFormat="1" x14ac:dyDescent="0.2">
      <c r="A62" s="31" t="s">
        <v>116</v>
      </c>
      <c r="B62" s="36" t="s">
        <v>135</v>
      </c>
      <c r="C62" s="65">
        <v>50</v>
      </c>
      <c r="D62" s="27">
        <v>150</v>
      </c>
      <c r="E62" s="27">
        <v>150</v>
      </c>
      <c r="F62" s="27">
        <f t="shared" si="5"/>
        <v>1</v>
      </c>
      <c r="G62" s="27">
        <v>150</v>
      </c>
      <c r="H62" s="28">
        <v>21</v>
      </c>
      <c r="I62" s="28">
        <v>22.54</v>
      </c>
    </row>
    <row r="63" spans="1:9" s="82" customFormat="1" x14ac:dyDescent="0.2">
      <c r="A63" s="31" t="s">
        <v>117</v>
      </c>
      <c r="B63" s="36">
        <v>90448200</v>
      </c>
      <c r="C63" s="65" t="s">
        <v>66</v>
      </c>
      <c r="D63" s="27">
        <v>150</v>
      </c>
      <c r="E63" s="27">
        <v>150</v>
      </c>
      <c r="F63" s="27">
        <f t="shared" si="5"/>
        <v>1</v>
      </c>
      <c r="G63" s="27">
        <v>150</v>
      </c>
      <c r="H63" s="28">
        <v>21</v>
      </c>
      <c r="I63" s="28">
        <v>22.54</v>
      </c>
    </row>
    <row r="64" spans="1:9" s="82" customFormat="1" x14ac:dyDescent="0.2">
      <c r="A64" s="32" t="s">
        <v>118</v>
      </c>
      <c r="B64" s="36">
        <v>90448300</v>
      </c>
      <c r="C64" s="65" t="s">
        <v>66</v>
      </c>
      <c r="D64" s="27">
        <v>300</v>
      </c>
      <c r="E64" s="27">
        <v>75</v>
      </c>
      <c r="F64" s="27">
        <f t="shared" si="5"/>
        <v>1</v>
      </c>
      <c r="G64" s="27">
        <v>75</v>
      </c>
      <c r="H64" s="28">
        <v>21</v>
      </c>
      <c r="I64" s="28">
        <v>22.54</v>
      </c>
    </row>
    <row r="65" spans="1:9" s="82" customFormat="1" x14ac:dyDescent="0.2">
      <c r="A65" s="32" t="s">
        <v>119</v>
      </c>
      <c r="B65" s="36" t="s">
        <v>136</v>
      </c>
      <c r="C65" s="65">
        <v>50</v>
      </c>
      <c r="D65" s="27">
        <v>450</v>
      </c>
      <c r="E65" s="27">
        <v>50</v>
      </c>
      <c r="F65" s="27">
        <f t="shared" si="5"/>
        <v>2</v>
      </c>
      <c r="G65" s="27">
        <v>100</v>
      </c>
      <c r="H65" s="28">
        <v>42</v>
      </c>
      <c r="I65" s="28">
        <v>45.08</v>
      </c>
    </row>
    <row r="66" spans="1:9" s="82" customFormat="1" x14ac:dyDescent="0.2">
      <c r="A66" s="32" t="s">
        <v>120</v>
      </c>
      <c r="B66" s="36">
        <v>90448400</v>
      </c>
      <c r="C66" s="65" t="s">
        <v>66</v>
      </c>
      <c r="D66" s="27">
        <v>450</v>
      </c>
      <c r="E66" s="27">
        <v>50</v>
      </c>
      <c r="F66" s="27">
        <f t="shared" si="5"/>
        <v>2</v>
      </c>
      <c r="G66" s="27">
        <v>100</v>
      </c>
      <c r="H66" s="28">
        <v>42</v>
      </c>
      <c r="I66" s="28">
        <v>45.08</v>
      </c>
    </row>
    <row r="67" spans="1:9" s="82" customFormat="1" x14ac:dyDescent="0.2">
      <c r="A67" s="32" t="s">
        <v>121</v>
      </c>
      <c r="B67" s="36">
        <v>90448800</v>
      </c>
      <c r="C67" s="65" t="s">
        <v>66</v>
      </c>
      <c r="D67" s="27">
        <v>1200</v>
      </c>
      <c r="E67" s="27">
        <v>25</v>
      </c>
      <c r="F67" s="27">
        <f t="shared" si="5"/>
        <v>2</v>
      </c>
      <c r="G67" s="27">
        <v>50</v>
      </c>
      <c r="H67" s="28">
        <v>52.2</v>
      </c>
      <c r="I67" s="28">
        <v>55.7</v>
      </c>
    </row>
    <row r="68" spans="1:9" s="82" customFormat="1" x14ac:dyDescent="0.2">
      <c r="A68" s="48" t="s">
        <v>122</v>
      </c>
      <c r="B68" s="49">
        <v>90448820</v>
      </c>
      <c r="C68" s="96" t="s">
        <v>66</v>
      </c>
      <c r="D68" s="29" t="s">
        <v>147</v>
      </c>
      <c r="E68" s="29">
        <v>20</v>
      </c>
      <c r="F68" s="29">
        <f t="shared" si="5"/>
        <v>3</v>
      </c>
      <c r="G68" s="29">
        <v>60</v>
      </c>
      <c r="H68" s="30">
        <v>92.4</v>
      </c>
      <c r="I68" s="30">
        <v>93.6</v>
      </c>
    </row>
    <row r="69" spans="1:9" x14ac:dyDescent="0.2">
      <c r="A69" s="10"/>
      <c r="B69" s="23"/>
      <c r="C69" s="23"/>
      <c r="D69" s="40"/>
      <c r="E69" s="21"/>
      <c r="F69" s="21"/>
      <c r="G69" s="21"/>
      <c r="H69" s="22"/>
      <c r="I69" s="22"/>
    </row>
    <row r="70" spans="1:9" x14ac:dyDescent="0.2">
      <c r="A70" s="2"/>
      <c r="B70" s="24"/>
      <c r="C70" s="24"/>
      <c r="D70" s="38" t="s">
        <v>49</v>
      </c>
      <c r="E70" s="25"/>
      <c r="F70" s="25"/>
      <c r="G70" s="25"/>
      <c r="H70" s="26">
        <f>SUM(H25:H69)</f>
        <v>4504.74</v>
      </c>
      <c r="I70" s="26">
        <f>SUM(I25:I69)</f>
        <v>4781.0499999999975</v>
      </c>
    </row>
    <row r="71" spans="1:9" x14ac:dyDescent="0.2">
      <c r="A71" s="10"/>
      <c r="B71" s="11"/>
      <c r="C71" s="11"/>
      <c r="D71" s="15"/>
      <c r="E71" s="17"/>
      <c r="F71" s="176" t="s">
        <v>189</v>
      </c>
      <c r="G71" s="177"/>
      <c r="H71" s="177"/>
      <c r="I71" s="178"/>
    </row>
    <row r="72" spans="1:9" x14ac:dyDescent="0.2">
      <c r="A72" s="10"/>
      <c r="B72" s="11"/>
      <c r="C72" s="11"/>
      <c r="D72" s="15"/>
      <c r="E72" s="17"/>
      <c r="F72" s="141"/>
      <c r="G72" s="142"/>
      <c r="H72" s="142"/>
      <c r="I72" s="143"/>
    </row>
    <row r="73" spans="1:9" x14ac:dyDescent="0.2">
      <c r="A73" s="10"/>
      <c r="B73" s="11"/>
      <c r="C73" s="11"/>
      <c r="D73" s="15"/>
      <c r="E73" s="17"/>
      <c r="F73" s="141"/>
      <c r="G73" s="142"/>
      <c r="H73" s="142"/>
      <c r="I73" s="143"/>
    </row>
    <row r="74" spans="1:9" x14ac:dyDescent="0.2">
      <c r="A74" s="10"/>
      <c r="B74" s="11"/>
      <c r="C74" s="11"/>
      <c r="D74" s="15"/>
      <c r="E74" s="17"/>
      <c r="F74" s="141"/>
      <c r="G74" s="142"/>
      <c r="H74" s="142"/>
      <c r="I74" s="143"/>
    </row>
    <row r="75" spans="1:9" x14ac:dyDescent="0.2">
      <c r="A75" s="2"/>
      <c r="B75" s="19"/>
      <c r="C75" s="19"/>
      <c r="D75" s="16"/>
      <c r="E75" s="20"/>
      <c r="F75" s="121"/>
      <c r="G75" s="122"/>
      <c r="H75" s="139" t="s">
        <v>190</v>
      </c>
      <c r="I75" s="140"/>
    </row>
  </sheetData>
  <mergeCells count="64">
    <mergeCell ref="G18:I18"/>
    <mergeCell ref="G21:I21"/>
    <mergeCell ref="A19:C19"/>
    <mergeCell ref="E18:F18"/>
    <mergeCell ref="A18:C18"/>
    <mergeCell ref="F71:I71"/>
    <mergeCell ref="A20:C20"/>
    <mergeCell ref="E20:F20"/>
    <mergeCell ref="G20:I20"/>
    <mergeCell ref="B24:F24"/>
    <mergeCell ref="A21:C21"/>
    <mergeCell ref="E21:F21"/>
    <mergeCell ref="B25:F25"/>
    <mergeCell ref="E10:I10"/>
    <mergeCell ref="A11:D11"/>
    <mergeCell ref="E11:I11"/>
    <mergeCell ref="E19:F19"/>
    <mergeCell ref="G19:I19"/>
    <mergeCell ref="A14:D14"/>
    <mergeCell ref="G16:I16"/>
    <mergeCell ref="A17:C17"/>
    <mergeCell ref="A15:D15"/>
    <mergeCell ref="A10:D10"/>
    <mergeCell ref="A13:D13"/>
    <mergeCell ref="E13:G13"/>
    <mergeCell ref="A12:D12"/>
    <mergeCell ref="E12:I12"/>
    <mergeCell ref="E15:F15"/>
    <mergeCell ref="G15:I15"/>
    <mergeCell ref="A4:D4"/>
    <mergeCell ref="E4:F4"/>
    <mergeCell ref="G4:I4"/>
    <mergeCell ref="F75:G75"/>
    <mergeCell ref="H75:I75"/>
    <mergeCell ref="F72:I74"/>
    <mergeCell ref="H13:I13"/>
    <mergeCell ref="H22:I22"/>
    <mergeCell ref="B22:F22"/>
    <mergeCell ref="B23:F23"/>
    <mergeCell ref="E17:F17"/>
    <mergeCell ref="G17:I17"/>
    <mergeCell ref="A16:C16"/>
    <mergeCell ref="E16:F16"/>
    <mergeCell ref="E14:G14"/>
    <mergeCell ref="H14:I14"/>
    <mergeCell ref="E2:F2"/>
    <mergeCell ref="G2:I2"/>
    <mergeCell ref="E3:F3"/>
    <mergeCell ref="G3:I3"/>
    <mergeCell ref="A1:I1"/>
    <mergeCell ref="A2:D3"/>
    <mergeCell ref="A5:D5"/>
    <mergeCell ref="E5:F5"/>
    <mergeCell ref="A9:D9"/>
    <mergeCell ref="E9:I9"/>
    <mergeCell ref="A6:D6"/>
    <mergeCell ref="E6:F6"/>
    <mergeCell ref="A7:D7"/>
    <mergeCell ref="E7:F7"/>
    <mergeCell ref="G7:I7"/>
    <mergeCell ref="A8:C8"/>
    <mergeCell ref="E8:I8"/>
    <mergeCell ref="G6:I6"/>
    <mergeCell ref="G5:I5"/>
  </mergeCells>
  <phoneticPr fontId="0" type="noConversion"/>
  <pageMargins left="0.39370078740157483" right="0.39370078740157483" top="0.39370078740157483" bottom="0.39370078740157483" header="0" footer="0"/>
  <pageSetup paperSize="9" scale="8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7"/>
  <sheetViews>
    <sheetView zoomScaleNormal="100" workbookViewId="0">
      <selection sqref="A1:G1"/>
    </sheetView>
  </sheetViews>
  <sheetFormatPr defaultColWidth="9.33203125" defaultRowHeight="12" x14ac:dyDescent="0.2"/>
  <cols>
    <col min="1" max="1" width="11.83203125" style="1" bestFit="1" customWidth="1"/>
    <col min="2" max="3" width="9.33203125" style="1"/>
    <col min="4" max="4" width="36.5" style="1" customWidth="1"/>
    <col min="5" max="5" width="12.6640625" style="1" bestFit="1" customWidth="1"/>
    <col min="6" max="6" width="9.33203125" style="1"/>
    <col min="7" max="7" width="9.1640625" style="1" bestFit="1" customWidth="1"/>
    <col min="8" max="9" width="12.33203125" style="1" customWidth="1"/>
    <col min="10" max="10" width="9.83203125" style="1" bestFit="1" customWidth="1"/>
    <col min="11" max="16384" width="9.33203125" style="1"/>
  </cols>
  <sheetData>
    <row r="1" spans="1:9" x14ac:dyDescent="0.2">
      <c r="A1" s="259" t="s">
        <v>0</v>
      </c>
      <c r="B1" s="260"/>
      <c r="C1" s="260"/>
      <c r="D1" s="260"/>
      <c r="E1" s="260"/>
      <c r="F1" s="260"/>
      <c r="G1" s="260"/>
      <c r="H1" s="261" t="s">
        <v>41</v>
      </c>
      <c r="I1" s="262"/>
    </row>
    <row r="2" spans="1:9" ht="12.75" customHeight="1" x14ac:dyDescent="0.2">
      <c r="A2" s="130" t="str">
        <f>Sheet1!A2</f>
        <v>JAIKVIN GLOBAL</v>
      </c>
      <c r="B2" s="131"/>
      <c r="C2" s="131"/>
      <c r="D2" s="132"/>
      <c r="E2" s="214" t="s">
        <v>1</v>
      </c>
      <c r="F2" s="216"/>
      <c r="G2" s="265" t="str">
        <f>Sheet1!G2</f>
        <v>JG/26-27/6002 DT 04.05.2026</v>
      </c>
      <c r="H2" s="266"/>
      <c r="I2" s="267"/>
    </row>
    <row r="3" spans="1:9" ht="12.75" customHeight="1" x14ac:dyDescent="0.2">
      <c r="A3" s="133"/>
      <c r="B3" s="134"/>
      <c r="C3" s="134"/>
      <c r="D3" s="135"/>
      <c r="E3" s="263"/>
      <c r="F3" s="264"/>
      <c r="G3" s="195">
        <f>Sheet1!G3</f>
        <v>0</v>
      </c>
      <c r="H3" s="196"/>
      <c r="I3" s="219"/>
    </row>
    <row r="4" spans="1:9" ht="12.75" x14ac:dyDescent="0.2">
      <c r="A4" s="136" t="str">
        <f>Sheet1!A4</f>
        <v>Merchant Exporters</v>
      </c>
      <c r="B4" s="137"/>
      <c r="C4" s="137"/>
      <c r="D4" s="138"/>
      <c r="E4" s="214" t="s">
        <v>2</v>
      </c>
      <c r="F4" s="216"/>
      <c r="G4" s="284" t="str">
        <f>Sheet1!G4</f>
        <v>JG/26-P/09 DT 27.04.2026</v>
      </c>
      <c r="H4" s="285"/>
      <c r="I4" s="286"/>
    </row>
    <row r="5" spans="1:9" ht="12.75" x14ac:dyDescent="0.2">
      <c r="A5" s="97" t="str">
        <f>Sheet1!A5</f>
        <v>A-101, Rajshree Royale, Navroji Lane, Ghatkopar (W),</v>
      </c>
      <c r="B5" s="98"/>
      <c r="C5" s="98"/>
      <c r="D5" s="99"/>
      <c r="E5" s="263" t="s">
        <v>3</v>
      </c>
      <c r="F5" s="264"/>
      <c r="G5" s="195">
        <f>Sheet1!G5</f>
        <v>0</v>
      </c>
      <c r="H5" s="196"/>
      <c r="I5" s="219"/>
    </row>
    <row r="6" spans="1:9" ht="12.75" x14ac:dyDescent="0.2">
      <c r="A6" s="97" t="str">
        <f>Sheet1!A6</f>
        <v>MUMBAI-400 086. Maharashtra (State Code : 27)</v>
      </c>
      <c r="B6" s="98"/>
      <c r="C6" s="98"/>
      <c r="D6" s="99"/>
      <c r="E6" s="214" t="s">
        <v>4</v>
      </c>
      <c r="F6" s="216"/>
      <c r="G6" s="284">
        <f>Sheet1!G6</f>
        <v>0</v>
      </c>
      <c r="H6" s="285"/>
      <c r="I6" s="286"/>
    </row>
    <row r="7" spans="1:9" ht="12.75" x14ac:dyDescent="0.2">
      <c r="A7" s="110" t="str">
        <f>Sheet1!A7</f>
        <v>Tel: 9987122600 E-Mail: aalok.shah@jaikvinglobal.com</v>
      </c>
      <c r="B7" s="111"/>
      <c r="C7" s="111"/>
      <c r="D7" s="112"/>
      <c r="E7" s="263" t="s">
        <v>5</v>
      </c>
      <c r="F7" s="264"/>
      <c r="G7" s="228">
        <f>Sheet1!G7</f>
        <v>0</v>
      </c>
      <c r="H7" s="229"/>
      <c r="I7" s="230"/>
    </row>
    <row r="8" spans="1:9" x14ac:dyDescent="0.2">
      <c r="A8" s="214" t="str">
        <f>Sheet1!A8</f>
        <v>On Account &amp; risks of</v>
      </c>
      <c r="B8" s="215"/>
      <c r="C8" s="215"/>
      <c r="D8" s="43">
        <f>Sheet1!D8</f>
        <v>0</v>
      </c>
      <c r="E8" s="214" t="str">
        <f>Sheet1!E8</f>
        <v>BL : 'SFPM2605165498  DT. 19.05.2026</v>
      </c>
      <c r="F8" s="215"/>
      <c r="G8" s="215"/>
      <c r="H8" s="215"/>
      <c r="I8" s="216"/>
    </row>
    <row r="9" spans="1:9" x14ac:dyDescent="0.2">
      <c r="A9" s="275" t="str">
        <f>Sheet1!A9</f>
        <v>Messrs. Corecomp Pty Ltd.,</v>
      </c>
      <c r="B9" s="276"/>
      <c r="C9" s="276"/>
      <c r="D9" s="277"/>
      <c r="E9" s="278">
        <f>Sheet1!E9</f>
        <v>0</v>
      </c>
      <c r="F9" s="279"/>
      <c r="G9" s="279"/>
      <c r="H9" s="279"/>
      <c r="I9" s="280"/>
    </row>
    <row r="10" spans="1:9" x14ac:dyDescent="0.2">
      <c r="A10" s="275" t="str">
        <f>Sheet1!A10</f>
        <v>T/A G.D.Watermark,</v>
      </c>
      <c r="B10" s="276"/>
      <c r="C10" s="276"/>
      <c r="D10" s="277"/>
      <c r="E10" s="278" t="str">
        <f>Sheet1!E10</f>
        <v>Shipped per: CAPE SYROS VOYAGE 092E</v>
      </c>
      <c r="F10" s="279"/>
      <c r="G10" s="279"/>
      <c r="H10" s="279"/>
      <c r="I10" s="280"/>
    </row>
    <row r="11" spans="1:9" x14ac:dyDescent="0.2">
      <c r="A11" s="275" t="str">
        <f>Sheet1!A11</f>
        <v>13, Tesla Link,</v>
      </c>
      <c r="B11" s="276"/>
      <c r="C11" s="276"/>
      <c r="D11" s="277"/>
      <c r="E11" s="278">
        <f>Sheet1!E11</f>
        <v>0</v>
      </c>
      <c r="F11" s="279"/>
      <c r="G11" s="279"/>
      <c r="H11" s="279"/>
      <c r="I11" s="280"/>
    </row>
    <row r="12" spans="1:9" x14ac:dyDescent="0.2">
      <c r="A12" s="199" t="str">
        <f>Sheet1!A12</f>
        <v xml:space="preserve">Wangara WA 6065 (Australia) </v>
      </c>
      <c r="B12" s="200"/>
      <c r="C12" s="200"/>
      <c r="D12" s="201"/>
      <c r="E12" s="272">
        <f>Sheet1!E12</f>
        <v>0</v>
      </c>
      <c r="F12" s="273"/>
      <c r="G12" s="273"/>
      <c r="H12" s="273"/>
      <c r="I12" s="274"/>
    </row>
    <row r="13" spans="1:9" x14ac:dyDescent="0.2">
      <c r="A13" s="199">
        <f>Sheet1!A13</f>
        <v>0</v>
      </c>
      <c r="B13" s="200"/>
      <c r="C13" s="200"/>
      <c r="D13" s="201"/>
      <c r="E13" s="281" t="str">
        <f>Sheet1!E13</f>
        <v>Country of Origin</v>
      </c>
      <c r="F13" s="282"/>
      <c r="G13" s="283"/>
      <c r="H13" s="214" t="str">
        <f>Sheet1!H13</f>
        <v>Country of Final Destination</v>
      </c>
      <c r="I13" s="216"/>
    </row>
    <row r="14" spans="1:9" x14ac:dyDescent="0.2">
      <c r="A14" s="199">
        <f>Sheet1!A14</f>
        <v>0</v>
      </c>
      <c r="B14" s="200"/>
      <c r="C14" s="200"/>
      <c r="D14" s="201"/>
      <c r="E14" s="254" t="str">
        <f>Sheet1!E14</f>
        <v>INDIA</v>
      </c>
      <c r="F14" s="255"/>
      <c r="G14" s="256"/>
      <c r="H14" s="257" t="str">
        <f>Sheet1!H14</f>
        <v>AUSTRALIA</v>
      </c>
      <c r="I14" s="258"/>
    </row>
    <row r="15" spans="1:9" x14ac:dyDescent="0.2">
      <c r="A15" s="195">
        <f>Sheet1!A15</f>
        <v>0</v>
      </c>
      <c r="B15" s="196"/>
      <c r="C15" s="196"/>
      <c r="D15" s="219"/>
      <c r="E15" s="225" t="str">
        <f>Sheet1!E15</f>
        <v xml:space="preserve">Shipping Marks </v>
      </c>
      <c r="F15" s="227"/>
      <c r="G15" s="268" t="str">
        <f>Sheet1!G15</f>
        <v xml:space="preserve">CONTAINER NO : </v>
      </c>
      <c r="H15" s="269"/>
      <c r="I15" s="270"/>
    </row>
    <row r="16" spans="1:9" x14ac:dyDescent="0.2">
      <c r="A16" s="214" t="str">
        <f>Sheet1!A16</f>
        <v>Pre-Carraige by:</v>
      </c>
      <c r="B16" s="215"/>
      <c r="C16" s="216"/>
      <c r="D16" s="44" t="str">
        <f>Sheet1!D16</f>
        <v>Place of Receipt by Pre-Carraige</v>
      </c>
      <c r="E16" s="217" t="str">
        <f>Sheet1!E16</f>
        <v>G.D.W.</v>
      </c>
      <c r="F16" s="218"/>
      <c r="G16" s="199" t="str">
        <f>Sheet1!G16</f>
        <v>OOCU0793142</v>
      </c>
      <c r="H16" s="200"/>
      <c r="I16" s="201"/>
    </row>
    <row r="17" spans="1:9" x14ac:dyDescent="0.2">
      <c r="A17" s="195" t="str">
        <f>Sheet1!A17</f>
        <v xml:space="preserve">                                                              </v>
      </c>
      <c r="B17" s="196"/>
      <c r="C17" s="219"/>
      <c r="D17" s="45">
        <f>Sheet1!D17</f>
        <v>0</v>
      </c>
      <c r="E17" s="199" t="str">
        <f>Sheet1!E17</f>
        <v>2001 - 2421 / 2421</v>
      </c>
      <c r="F17" s="201"/>
      <c r="G17" s="220" t="str">
        <f>Sheet1!G17</f>
        <v xml:space="preserve"> </v>
      </c>
      <c r="H17" s="221"/>
      <c r="I17" s="222"/>
    </row>
    <row r="18" spans="1:9" x14ac:dyDescent="0.2">
      <c r="A18" s="225" t="str">
        <f>Sheet1!A18</f>
        <v>Shipped per:</v>
      </c>
      <c r="B18" s="226"/>
      <c r="C18" s="227"/>
      <c r="D18" s="44" t="str">
        <f>Sheet1!D18</f>
        <v>Port of Loading:</v>
      </c>
      <c r="E18" s="223">
        <f>Sheet1!E18</f>
        <v>0</v>
      </c>
      <c r="F18" s="224"/>
      <c r="G18" s="217" t="str">
        <f>Sheet1!G18</f>
        <v xml:space="preserve">SEAL NO : </v>
      </c>
      <c r="H18" s="271"/>
      <c r="I18" s="218"/>
    </row>
    <row r="19" spans="1:9" x14ac:dyDescent="0.2">
      <c r="A19" s="228" t="str">
        <f>Sheet1!A19</f>
        <v>CAPE SYROS VOYAGE 092E</v>
      </c>
      <c r="B19" s="229"/>
      <c r="C19" s="230"/>
      <c r="D19" s="46" t="str">
        <f>Sheet1!D19</f>
        <v>NHAVA SHEVA-MUMBAI (INDIA)</v>
      </c>
      <c r="E19" s="199">
        <f>Sheet1!E19</f>
        <v>0</v>
      </c>
      <c r="F19" s="201"/>
      <c r="G19" s="199" t="str">
        <f>Sheet1!G19</f>
        <v>IND-0054079</v>
      </c>
      <c r="H19" s="200"/>
      <c r="I19" s="201"/>
    </row>
    <row r="20" spans="1:9" x14ac:dyDescent="0.2">
      <c r="A20" s="214" t="str">
        <f>Sheet1!A20</f>
        <v>Port of Discharge:</v>
      </c>
      <c r="B20" s="215"/>
      <c r="C20" s="216"/>
      <c r="D20" s="44" t="str">
        <f>Sheet1!D20</f>
        <v>Final Destination:</v>
      </c>
      <c r="E20" s="240">
        <f>Sheet1!E20</f>
        <v>0</v>
      </c>
      <c r="F20" s="241"/>
      <c r="G20" s="199">
        <f>Sheet1!G20</f>
        <v>0</v>
      </c>
      <c r="H20" s="200"/>
      <c r="I20" s="201"/>
    </row>
    <row r="21" spans="1:9" x14ac:dyDescent="0.2">
      <c r="A21" s="242" t="str">
        <f>Sheet1!A21</f>
        <v xml:space="preserve">FREMANTLE </v>
      </c>
      <c r="B21" s="243"/>
      <c r="C21" s="244"/>
      <c r="D21" s="47" t="str">
        <f>Sheet1!D21</f>
        <v xml:space="preserve">FREMANTLE </v>
      </c>
      <c r="E21" s="245">
        <f>Sheet1!E21</f>
        <v>0</v>
      </c>
      <c r="F21" s="246"/>
      <c r="G21" s="195">
        <f>Sheet1!G21</f>
        <v>0</v>
      </c>
      <c r="H21" s="196"/>
      <c r="I21" s="219"/>
    </row>
    <row r="22" spans="1:9" x14ac:dyDescent="0.2">
      <c r="A22" s="8" t="s">
        <v>19</v>
      </c>
      <c r="B22" s="147" t="s">
        <v>20</v>
      </c>
      <c r="C22" s="148"/>
      <c r="D22" s="148"/>
      <c r="E22" s="148"/>
      <c r="F22" s="149"/>
      <c r="G22" s="9" t="s">
        <v>21</v>
      </c>
      <c r="H22" s="145" t="s">
        <v>22</v>
      </c>
      <c r="I22" s="146"/>
    </row>
    <row r="23" spans="1:9" x14ac:dyDescent="0.2">
      <c r="A23" s="10"/>
      <c r="B23" s="150" t="str">
        <f>Sheet1!B23</f>
        <v>421 PACKAGES (343 CARTONS &amp; 78 HDP BUNDLES) CONTAINING PLASTIC (PP)</v>
      </c>
      <c r="C23" s="151"/>
      <c r="D23" s="151"/>
      <c r="E23" s="151"/>
      <c r="F23" s="152"/>
      <c r="G23" s="12"/>
      <c r="H23" s="13" t="s">
        <v>23</v>
      </c>
      <c r="I23" s="13" t="s">
        <v>24</v>
      </c>
    </row>
    <row r="24" spans="1:9" x14ac:dyDescent="0.2">
      <c r="A24" s="10"/>
      <c r="B24" s="251" t="str">
        <f>Sheet1!B24</f>
        <v>EXTRUDED PIPES, PLASTIC (PP) &amp; (PA) MOULDED FITTINGS &amp; CORRUGATED BOXES</v>
      </c>
      <c r="C24" s="252"/>
      <c r="D24" s="252"/>
      <c r="E24" s="252"/>
      <c r="F24" s="253"/>
      <c r="G24" s="14"/>
      <c r="H24" s="14" t="s">
        <v>25</v>
      </c>
      <c r="I24" s="14" t="s">
        <v>25</v>
      </c>
    </row>
    <row r="25" spans="1:9" ht="12.75" customHeight="1" x14ac:dyDescent="0.2">
      <c r="A25" s="52"/>
      <c r="B25" s="247" t="s">
        <v>139</v>
      </c>
      <c r="C25" s="248"/>
      <c r="D25" s="248"/>
      <c r="E25" s="248"/>
      <c r="F25" s="249" t="s">
        <v>42</v>
      </c>
      <c r="G25" s="250"/>
      <c r="H25" s="22">
        <f>Sheet1!H70</f>
        <v>4504.74</v>
      </c>
      <c r="I25" s="22">
        <f>Sheet1!I70</f>
        <v>4781.0499999999975</v>
      </c>
    </row>
    <row r="26" spans="1:9" s="93" customFormat="1" ht="12.75" customHeight="1" x14ac:dyDescent="0.2">
      <c r="A26" s="33" t="s">
        <v>140</v>
      </c>
      <c r="B26" s="36" t="s">
        <v>145</v>
      </c>
      <c r="C26" s="95">
        <v>25</v>
      </c>
      <c r="D26" s="54">
        <v>600</v>
      </c>
      <c r="E26" s="27">
        <v>50</v>
      </c>
      <c r="F26" s="27">
        <f t="shared" ref="F26:F30" si="0">G26/E26</f>
        <v>2</v>
      </c>
      <c r="G26" s="27">
        <v>100</v>
      </c>
      <c r="H26" s="28">
        <v>23.5</v>
      </c>
      <c r="I26" s="28">
        <v>25.24</v>
      </c>
    </row>
    <row r="27" spans="1:9" s="93" customFormat="1" ht="12.75" customHeight="1" x14ac:dyDescent="0.2">
      <c r="A27" s="32" t="s">
        <v>141</v>
      </c>
      <c r="B27" s="36">
        <v>90445600</v>
      </c>
      <c r="C27" s="95" t="s">
        <v>52</v>
      </c>
      <c r="D27" s="27">
        <v>600</v>
      </c>
      <c r="E27" s="27">
        <v>50</v>
      </c>
      <c r="F27" s="27">
        <f t="shared" si="0"/>
        <v>10</v>
      </c>
      <c r="G27" s="27">
        <v>500</v>
      </c>
      <c r="H27" s="28">
        <v>117.5</v>
      </c>
      <c r="I27" s="28">
        <v>125</v>
      </c>
    </row>
    <row r="28" spans="1:9" s="93" customFormat="1" ht="12.75" customHeight="1" x14ac:dyDescent="0.2">
      <c r="A28" s="32" t="s">
        <v>142</v>
      </c>
      <c r="B28" s="36">
        <v>90445700</v>
      </c>
      <c r="C28" s="95" t="s">
        <v>52</v>
      </c>
      <c r="D28" s="27">
        <v>750</v>
      </c>
      <c r="E28" s="27">
        <v>50</v>
      </c>
      <c r="F28" s="27">
        <f t="shared" si="0"/>
        <v>4</v>
      </c>
      <c r="G28" s="27">
        <v>200</v>
      </c>
      <c r="H28" s="28">
        <v>57.2</v>
      </c>
      <c r="I28" s="28">
        <v>61.2</v>
      </c>
    </row>
    <row r="29" spans="1:9" s="93" customFormat="1" ht="12.75" customHeight="1" x14ac:dyDescent="0.2">
      <c r="A29" s="32" t="s">
        <v>143</v>
      </c>
      <c r="B29" s="36" t="s">
        <v>146</v>
      </c>
      <c r="C29" s="95">
        <v>25</v>
      </c>
      <c r="D29" s="27">
        <v>900</v>
      </c>
      <c r="E29" s="27">
        <v>50</v>
      </c>
      <c r="F29" s="27">
        <f t="shared" si="0"/>
        <v>4</v>
      </c>
      <c r="G29" s="27">
        <v>200</v>
      </c>
      <c r="H29" s="28">
        <v>68</v>
      </c>
      <c r="I29" s="28">
        <v>72.8</v>
      </c>
    </row>
    <row r="30" spans="1:9" s="93" customFormat="1" ht="12.75" customHeight="1" x14ac:dyDescent="0.2">
      <c r="A30" s="48" t="s">
        <v>144</v>
      </c>
      <c r="B30" s="49">
        <v>90445800</v>
      </c>
      <c r="C30" s="94" t="s">
        <v>52</v>
      </c>
      <c r="D30" s="29">
        <v>900</v>
      </c>
      <c r="E30" s="29">
        <v>50</v>
      </c>
      <c r="F30" s="29">
        <f t="shared" si="0"/>
        <v>4</v>
      </c>
      <c r="G30" s="29">
        <v>200</v>
      </c>
      <c r="H30" s="30">
        <v>68</v>
      </c>
      <c r="I30" s="30">
        <v>72.8</v>
      </c>
    </row>
    <row r="31" spans="1:9" s="93" customFormat="1" ht="12.75" customHeight="1" x14ac:dyDescent="0.2">
      <c r="A31" s="56"/>
      <c r="B31" s="231" t="s">
        <v>148</v>
      </c>
      <c r="C31" s="232"/>
      <c r="D31" s="232"/>
      <c r="E31" s="232"/>
      <c r="F31" s="232"/>
      <c r="G31" s="233"/>
      <c r="H31" s="22"/>
      <c r="I31" s="22"/>
    </row>
    <row r="32" spans="1:9" x14ac:dyDescent="0.2">
      <c r="A32" s="55" t="s">
        <v>31</v>
      </c>
      <c r="B32" s="37" t="s">
        <v>30</v>
      </c>
      <c r="C32" s="58" t="s">
        <v>63</v>
      </c>
      <c r="D32" s="41"/>
      <c r="E32" s="59" t="s">
        <v>54</v>
      </c>
      <c r="F32" s="37" t="s">
        <v>55</v>
      </c>
      <c r="G32" s="34" t="s">
        <v>32</v>
      </c>
      <c r="H32" s="42"/>
      <c r="I32" s="42"/>
    </row>
    <row r="33" spans="1:9" x14ac:dyDescent="0.2">
      <c r="A33" s="32" t="s">
        <v>149</v>
      </c>
      <c r="B33" s="36" t="s">
        <v>151</v>
      </c>
      <c r="C33" s="65">
        <v>15</v>
      </c>
      <c r="D33" s="66"/>
      <c r="E33" s="27">
        <v>300</v>
      </c>
      <c r="F33" s="27">
        <f t="shared" ref="F33" si="1">G33/E33</f>
        <v>1</v>
      </c>
      <c r="G33" s="27">
        <v>300</v>
      </c>
      <c r="H33" s="28">
        <v>11.5</v>
      </c>
      <c r="I33" s="28">
        <v>12.5</v>
      </c>
    </row>
    <row r="34" spans="1:9" s="79" customFormat="1" x14ac:dyDescent="0.2">
      <c r="A34" s="32" t="s">
        <v>150</v>
      </c>
      <c r="B34" s="36" t="s">
        <v>152</v>
      </c>
      <c r="C34" s="65">
        <v>15</v>
      </c>
      <c r="D34" s="66"/>
      <c r="E34" s="27">
        <v>2000</v>
      </c>
      <c r="F34" s="27">
        <f t="shared" ref="F34" si="2">G34/E34</f>
        <v>2</v>
      </c>
      <c r="G34" s="27">
        <v>4000</v>
      </c>
      <c r="H34" s="28">
        <v>17.600000000000001</v>
      </c>
      <c r="I34" s="28">
        <v>19.600000000000001</v>
      </c>
    </row>
    <row r="35" spans="1:9" s="64" customFormat="1" x14ac:dyDescent="0.2">
      <c r="A35" s="87"/>
      <c r="B35" s="187" t="s">
        <v>59</v>
      </c>
      <c r="C35" s="187"/>
      <c r="D35" s="187"/>
      <c r="E35" s="187"/>
      <c r="F35" s="187"/>
      <c r="G35" s="34"/>
      <c r="H35" s="26"/>
      <c r="I35" s="26"/>
    </row>
    <row r="36" spans="1:9" s="70" customFormat="1" x14ac:dyDescent="0.2">
      <c r="A36" s="87" t="s">
        <v>31</v>
      </c>
      <c r="B36" s="37" t="s">
        <v>30</v>
      </c>
      <c r="C36" s="58" t="s">
        <v>63</v>
      </c>
      <c r="D36" s="41"/>
      <c r="E36" s="88" t="s">
        <v>54</v>
      </c>
      <c r="F36" s="37" t="s">
        <v>55</v>
      </c>
      <c r="G36" s="34" t="s">
        <v>32</v>
      </c>
      <c r="H36" s="42"/>
      <c r="I36" s="42"/>
    </row>
    <row r="37" spans="1:9" s="80" customFormat="1" x14ac:dyDescent="0.2">
      <c r="A37" s="32" t="s">
        <v>153</v>
      </c>
      <c r="B37" s="36" t="s">
        <v>164</v>
      </c>
      <c r="C37" s="65">
        <v>15</v>
      </c>
      <c r="D37" s="66"/>
      <c r="E37" s="27">
        <v>2500</v>
      </c>
      <c r="F37" s="27">
        <f t="shared" ref="F37:F47" si="3">G37/E37</f>
        <v>4</v>
      </c>
      <c r="G37" s="27">
        <v>10000</v>
      </c>
      <c r="H37" s="28">
        <v>100</v>
      </c>
      <c r="I37" s="28">
        <v>106</v>
      </c>
    </row>
    <row r="38" spans="1:9" s="80" customFormat="1" x14ac:dyDescent="0.2">
      <c r="A38" s="32" t="s">
        <v>154</v>
      </c>
      <c r="B38" s="36" t="s">
        <v>165</v>
      </c>
      <c r="C38" s="65">
        <v>20</v>
      </c>
      <c r="D38" s="66"/>
      <c r="E38" s="27">
        <v>1500</v>
      </c>
      <c r="F38" s="27">
        <f t="shared" si="3"/>
        <v>2</v>
      </c>
      <c r="G38" s="27">
        <v>3000</v>
      </c>
      <c r="H38" s="28">
        <v>36</v>
      </c>
      <c r="I38" s="28">
        <v>39.4</v>
      </c>
    </row>
    <row r="39" spans="1:9" s="80" customFormat="1" x14ac:dyDescent="0.2">
      <c r="A39" s="32" t="s">
        <v>155</v>
      </c>
      <c r="B39" s="36" t="s">
        <v>166</v>
      </c>
      <c r="C39" s="65">
        <v>25</v>
      </c>
      <c r="D39" s="66"/>
      <c r="E39" s="27">
        <v>900</v>
      </c>
      <c r="F39" s="27">
        <f t="shared" si="3"/>
        <v>1</v>
      </c>
      <c r="G39" s="27">
        <v>900</v>
      </c>
      <c r="H39" s="28">
        <v>16.7</v>
      </c>
      <c r="I39" s="28">
        <v>18</v>
      </c>
    </row>
    <row r="40" spans="1:9" s="80" customFormat="1" x14ac:dyDescent="0.2">
      <c r="A40" s="32" t="s">
        <v>156</v>
      </c>
      <c r="B40" s="36" t="s">
        <v>167</v>
      </c>
      <c r="C40" s="65">
        <v>25</v>
      </c>
      <c r="D40" s="66"/>
      <c r="E40" s="27">
        <v>350</v>
      </c>
      <c r="F40" s="27">
        <f t="shared" si="3"/>
        <v>4</v>
      </c>
      <c r="G40" s="27">
        <v>1400</v>
      </c>
      <c r="H40" s="28">
        <v>51.6</v>
      </c>
      <c r="I40" s="28">
        <v>56</v>
      </c>
    </row>
    <row r="41" spans="1:9" s="80" customFormat="1" x14ac:dyDescent="0.2">
      <c r="A41" s="32" t="s">
        <v>157</v>
      </c>
      <c r="B41" s="36" t="s">
        <v>168</v>
      </c>
      <c r="C41" s="65" t="s">
        <v>70</v>
      </c>
      <c r="D41" s="66"/>
      <c r="E41" s="27">
        <v>900</v>
      </c>
      <c r="F41" s="27">
        <f t="shared" si="3"/>
        <v>2</v>
      </c>
      <c r="G41" s="27">
        <v>1800</v>
      </c>
      <c r="H41" s="28">
        <v>32</v>
      </c>
      <c r="I41" s="28">
        <v>35</v>
      </c>
    </row>
    <row r="42" spans="1:9" s="80" customFormat="1" x14ac:dyDescent="0.2">
      <c r="A42" s="32" t="s">
        <v>158</v>
      </c>
      <c r="B42" s="36" t="s">
        <v>169</v>
      </c>
      <c r="C42" s="65" t="s">
        <v>170</v>
      </c>
      <c r="D42" s="66"/>
      <c r="E42" s="27">
        <v>550</v>
      </c>
      <c r="F42" s="27">
        <f t="shared" si="3"/>
        <v>3</v>
      </c>
      <c r="G42" s="27">
        <v>1650</v>
      </c>
      <c r="H42" s="28">
        <v>42.900000000000006</v>
      </c>
      <c r="I42" s="28">
        <v>46.5</v>
      </c>
    </row>
    <row r="43" spans="1:9" s="80" customFormat="1" x14ac:dyDescent="0.2">
      <c r="A43" s="32" t="s">
        <v>159</v>
      </c>
      <c r="B43" s="36" t="s">
        <v>171</v>
      </c>
      <c r="C43" s="65">
        <v>25</v>
      </c>
      <c r="D43" s="66"/>
      <c r="E43" s="27">
        <v>500</v>
      </c>
      <c r="F43" s="27">
        <f t="shared" si="3"/>
        <v>1</v>
      </c>
      <c r="G43" s="27">
        <v>500</v>
      </c>
      <c r="H43" s="28">
        <v>16.3</v>
      </c>
      <c r="I43" s="28">
        <v>17.5</v>
      </c>
    </row>
    <row r="44" spans="1:9" s="80" customFormat="1" x14ac:dyDescent="0.2">
      <c r="A44" s="32" t="s">
        <v>160</v>
      </c>
      <c r="B44" s="36" t="s">
        <v>172</v>
      </c>
      <c r="C44" s="65">
        <v>15</v>
      </c>
      <c r="D44" s="66"/>
      <c r="E44" s="27">
        <v>540</v>
      </c>
      <c r="F44" s="27">
        <f t="shared" si="3"/>
        <v>4</v>
      </c>
      <c r="G44" s="27">
        <v>2160</v>
      </c>
      <c r="H44" s="28">
        <v>54</v>
      </c>
      <c r="I44" s="28">
        <v>58.8</v>
      </c>
    </row>
    <row r="45" spans="1:9" s="80" customFormat="1" x14ac:dyDescent="0.2">
      <c r="A45" s="32" t="s">
        <v>161</v>
      </c>
      <c r="B45" s="36" t="s">
        <v>173</v>
      </c>
      <c r="C45" s="65">
        <v>20</v>
      </c>
      <c r="D45" s="66"/>
      <c r="E45" s="27">
        <v>350</v>
      </c>
      <c r="F45" s="27">
        <f t="shared" si="3"/>
        <v>2</v>
      </c>
      <c r="G45" s="27">
        <v>700</v>
      </c>
      <c r="H45" s="28">
        <v>28.2</v>
      </c>
      <c r="I45" s="28">
        <v>30.4</v>
      </c>
    </row>
    <row r="46" spans="1:9" s="80" customFormat="1" x14ac:dyDescent="0.2">
      <c r="A46" s="32" t="s">
        <v>162</v>
      </c>
      <c r="B46" s="36" t="s">
        <v>174</v>
      </c>
      <c r="C46" s="65">
        <v>25</v>
      </c>
      <c r="D46" s="66"/>
      <c r="E46" s="27">
        <v>220</v>
      </c>
      <c r="F46" s="27">
        <f t="shared" si="3"/>
        <v>8</v>
      </c>
      <c r="G46" s="27">
        <v>1760</v>
      </c>
      <c r="H46" s="28">
        <v>112</v>
      </c>
      <c r="I46" s="28">
        <v>120</v>
      </c>
    </row>
    <row r="47" spans="1:9" s="80" customFormat="1" x14ac:dyDescent="0.2">
      <c r="A47" s="32" t="s">
        <v>163</v>
      </c>
      <c r="B47" s="36" t="s">
        <v>175</v>
      </c>
      <c r="C47" s="65">
        <v>32</v>
      </c>
      <c r="D47" s="66"/>
      <c r="E47" s="27">
        <v>100</v>
      </c>
      <c r="F47" s="27">
        <f t="shared" si="3"/>
        <v>10</v>
      </c>
      <c r="G47" s="27">
        <v>1000</v>
      </c>
      <c r="H47" s="28">
        <v>98</v>
      </c>
      <c r="I47" s="28">
        <v>106</v>
      </c>
    </row>
    <row r="48" spans="1:9" s="82" customFormat="1" x14ac:dyDescent="0.2">
      <c r="A48" s="83"/>
      <c r="B48" s="187" t="s">
        <v>71</v>
      </c>
      <c r="C48" s="187"/>
      <c r="D48" s="187"/>
      <c r="E48" s="187"/>
      <c r="F48" s="187"/>
      <c r="G48" s="34"/>
      <c r="H48" s="26"/>
      <c r="I48" s="26"/>
    </row>
    <row r="49" spans="1:9" s="82" customFormat="1" ht="12.75" customHeight="1" x14ac:dyDescent="0.2">
      <c r="A49" s="75" t="s">
        <v>31</v>
      </c>
      <c r="B49" s="76" t="s">
        <v>30</v>
      </c>
      <c r="C49" s="206" t="s">
        <v>63</v>
      </c>
      <c r="D49" s="207"/>
      <c r="E49" s="84" t="s">
        <v>181</v>
      </c>
      <c r="F49" s="37" t="s">
        <v>180</v>
      </c>
      <c r="G49" s="77" t="s">
        <v>32</v>
      </c>
      <c r="H49" s="78"/>
      <c r="I49" s="78"/>
    </row>
    <row r="50" spans="1:9" s="82" customFormat="1" ht="12.75" customHeight="1" x14ac:dyDescent="0.2">
      <c r="A50" s="32" t="s">
        <v>176</v>
      </c>
      <c r="B50" s="36" t="s">
        <v>179</v>
      </c>
      <c r="C50" s="208" t="s">
        <v>182</v>
      </c>
      <c r="D50" s="209"/>
      <c r="E50" s="27">
        <v>15</v>
      </c>
      <c r="F50" s="27">
        <f>G50/E50</f>
        <v>50</v>
      </c>
      <c r="G50" s="27">
        <v>750</v>
      </c>
      <c r="H50" s="28">
        <v>408.5</v>
      </c>
      <c r="I50" s="28">
        <v>409.25</v>
      </c>
    </row>
    <row r="51" spans="1:9" s="86" customFormat="1" ht="12.75" customHeight="1" x14ac:dyDescent="0.2">
      <c r="A51" s="89" t="s">
        <v>177</v>
      </c>
      <c r="B51" s="90" t="s">
        <v>74</v>
      </c>
      <c r="C51" s="212" t="s">
        <v>183</v>
      </c>
      <c r="D51" s="213"/>
      <c r="E51" s="91">
        <v>15</v>
      </c>
      <c r="F51" s="91">
        <f>G51/E51</f>
        <v>18</v>
      </c>
      <c r="G51" s="91">
        <v>270</v>
      </c>
      <c r="H51" s="92">
        <v>176.85</v>
      </c>
      <c r="I51" s="92">
        <v>177.12</v>
      </c>
    </row>
    <row r="52" spans="1:9" s="82" customFormat="1" ht="12.75" customHeight="1" x14ac:dyDescent="0.2">
      <c r="A52" s="48" t="s">
        <v>178</v>
      </c>
      <c r="B52" s="49" t="s">
        <v>74</v>
      </c>
      <c r="C52" s="210" t="s">
        <v>183</v>
      </c>
      <c r="D52" s="211"/>
      <c r="E52" s="29">
        <v>7</v>
      </c>
      <c r="F52" s="29">
        <f t="shared" ref="F52" si="4">G52/E52</f>
        <v>1</v>
      </c>
      <c r="G52" s="29">
        <v>7</v>
      </c>
      <c r="H52" s="30">
        <v>9.8249999999999993</v>
      </c>
      <c r="I52" s="30">
        <v>9.84</v>
      </c>
    </row>
    <row r="53" spans="1:9" s="82" customFormat="1" x14ac:dyDescent="0.2">
      <c r="A53" s="56"/>
      <c r="B53" s="57"/>
      <c r="C53" s="23"/>
      <c r="D53" s="51"/>
      <c r="E53" s="21"/>
      <c r="F53" s="21"/>
      <c r="G53" s="21"/>
      <c r="H53" s="22"/>
      <c r="I53" s="22"/>
    </row>
    <row r="54" spans="1:9" s="62" customFormat="1" x14ac:dyDescent="0.2">
      <c r="A54" s="56"/>
      <c r="B54" s="57"/>
      <c r="C54" s="23"/>
      <c r="D54" s="51"/>
      <c r="E54" s="21"/>
      <c r="F54" s="21"/>
      <c r="G54" s="21"/>
      <c r="H54" s="22"/>
      <c r="I54" s="22"/>
    </row>
    <row r="55" spans="1:9" s="62" customFormat="1" x14ac:dyDescent="0.2">
      <c r="A55" s="56"/>
      <c r="B55" s="57"/>
      <c r="C55" s="23"/>
      <c r="D55" s="51"/>
      <c r="E55" s="21"/>
      <c r="F55" s="21"/>
      <c r="G55" s="21"/>
      <c r="H55" s="22"/>
      <c r="I55" s="22"/>
    </row>
    <row r="56" spans="1:9" s="72" customFormat="1" x14ac:dyDescent="0.2">
      <c r="A56" s="56"/>
      <c r="B56" s="57"/>
      <c r="C56" s="23"/>
      <c r="D56" s="51"/>
      <c r="E56" s="21"/>
      <c r="F56" s="21"/>
      <c r="G56" s="21"/>
      <c r="H56" s="22"/>
      <c r="I56" s="22"/>
    </row>
    <row r="57" spans="1:9" s="72" customFormat="1" x14ac:dyDescent="0.2">
      <c r="A57" s="56"/>
      <c r="B57" s="57"/>
      <c r="C57" s="23"/>
      <c r="D57" s="51"/>
      <c r="E57" s="21"/>
      <c r="F57" s="21"/>
      <c r="G57" s="21"/>
      <c r="H57" s="22"/>
      <c r="I57" s="22"/>
    </row>
    <row r="58" spans="1:9" s="62" customFormat="1" x14ac:dyDescent="0.2">
      <c r="A58" s="56"/>
      <c r="B58" s="57"/>
      <c r="C58" s="23"/>
      <c r="D58" s="51"/>
      <c r="E58" s="21"/>
      <c r="F58" s="21"/>
      <c r="G58" s="21"/>
      <c r="H58" s="22"/>
      <c r="I58" s="22"/>
    </row>
    <row r="59" spans="1:9" x14ac:dyDescent="0.2">
      <c r="A59" s="56"/>
      <c r="B59" s="57"/>
      <c r="C59" s="23"/>
      <c r="D59" s="51"/>
      <c r="E59" s="21"/>
      <c r="F59" s="21"/>
      <c r="G59" s="21"/>
      <c r="H59" s="22"/>
      <c r="I59" s="22"/>
    </row>
    <row r="60" spans="1:9" ht="12.75" customHeight="1" x14ac:dyDescent="0.2">
      <c r="A60" s="56"/>
      <c r="B60" s="57"/>
      <c r="C60" s="23"/>
      <c r="D60" s="51"/>
      <c r="E60" s="21"/>
      <c r="F60" s="21"/>
      <c r="G60" s="21"/>
      <c r="H60" s="22"/>
      <c r="I60" s="22"/>
    </row>
    <row r="61" spans="1:9" ht="12.75" customHeight="1" x14ac:dyDescent="0.2">
      <c r="A61" s="56"/>
      <c r="B61" s="57"/>
      <c r="C61" s="23"/>
      <c r="D61" s="51"/>
      <c r="E61" s="21"/>
      <c r="F61" s="21"/>
      <c r="G61" s="21"/>
      <c r="H61" s="22"/>
      <c r="I61" s="22"/>
    </row>
    <row r="62" spans="1:9" x14ac:dyDescent="0.2">
      <c r="A62" s="56"/>
      <c r="B62" s="57"/>
      <c r="C62" s="23"/>
      <c r="D62" s="51"/>
      <c r="E62" s="21"/>
      <c r="F62" s="21"/>
      <c r="G62" s="21"/>
      <c r="H62" s="22"/>
      <c r="I62" s="22"/>
    </row>
    <row r="63" spans="1:9" s="68" customFormat="1" x14ac:dyDescent="0.2">
      <c r="A63" s="56"/>
      <c r="B63" s="57"/>
      <c r="C63" s="23"/>
      <c r="D63" s="51"/>
      <c r="E63" s="21"/>
      <c r="F63" s="21"/>
      <c r="G63" s="21"/>
      <c r="H63" s="22"/>
      <c r="I63" s="22"/>
    </row>
    <row r="64" spans="1:9" x14ac:dyDescent="0.2">
      <c r="A64" s="56"/>
      <c r="B64" s="57"/>
      <c r="C64" s="23"/>
      <c r="D64" s="51"/>
      <c r="E64" s="21"/>
      <c r="F64" s="21"/>
      <c r="G64" s="21"/>
      <c r="H64" s="22"/>
      <c r="I64" s="22"/>
    </row>
    <row r="65" spans="1:11" x14ac:dyDescent="0.2">
      <c r="A65" s="56"/>
      <c r="B65" s="57"/>
      <c r="C65" s="23"/>
      <c r="D65" s="51"/>
      <c r="E65" s="21"/>
      <c r="F65" s="21"/>
      <c r="G65" s="21"/>
      <c r="H65" s="22"/>
      <c r="I65" s="22"/>
    </row>
    <row r="66" spans="1:11" x14ac:dyDescent="0.2">
      <c r="A66" s="56"/>
      <c r="B66" s="57"/>
      <c r="C66" s="23"/>
      <c r="D66" s="51"/>
      <c r="E66" s="21"/>
      <c r="F66" s="21"/>
      <c r="G66" s="21"/>
      <c r="H66" s="22"/>
      <c r="I66" s="22"/>
    </row>
    <row r="67" spans="1:11" x14ac:dyDescent="0.2">
      <c r="A67" s="10"/>
      <c r="B67" s="23"/>
      <c r="C67" s="23"/>
      <c r="D67" s="67"/>
      <c r="E67" s="21"/>
      <c r="F67" s="21"/>
      <c r="G67" s="21"/>
      <c r="H67" s="22"/>
      <c r="I67" s="22"/>
    </row>
    <row r="68" spans="1:11" x14ac:dyDescent="0.2">
      <c r="A68" s="2"/>
      <c r="B68" s="24"/>
      <c r="C68" s="24"/>
      <c r="D68" s="38" t="s">
        <v>56</v>
      </c>
      <c r="E68" s="25"/>
      <c r="F68" s="25"/>
      <c r="G68" s="25"/>
      <c r="H68" s="26">
        <f>SUM(H25:H67)</f>
        <v>6050.915</v>
      </c>
      <c r="I68" s="26">
        <f>SUM(I25:I67)</f>
        <v>6399.9999999999973</v>
      </c>
      <c r="J68" s="81"/>
      <c r="K68" s="81"/>
    </row>
    <row r="69" spans="1:11" ht="12.75" customHeight="1" x14ac:dyDescent="0.2">
      <c r="A69" s="194" t="s">
        <v>44</v>
      </c>
      <c r="B69" s="194"/>
      <c r="C69" s="194"/>
      <c r="D69" s="34" t="s">
        <v>45</v>
      </c>
      <c r="E69" s="34" t="s">
        <v>46</v>
      </c>
      <c r="F69" s="234" t="str">
        <f>Sheet1!F71</f>
        <v>FOR JAIKVIN GLOBAL</v>
      </c>
      <c r="G69" s="235"/>
      <c r="H69" s="235"/>
      <c r="I69" s="236"/>
    </row>
    <row r="70" spans="1:11" ht="12.75" customHeight="1" x14ac:dyDescent="0.2">
      <c r="A70" s="202" t="s">
        <v>35</v>
      </c>
      <c r="B70" s="202"/>
      <c r="C70" s="202"/>
      <c r="D70" s="53">
        <f>SUM(Sheet1!H27:H68)+SUM(H26:H30)</f>
        <v>4838.9399999999996</v>
      </c>
      <c r="E70" s="53">
        <f>SUM(Sheet1!I27:I68)+SUM(I26:I30)</f>
        <v>5138.0899999999974</v>
      </c>
      <c r="F70" s="237"/>
      <c r="G70" s="238"/>
      <c r="H70" s="238"/>
      <c r="I70" s="239"/>
    </row>
    <row r="71" spans="1:11" s="74" customFormat="1" ht="12.75" customHeight="1" x14ac:dyDescent="0.2">
      <c r="A71" s="203" t="s">
        <v>47</v>
      </c>
      <c r="B71" s="204"/>
      <c r="C71" s="205"/>
      <c r="D71" s="71">
        <f>SUM(H33:H34)</f>
        <v>29.1</v>
      </c>
      <c r="E71" s="71">
        <f>SUM(I33:I34)</f>
        <v>32.1</v>
      </c>
      <c r="F71" s="237"/>
      <c r="G71" s="238"/>
      <c r="H71" s="238"/>
      <c r="I71" s="239"/>
    </row>
    <row r="72" spans="1:11" ht="12.75" customHeight="1" x14ac:dyDescent="0.2">
      <c r="A72" s="203" t="s">
        <v>48</v>
      </c>
      <c r="B72" s="204"/>
      <c r="C72" s="205"/>
      <c r="D72" s="28">
        <f>SUM(H37:H47)</f>
        <v>587.70000000000005</v>
      </c>
      <c r="E72" s="28">
        <f>SUM(I37:I47)</f>
        <v>633.59999999999991</v>
      </c>
      <c r="F72" s="237"/>
      <c r="G72" s="238"/>
      <c r="H72" s="238"/>
      <c r="I72" s="239"/>
    </row>
    <row r="73" spans="1:11" ht="12.75" customHeight="1" x14ac:dyDescent="0.2">
      <c r="A73" s="203" t="s">
        <v>71</v>
      </c>
      <c r="B73" s="204"/>
      <c r="C73" s="205"/>
      <c r="D73" s="28">
        <f>SUM(H50:H52)</f>
        <v>595.17500000000007</v>
      </c>
      <c r="E73" s="28">
        <f>SUM(I50:I52)</f>
        <v>596.21</v>
      </c>
      <c r="F73" s="237"/>
      <c r="G73" s="238"/>
      <c r="H73" s="238"/>
      <c r="I73" s="239"/>
    </row>
    <row r="74" spans="1:11" ht="12.75" customHeight="1" thickBot="1" x14ac:dyDescent="0.25">
      <c r="A74" s="194" t="s">
        <v>43</v>
      </c>
      <c r="B74" s="194"/>
      <c r="C74" s="194"/>
      <c r="D74" s="50">
        <f>SUM(D70:D73)</f>
        <v>6050.915</v>
      </c>
      <c r="E74" s="50">
        <f>SUM(E70:E73)</f>
        <v>6399.9999999999973</v>
      </c>
      <c r="F74" s="195"/>
      <c r="G74" s="196"/>
      <c r="H74" s="197" t="str">
        <f>Sheet1!H75</f>
        <v>PROPRIETOR</v>
      </c>
      <c r="I74" s="198"/>
    </row>
    <row r="75" spans="1:11" ht="12.75" thickTop="1" x14ac:dyDescent="0.2"/>
    <row r="77" spans="1:11" x14ac:dyDescent="0.2">
      <c r="E77" s="81"/>
    </row>
  </sheetData>
  <mergeCells count="79">
    <mergeCell ref="G4:I4"/>
    <mergeCell ref="G5:I5"/>
    <mergeCell ref="A6:D6"/>
    <mergeCell ref="E6:F6"/>
    <mergeCell ref="G6:I6"/>
    <mergeCell ref="G15:I15"/>
    <mergeCell ref="G18:I18"/>
    <mergeCell ref="A7:D7"/>
    <mergeCell ref="E7:F7"/>
    <mergeCell ref="G7:I7"/>
    <mergeCell ref="E12:I12"/>
    <mergeCell ref="A9:D9"/>
    <mergeCell ref="E9:I9"/>
    <mergeCell ref="A10:D10"/>
    <mergeCell ref="E10:I10"/>
    <mergeCell ref="A11:D11"/>
    <mergeCell ref="E11:I11"/>
    <mergeCell ref="A12:D12"/>
    <mergeCell ref="A13:D13"/>
    <mergeCell ref="E13:G13"/>
    <mergeCell ref="A8:C8"/>
    <mergeCell ref="H13:I13"/>
    <mergeCell ref="A14:D14"/>
    <mergeCell ref="E14:G14"/>
    <mergeCell ref="H14:I14"/>
    <mergeCell ref="A1:G1"/>
    <mergeCell ref="H1:I1"/>
    <mergeCell ref="A2:D3"/>
    <mergeCell ref="E2:F2"/>
    <mergeCell ref="A5:D5"/>
    <mergeCell ref="E5:F5"/>
    <mergeCell ref="E8:I8"/>
    <mergeCell ref="G2:I2"/>
    <mergeCell ref="E3:F3"/>
    <mergeCell ref="G3:I3"/>
    <mergeCell ref="A4:D4"/>
    <mergeCell ref="E4:F4"/>
    <mergeCell ref="A15:D15"/>
    <mergeCell ref="F69:I69"/>
    <mergeCell ref="F70:I73"/>
    <mergeCell ref="A20:C20"/>
    <mergeCell ref="E20:F20"/>
    <mergeCell ref="G20:I20"/>
    <mergeCell ref="A21:C21"/>
    <mergeCell ref="E21:F21"/>
    <mergeCell ref="G21:I21"/>
    <mergeCell ref="B25:E25"/>
    <mergeCell ref="F25:G25"/>
    <mergeCell ref="B22:F22"/>
    <mergeCell ref="H22:I22"/>
    <mergeCell ref="B23:F23"/>
    <mergeCell ref="B24:F24"/>
    <mergeCell ref="E15:F15"/>
    <mergeCell ref="E18:F18"/>
    <mergeCell ref="A18:C18"/>
    <mergeCell ref="A19:C19"/>
    <mergeCell ref="E19:F19"/>
    <mergeCell ref="A69:C69"/>
    <mergeCell ref="B31:G31"/>
    <mergeCell ref="A16:C16"/>
    <mergeCell ref="E16:F16"/>
    <mergeCell ref="G16:I16"/>
    <mergeCell ref="A17:C17"/>
    <mergeCell ref="E17:F17"/>
    <mergeCell ref="G17:I17"/>
    <mergeCell ref="A74:C74"/>
    <mergeCell ref="F74:G74"/>
    <mergeCell ref="H74:I74"/>
    <mergeCell ref="G19:I19"/>
    <mergeCell ref="A70:C70"/>
    <mergeCell ref="A72:C72"/>
    <mergeCell ref="A73:C73"/>
    <mergeCell ref="A71:C71"/>
    <mergeCell ref="B48:F48"/>
    <mergeCell ref="C49:D49"/>
    <mergeCell ref="C50:D50"/>
    <mergeCell ref="C52:D52"/>
    <mergeCell ref="B35:F35"/>
    <mergeCell ref="C51:D51"/>
  </mergeCells>
  <pageMargins left="0.39370078740157483" right="0.39370078740157483" top="0.39370078740157483" bottom="0.39370078740157483" header="0" footer="0"/>
  <pageSetup paperSize="9" scale="8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2026-05-12T09:37:04Z</cp:lastPrinted>
  <dcterms:created xsi:type="dcterms:W3CDTF">2011-01-22T07:57:03Z</dcterms:created>
  <dcterms:modified xsi:type="dcterms:W3CDTF">2026-05-25T07:48:12Z</dcterms:modified>
</cp:coreProperties>
</file>