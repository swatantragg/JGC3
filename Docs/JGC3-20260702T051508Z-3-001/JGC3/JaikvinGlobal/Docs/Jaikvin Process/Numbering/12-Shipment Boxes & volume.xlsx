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I13" i="1" l="1"/>
  <c r="M18" i="1" l="1"/>
  <c r="N18" i="1" s="1"/>
  <c r="I18" i="1"/>
  <c r="J18" i="1" s="1"/>
  <c r="M17" i="1"/>
  <c r="I17" i="1"/>
  <c r="L19" i="1"/>
  <c r="K19" i="1"/>
  <c r="H19" i="1"/>
  <c r="G19" i="1"/>
  <c r="F19" i="1"/>
  <c r="E19" i="1"/>
  <c r="D19" i="1"/>
  <c r="C19" i="1"/>
  <c r="M13" i="1"/>
  <c r="N13" i="1" s="1"/>
  <c r="J13" i="1"/>
  <c r="M12" i="1"/>
  <c r="N12" i="1" s="1"/>
  <c r="I12" i="1"/>
  <c r="J12" i="1" s="1"/>
  <c r="M9" i="1"/>
  <c r="N9" i="1" s="1"/>
  <c r="I9" i="1"/>
  <c r="J9" i="1" s="1"/>
  <c r="M8" i="1"/>
  <c r="N8" i="1" s="1"/>
  <c r="I8" i="1"/>
  <c r="J8" i="1" s="1"/>
  <c r="M5" i="1"/>
  <c r="N5" i="1" s="1"/>
  <c r="I5" i="1"/>
  <c r="J5" i="1" s="1"/>
  <c r="M2" i="1"/>
  <c r="I2" i="1"/>
  <c r="I19" i="1" l="1"/>
  <c r="M19" i="1"/>
  <c r="J17" i="1"/>
  <c r="J19" i="1" s="1"/>
  <c r="N17" i="1"/>
  <c r="N19" i="1" s="1"/>
  <c r="H3" i="1"/>
  <c r="G3" i="1"/>
  <c r="F3" i="1"/>
  <c r="E3" i="1"/>
  <c r="D3" i="1"/>
  <c r="C3" i="1"/>
  <c r="O5" i="1"/>
  <c r="O6" i="1" s="1"/>
  <c r="O2" i="1"/>
  <c r="O3" i="1" s="1"/>
  <c r="N2" i="1"/>
  <c r="J2" i="1"/>
  <c r="O17" i="1" l="1"/>
  <c r="P17" i="1" l="1"/>
  <c r="O18" i="1"/>
  <c r="P18" i="1" s="1"/>
  <c r="P19" i="1" l="1"/>
  <c r="O19" i="1"/>
  <c r="O9" i="1"/>
  <c r="P9" i="1" s="1"/>
  <c r="O8" i="1" l="1"/>
  <c r="P8" i="1" l="1"/>
  <c r="P10" i="1" s="1"/>
  <c r="O10" i="1"/>
  <c r="J10" i="1"/>
  <c r="O13" i="1" l="1"/>
  <c r="P13" i="1" l="1"/>
  <c r="O12" i="1"/>
  <c r="P12" i="1" s="1"/>
  <c r="H14" i="1"/>
  <c r="F14" i="1"/>
  <c r="C14" i="1"/>
  <c r="O14" i="1" l="1"/>
  <c r="O21" i="1" s="1"/>
  <c r="P14" i="1"/>
  <c r="I14" i="1"/>
  <c r="J14" i="1"/>
  <c r="P5" i="1"/>
  <c r="P6" i="1" s="1"/>
  <c r="P2" i="1"/>
  <c r="P3" i="1" s="1"/>
  <c r="P21" i="1" l="1"/>
  <c r="N14" i="1"/>
  <c r="M14" i="1"/>
  <c r="D14" i="1" l="1"/>
  <c r="L3" i="1" l="1"/>
  <c r="N3" i="1"/>
  <c r="N6" i="1"/>
  <c r="M10" i="1" l="1"/>
  <c r="M3" i="1"/>
  <c r="M6" i="1"/>
  <c r="N10" i="1"/>
  <c r="N21" i="1" s="1"/>
  <c r="I10" i="1"/>
  <c r="J6" i="1"/>
  <c r="I3" i="1"/>
  <c r="M21" i="1" l="1"/>
  <c r="J3" i="1"/>
  <c r="J21" i="1" s="1"/>
  <c r="I6" i="1"/>
  <c r="I21" i="1" s="1"/>
  <c r="F6" i="1"/>
  <c r="L14" i="1" l="1"/>
  <c r="L10" i="1"/>
  <c r="L6" i="1"/>
  <c r="L21" i="1" l="1"/>
  <c r="E14" i="1"/>
  <c r="E10" i="1"/>
  <c r="E6" i="1"/>
  <c r="E21" i="1" l="1"/>
  <c r="K14" i="1"/>
  <c r="K10" i="1"/>
  <c r="H10" i="1"/>
  <c r="K6" i="1"/>
  <c r="H6" i="1"/>
  <c r="K3" i="1"/>
  <c r="K21" i="1" l="1"/>
  <c r="H21" i="1"/>
  <c r="G10" i="1"/>
  <c r="F10" i="1"/>
  <c r="F21" i="1" s="1"/>
  <c r="D10" i="1"/>
  <c r="D21" i="1" s="1"/>
  <c r="C10" i="1"/>
  <c r="C21" i="1" s="1"/>
  <c r="G6" i="1"/>
  <c r="D6" i="1"/>
  <c r="C6" i="1"/>
  <c r="D23" i="1" l="1"/>
  <c r="G14" i="1"/>
  <c r="G21" i="1" s="1"/>
</calcChain>
</file>

<file path=xl/sharedStrings.xml><?xml version="1.0" encoding="utf-8"?>
<sst xmlns="http://schemas.openxmlformats.org/spreadsheetml/2006/main" count="30" uniqueCount="25">
  <si>
    <t>OSWIN</t>
  </si>
  <si>
    <t>BOX</t>
  </si>
  <si>
    <t>VOLUME</t>
  </si>
  <si>
    <t>NET WT</t>
  </si>
  <si>
    <t>GROSS WT</t>
  </si>
  <si>
    <t>VP-PP</t>
  </si>
  <si>
    <t>VP-GRN</t>
  </si>
  <si>
    <t>HP-PP</t>
  </si>
  <si>
    <t>HP-GRN</t>
  </si>
  <si>
    <t>TOTAL</t>
  </si>
  <si>
    <t>KP</t>
  </si>
  <si>
    <t>Taxable Purchase</t>
  </si>
  <si>
    <t>QUANTITY</t>
  </si>
  <si>
    <t>Taxable Sales (USD)</t>
  </si>
  <si>
    <t>Taxable Sales (INR)</t>
  </si>
  <si>
    <t>Total Pur value</t>
  </si>
  <si>
    <t>Total Sale value</t>
  </si>
  <si>
    <t>HSN</t>
  </si>
  <si>
    <t>BOXES</t>
  </si>
  <si>
    <t>CAPACITY</t>
  </si>
  <si>
    <t>BALANCE</t>
  </si>
  <si>
    <t>GD4</t>
  </si>
  <si>
    <t>DIFF</t>
  </si>
  <si>
    <t>rounding off</t>
  </si>
  <si>
    <t>GD3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</si>
</sst>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43" fontId="1" fillId="2" borderId="2" xfId="1" applyFont="1" applyFill="1" applyBorder="1" applyAlignment="1">
      <alignment horizontal="center" vertical="center" wrapText="1"/>
    </xf>
    <xf numFmtId="43" fontId="1" fillId="2" borderId="1" xfId="1" applyFont="1" applyFill="1" applyBorder="1"/>
    <xf numFmtId="43" fontId="0" fillId="0" borderId="1" xfId="1" applyFont="1" applyBorder="1"/>
    <xf numFmtId="43" fontId="0" fillId="0" borderId="0" xfId="1" applyFont="1"/>
    <xf numFmtId="43" fontId="3" fillId="0" borderId="1" xfId="1" applyFont="1" applyBorder="1"/>
    <xf numFmtId="164" fontId="0" fillId="0" borderId="0" xfId="0" applyNumberFormat="1"/>
    <xf numFmtId="2" fontId="4" fillId="2" borderId="1" xfId="0" applyNumberFormat="1" applyFont="1" applyFill="1" applyBorder="1"/>
    <xf numFmtId="43" fontId="0" fillId="0" borderId="0" xfId="0" applyNumberFormat="1"/>
    <xf numFmtId="43" fontId="0" fillId="0" borderId="1" xfId="1" applyFont="1" applyFill="1" applyBorder="1"/>
    <xf numFmtId="2" fontId="0" fillId="0" borderId="1" xfId="0" applyNumberFormat="1" applyFill="1" applyBorder="1"/>
    <xf numFmtId="164" fontId="0" fillId="0" borderId="1" xfId="0" applyNumberFormat="1" applyFill="1" applyBorder="1"/>
    <xf numFmtId="9" fontId="1" fillId="2" borderId="1" xfId="2" applyFont="1" applyFill="1" applyBorder="1" applyAlignment="1">
      <alignment horizontal="center" vertical="center" wrapText="1"/>
    </xf>
    <xf numFmtId="165" fontId="1" fillId="2" borderId="1" xfId="0" applyNumberFormat="1" applyFont="1" applyFill="1" applyBorder="1"/>
    <xf numFmtId="0" fontId="0" fillId="2" borderId="1" xfId="0" applyFill="1" applyBorder="1"/>
    <xf numFmtId="2" fontId="0" fillId="2" borderId="1" xfId="0" applyNumberFormat="1" applyFill="1" applyBorder="1"/>
    <xf numFmtId="43" fontId="0" fillId="2" borderId="1" xfId="1" applyFont="1" applyFill="1" applyBorder="1"/>
    <xf numFmtId="0" fontId="0" fillId="0" borderId="1" xfId="0" applyFill="1" applyBorder="1"/>
    <xf numFmtId="2" fontId="3" fillId="0" borderId="1" xfId="0" applyNumberFormat="1" applyFont="1" applyFill="1" applyBorder="1"/>
    <xf numFmtId="9" fontId="1" fillId="2" borderId="1" xfId="0" applyNumberFormat="1" applyFont="1" applyFill="1" applyBorder="1"/>
    <xf numFmtId="0" fontId="0" fillId="0" borderId="0" xfId="0" applyNumberFormat="1"/>
    <xf numFmtId="9" fontId="1" fillId="2" borderId="1" xfId="1" applyNumberFormat="1" applyFont="1" applyFill="1" applyBorder="1" applyAlignment="1">
      <alignment horizontal="center"/>
    </xf>
    <xf numFmtId="0" fontId="1" fillId="0" borderId="0" xfId="0" applyFont="1"/>
    <xf numFmtId="164" fontId="1" fillId="3" borderId="1" xfId="0" applyNumberFormat="1" applyFont="1" applyFill="1" applyBorder="1"/>
    <xf numFmtId="43" fontId="0" fillId="3" borderId="1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zoomScale="98" zoomScaleNormal="98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9.85546875" bestFit="1" customWidth="1"/>
    <col min="2" max="2" width="10.42578125" bestFit="1" customWidth="1"/>
    <col min="8" max="8" width="16" style="13" bestFit="1" customWidth="1"/>
    <col min="9" max="9" width="13.28515625" style="13" customWidth="1"/>
    <col min="10" max="10" width="13.85546875" style="13" bestFit="1" customWidth="1"/>
    <col min="11" max="11" width="12.85546875" style="13" bestFit="1" customWidth="1"/>
    <col min="12" max="12" width="12.5703125" bestFit="1" customWidth="1"/>
    <col min="13" max="13" width="12.28515625" customWidth="1"/>
    <col min="14" max="14" width="12.5703125" style="13" customWidth="1"/>
    <col min="15" max="15" width="12.85546875" bestFit="1" customWidth="1"/>
    <col min="16" max="16" width="13.5703125" bestFit="1" customWidth="1"/>
  </cols>
  <sheetData>
    <row r="1" spans="1:16" ht="30" x14ac:dyDescent="0.25">
      <c r="A1" s="4"/>
      <c r="B1" s="4" t="s">
        <v>17</v>
      </c>
      <c r="C1" s="5" t="s">
        <v>1</v>
      </c>
      <c r="D1" s="5" t="s">
        <v>2</v>
      </c>
      <c r="E1" s="5" t="s">
        <v>12</v>
      </c>
      <c r="F1" s="5" t="s">
        <v>3</v>
      </c>
      <c r="G1" s="6" t="s">
        <v>4</v>
      </c>
      <c r="H1" s="6" t="s">
        <v>11</v>
      </c>
      <c r="I1" s="21">
        <v>0.18</v>
      </c>
      <c r="J1" s="6" t="s">
        <v>15</v>
      </c>
      <c r="K1" s="10" t="s">
        <v>13</v>
      </c>
      <c r="L1" s="10" t="s">
        <v>14</v>
      </c>
      <c r="M1" s="21">
        <v>0.18</v>
      </c>
      <c r="N1" s="6" t="s">
        <v>16</v>
      </c>
      <c r="O1" s="31">
        <f xml:space="preserve"> 92.5</f>
        <v>92.5</v>
      </c>
      <c r="P1" t="s">
        <v>22</v>
      </c>
    </row>
    <row r="2" spans="1:16" x14ac:dyDescent="0.25">
      <c r="A2" s="4" t="s">
        <v>0</v>
      </c>
      <c r="B2" s="22">
        <v>3917.22</v>
      </c>
      <c r="C2" s="26">
        <v>308</v>
      </c>
      <c r="D2" s="27">
        <v>17.59</v>
      </c>
      <c r="E2" s="26">
        <v>40395</v>
      </c>
      <c r="F2" s="20">
        <v>4838.9399999999996</v>
      </c>
      <c r="G2" s="20">
        <v>5141.2299999999996</v>
      </c>
      <c r="H2" s="14">
        <v>943795.3</v>
      </c>
      <c r="I2" s="14">
        <f>H2*$I$1</f>
        <v>169883.15400000001</v>
      </c>
      <c r="J2" s="14">
        <f>H2+I2</f>
        <v>1113678.4540000001</v>
      </c>
      <c r="K2" s="14">
        <v>13313.75</v>
      </c>
      <c r="L2" s="14">
        <v>1231521.8799999999</v>
      </c>
      <c r="M2" s="14">
        <f>L2*$M$1</f>
        <v>221673.93839999998</v>
      </c>
      <c r="N2" s="14">
        <f>L2+M2</f>
        <v>1453195.8183999998</v>
      </c>
      <c r="O2" s="17">
        <f>K2*$O$1</f>
        <v>1231521.875</v>
      </c>
      <c r="P2" s="17">
        <f>L2-O2</f>
        <v>4.999999888241291E-3</v>
      </c>
    </row>
    <row r="3" spans="1:16" x14ac:dyDescent="0.25">
      <c r="A3" s="4" t="s">
        <v>9</v>
      </c>
      <c r="B3" s="4"/>
      <c r="C3" s="4">
        <f>C2</f>
        <v>308</v>
      </c>
      <c r="D3" s="16">
        <f>SUM(D2)</f>
        <v>17.59</v>
      </c>
      <c r="E3" s="4">
        <f>E2</f>
        <v>40395</v>
      </c>
      <c r="F3" s="9">
        <f>F2</f>
        <v>4838.9399999999996</v>
      </c>
      <c r="G3" s="9">
        <f>G2</f>
        <v>5141.2299999999996</v>
      </c>
      <c r="H3" s="11">
        <f>H2</f>
        <v>943795.3</v>
      </c>
      <c r="I3" s="11">
        <f t="shared" ref="I3:K3" si="0">I2</f>
        <v>169883.15400000001</v>
      </c>
      <c r="J3" s="11">
        <f t="shared" si="0"/>
        <v>1113678.4540000001</v>
      </c>
      <c r="K3" s="11">
        <f t="shared" si="0"/>
        <v>13313.75</v>
      </c>
      <c r="L3" s="11">
        <f>L2</f>
        <v>1231521.8799999999</v>
      </c>
      <c r="M3" s="11">
        <f t="shared" ref="M3" si="1">M2</f>
        <v>221673.93839999998</v>
      </c>
      <c r="N3" s="11">
        <f>N2</f>
        <v>1453195.8183999998</v>
      </c>
      <c r="O3" s="11">
        <f t="shared" ref="O3:P3" si="2">O2</f>
        <v>1231521.875</v>
      </c>
      <c r="P3" s="11">
        <f t="shared" si="2"/>
        <v>4.999999888241291E-3</v>
      </c>
    </row>
    <row r="4" spans="1:16" x14ac:dyDescent="0.25">
      <c r="A4" s="4"/>
      <c r="B4" s="4"/>
      <c r="C4" s="4"/>
      <c r="D4" s="4"/>
      <c r="E4" s="4"/>
      <c r="F4" s="9"/>
      <c r="G4" s="9"/>
      <c r="H4" s="11"/>
      <c r="I4" s="11"/>
      <c r="J4" s="11"/>
      <c r="K4" s="11"/>
      <c r="L4" s="11"/>
      <c r="M4" s="11"/>
      <c r="N4" s="11"/>
    </row>
    <row r="5" spans="1:16" x14ac:dyDescent="0.25">
      <c r="A5" s="4" t="s">
        <v>10</v>
      </c>
      <c r="B5" s="22">
        <v>3917.4</v>
      </c>
      <c r="C5" s="26"/>
      <c r="D5" s="19"/>
      <c r="E5" s="1"/>
      <c r="F5" s="20"/>
      <c r="G5" s="20"/>
      <c r="H5" s="18"/>
      <c r="I5" s="14">
        <f>H5*$I$1</f>
        <v>0</v>
      </c>
      <c r="J5" s="14">
        <f>H5+I5</f>
        <v>0</v>
      </c>
      <c r="K5" s="14"/>
      <c r="L5" s="14"/>
      <c r="M5" s="14">
        <f>L5*$M$1</f>
        <v>0</v>
      </c>
      <c r="N5" s="14">
        <f>L5+M5</f>
        <v>0</v>
      </c>
      <c r="O5" s="29">
        <f>K5*$O$1</f>
        <v>0</v>
      </c>
      <c r="P5" s="17">
        <f>L5-O5</f>
        <v>0</v>
      </c>
    </row>
    <row r="6" spans="1:16" x14ac:dyDescent="0.25">
      <c r="A6" s="4" t="s">
        <v>9</v>
      </c>
      <c r="B6" s="4"/>
      <c r="C6" s="4">
        <f>C5</f>
        <v>0</v>
      </c>
      <c r="D6" s="8">
        <f>D5</f>
        <v>0</v>
      </c>
      <c r="E6" s="4">
        <f>E5</f>
        <v>0</v>
      </c>
      <c r="F6" s="9">
        <f>F5</f>
        <v>0</v>
      </c>
      <c r="G6" s="9">
        <f>G5</f>
        <v>0</v>
      </c>
      <c r="H6" s="11">
        <f t="shared" ref="H6:K6" si="3">H5</f>
        <v>0</v>
      </c>
      <c r="I6" s="11">
        <f t="shared" si="3"/>
        <v>0</v>
      </c>
      <c r="J6" s="11">
        <f t="shared" si="3"/>
        <v>0</v>
      </c>
      <c r="K6" s="11">
        <f t="shared" si="3"/>
        <v>0</v>
      </c>
      <c r="L6" s="11">
        <f t="shared" ref="L6:M6" si="4">L5</f>
        <v>0</v>
      </c>
      <c r="M6" s="11">
        <f t="shared" si="4"/>
        <v>0</v>
      </c>
      <c r="N6" s="11">
        <f>N5</f>
        <v>0</v>
      </c>
      <c r="O6" s="11">
        <f t="shared" ref="O6:P6" si="5">O5</f>
        <v>0</v>
      </c>
      <c r="P6" s="11">
        <f t="shared" si="5"/>
        <v>0</v>
      </c>
    </row>
    <row r="7" spans="1:16" x14ac:dyDescent="0.25">
      <c r="A7" s="4"/>
      <c r="B7" s="4"/>
      <c r="C7" s="4"/>
      <c r="D7" s="4"/>
      <c r="E7" s="4"/>
      <c r="F7" s="9"/>
      <c r="G7" s="9"/>
      <c r="H7" s="11"/>
      <c r="I7" s="11"/>
      <c r="J7" s="11"/>
      <c r="K7" s="11"/>
      <c r="L7" s="11"/>
      <c r="M7" s="11"/>
      <c r="N7" s="11"/>
    </row>
    <row r="8" spans="1:16" x14ac:dyDescent="0.25">
      <c r="A8" s="4" t="s">
        <v>5</v>
      </c>
      <c r="B8" s="22">
        <v>3917.4</v>
      </c>
      <c r="C8" s="26"/>
      <c r="D8" s="3"/>
      <c r="E8" s="1"/>
      <c r="F8" s="2"/>
      <c r="G8" s="2"/>
      <c r="H8" s="12"/>
      <c r="I8" s="14">
        <f t="shared" ref="I8:I9" si="6">H8*$I$1</f>
        <v>0</v>
      </c>
      <c r="J8" s="14">
        <f t="shared" ref="J8:J9" si="7">H8+I8</f>
        <v>0</v>
      </c>
      <c r="K8" s="14"/>
      <c r="L8" s="14"/>
      <c r="M8" s="14">
        <f t="shared" ref="M8:M9" si="8">L8*$M$1</f>
        <v>0</v>
      </c>
      <c r="N8" s="14">
        <f t="shared" ref="N8:N9" si="9">L8+M8</f>
        <v>0</v>
      </c>
      <c r="O8" s="17">
        <f>K8*$O$1</f>
        <v>0</v>
      </c>
      <c r="P8" s="17">
        <f>L8-O8</f>
        <v>0</v>
      </c>
    </row>
    <row r="9" spans="1:16" x14ac:dyDescent="0.25">
      <c r="A9" s="4" t="s">
        <v>6</v>
      </c>
      <c r="B9" s="22">
        <v>3917.4</v>
      </c>
      <c r="C9" s="26"/>
      <c r="D9" s="3"/>
      <c r="E9" s="1"/>
      <c r="F9" s="2"/>
      <c r="G9" s="2"/>
      <c r="H9" s="12"/>
      <c r="I9" s="14">
        <f t="shared" si="6"/>
        <v>0</v>
      </c>
      <c r="J9" s="14">
        <f t="shared" si="7"/>
        <v>0</v>
      </c>
      <c r="K9" s="14"/>
      <c r="L9" s="14"/>
      <c r="M9" s="14">
        <f t="shared" si="8"/>
        <v>0</v>
      </c>
      <c r="N9" s="14">
        <f t="shared" si="9"/>
        <v>0</v>
      </c>
      <c r="O9" s="17">
        <f>K9*$O$1</f>
        <v>0</v>
      </c>
      <c r="P9" s="17">
        <f>L9-O9</f>
        <v>0</v>
      </c>
    </row>
    <row r="10" spans="1:16" x14ac:dyDescent="0.25">
      <c r="A10" s="4" t="s">
        <v>9</v>
      </c>
      <c r="B10" s="4"/>
      <c r="C10" s="7">
        <f>SUM(C8:C9)</f>
        <v>0</v>
      </c>
      <c r="D10" s="8">
        <f>SUM(D8:D9)</f>
        <v>0</v>
      </c>
      <c r="E10" s="7">
        <f>SUM(E8:E9)</f>
        <v>0</v>
      </c>
      <c r="F10" s="9">
        <f>SUM(F8:F9)</f>
        <v>0</v>
      </c>
      <c r="G10" s="9">
        <f>SUM(G8:G9)</f>
        <v>0</v>
      </c>
      <c r="H10" s="11">
        <f t="shared" ref="H10:K10" si="10">SUM(H8:H9)</f>
        <v>0</v>
      </c>
      <c r="I10" s="11">
        <f t="shared" si="10"/>
        <v>0</v>
      </c>
      <c r="J10" s="11">
        <f>SUM(J8:J9)</f>
        <v>0</v>
      </c>
      <c r="K10" s="11">
        <f t="shared" si="10"/>
        <v>0</v>
      </c>
      <c r="L10" s="11">
        <f t="shared" ref="L10:M10" si="11">SUM(L8:L9)</f>
        <v>0</v>
      </c>
      <c r="M10" s="11">
        <f t="shared" si="11"/>
        <v>0</v>
      </c>
      <c r="N10" s="11">
        <f>SUM(N8:N9)</f>
        <v>0</v>
      </c>
      <c r="O10" s="11">
        <f t="shared" ref="O10:P10" si="12">SUM(O8:O9)</f>
        <v>0</v>
      </c>
      <c r="P10" s="11">
        <f t="shared" si="12"/>
        <v>0</v>
      </c>
    </row>
    <row r="11" spans="1:16" x14ac:dyDescent="0.25">
      <c r="A11" s="4"/>
      <c r="B11" s="4"/>
      <c r="C11" s="4"/>
      <c r="D11" s="4"/>
      <c r="E11" s="4"/>
      <c r="F11" s="9"/>
      <c r="G11" s="9"/>
      <c r="H11" s="11"/>
      <c r="I11" s="11"/>
      <c r="J11" s="11"/>
      <c r="K11" s="11"/>
      <c r="L11" s="11"/>
      <c r="M11" s="11"/>
      <c r="N11" s="11"/>
    </row>
    <row r="12" spans="1:16" x14ac:dyDescent="0.25">
      <c r="A12" s="4" t="s">
        <v>7</v>
      </c>
      <c r="B12" s="22">
        <v>3917.4</v>
      </c>
      <c r="C12" s="1">
        <v>3</v>
      </c>
      <c r="D12" s="3">
        <v>0.18</v>
      </c>
      <c r="E12" s="1">
        <v>4300</v>
      </c>
      <c r="F12" s="2">
        <v>29.1</v>
      </c>
      <c r="G12" s="2">
        <v>32.1</v>
      </c>
      <c r="H12" s="12">
        <v>10128</v>
      </c>
      <c r="I12" s="14">
        <f t="shared" ref="I12" si="13">H12*$I$1</f>
        <v>1823.04</v>
      </c>
      <c r="J12" s="14">
        <f t="shared" ref="J12:J13" si="14">H12+I12</f>
        <v>11951.04</v>
      </c>
      <c r="K12" s="14">
        <v>595.20000000000005</v>
      </c>
      <c r="L12" s="14">
        <v>55056</v>
      </c>
      <c r="M12" s="14">
        <f t="shared" ref="M12:M13" si="15">L12*$M$1</f>
        <v>9910.08</v>
      </c>
      <c r="N12" s="14">
        <f t="shared" ref="N12:N13" si="16">L12+M12</f>
        <v>64966.080000000002</v>
      </c>
      <c r="O12" s="17">
        <f t="shared" ref="O12" si="17">K12*$O$1</f>
        <v>55056.000000000007</v>
      </c>
      <c r="P12" s="17">
        <f>L12-O12</f>
        <v>0</v>
      </c>
    </row>
    <row r="13" spans="1:16" x14ac:dyDescent="0.25">
      <c r="A13" s="4" t="s">
        <v>8</v>
      </c>
      <c r="B13" s="22">
        <v>3917.4</v>
      </c>
      <c r="C13" s="1">
        <v>41</v>
      </c>
      <c r="D13" s="3">
        <v>2.46</v>
      </c>
      <c r="E13" s="1">
        <v>24870</v>
      </c>
      <c r="F13" s="2">
        <v>587.70000000000005</v>
      </c>
      <c r="G13" s="2">
        <v>638.44000000000005</v>
      </c>
      <c r="H13" s="12">
        <v>356815.4</v>
      </c>
      <c r="I13" s="14">
        <f>H13*$I$1</f>
        <v>64226.772000000004</v>
      </c>
      <c r="J13" s="14">
        <f t="shared" si="14"/>
        <v>421042.17200000002</v>
      </c>
      <c r="K13" s="14">
        <v>5640</v>
      </c>
      <c r="L13" s="14">
        <v>521700</v>
      </c>
      <c r="M13" s="14">
        <f t="shared" si="15"/>
        <v>93906</v>
      </c>
      <c r="N13" s="14">
        <f t="shared" si="16"/>
        <v>615606</v>
      </c>
      <c r="O13" s="17">
        <f>K13*$O$1</f>
        <v>521700</v>
      </c>
      <c r="P13" s="17">
        <f>L13-O13</f>
        <v>0</v>
      </c>
    </row>
    <row r="14" spans="1:16" x14ac:dyDescent="0.25">
      <c r="A14" s="4" t="s">
        <v>9</v>
      </c>
      <c r="B14" s="4"/>
      <c r="C14" s="7">
        <f t="shared" ref="C14:J14" si="18">SUM(C12:C13)</f>
        <v>44</v>
      </c>
      <c r="D14" s="8">
        <f t="shared" si="18"/>
        <v>2.64</v>
      </c>
      <c r="E14" s="7">
        <f t="shared" si="18"/>
        <v>29170</v>
      </c>
      <c r="F14" s="9">
        <f t="shared" si="18"/>
        <v>616.80000000000007</v>
      </c>
      <c r="G14" s="9">
        <f t="shared" si="18"/>
        <v>670.54000000000008</v>
      </c>
      <c r="H14" s="11">
        <f t="shared" si="18"/>
        <v>366943.4</v>
      </c>
      <c r="I14" s="11">
        <f t="shared" si="18"/>
        <v>66049.812000000005</v>
      </c>
      <c r="J14" s="11">
        <f t="shared" si="18"/>
        <v>432993.212</v>
      </c>
      <c r="K14" s="11">
        <f t="shared" ref="K14" si="19">SUM(K12:K13)</f>
        <v>6235.2</v>
      </c>
      <c r="L14" s="11">
        <f t="shared" ref="L14:N14" si="20">SUM(L12:L13)</f>
        <v>576756</v>
      </c>
      <c r="M14" s="11">
        <f t="shared" si="20"/>
        <v>103816.08</v>
      </c>
      <c r="N14" s="11">
        <f t="shared" si="20"/>
        <v>680572.08</v>
      </c>
      <c r="O14" s="11">
        <f t="shared" ref="O14:P14" si="21">SUM(O12:O13)</f>
        <v>576756</v>
      </c>
      <c r="P14" s="11">
        <f t="shared" si="21"/>
        <v>0</v>
      </c>
    </row>
    <row r="15" spans="1:16" x14ac:dyDescent="0.25">
      <c r="A15" s="4"/>
      <c r="B15" s="4"/>
      <c r="C15" s="4"/>
      <c r="D15" s="4"/>
      <c r="E15" s="4"/>
      <c r="F15" s="9"/>
      <c r="G15" s="9"/>
      <c r="H15" s="11"/>
      <c r="I15" s="11"/>
      <c r="J15" s="11"/>
      <c r="K15" s="11"/>
      <c r="L15" s="11"/>
      <c r="M15" s="11"/>
      <c r="N15" s="11"/>
    </row>
    <row r="16" spans="1:16" x14ac:dyDescent="0.25">
      <c r="A16" s="4" t="s">
        <v>18</v>
      </c>
      <c r="B16" s="22">
        <v>4819.1009999999997</v>
      </c>
      <c r="C16" s="4"/>
      <c r="D16" s="4"/>
      <c r="E16" s="4"/>
      <c r="F16" s="9"/>
      <c r="G16" s="9"/>
      <c r="H16" s="11"/>
      <c r="I16" s="30">
        <v>0.05</v>
      </c>
      <c r="J16" s="11"/>
      <c r="K16" s="11"/>
      <c r="L16" s="11"/>
      <c r="M16" s="30">
        <v>0.05</v>
      </c>
      <c r="N16" s="11"/>
    </row>
    <row r="17" spans="1:16" x14ac:dyDescent="0.25">
      <c r="A17" s="4" t="s">
        <v>24</v>
      </c>
      <c r="B17" s="28">
        <v>0.05</v>
      </c>
      <c r="C17" s="26">
        <v>50</v>
      </c>
      <c r="D17" s="3">
        <v>5.5</v>
      </c>
      <c r="E17" s="26">
        <v>750</v>
      </c>
      <c r="F17" s="2">
        <v>408.5</v>
      </c>
      <c r="G17" s="2">
        <v>409.25</v>
      </c>
      <c r="H17" s="18">
        <v>26250</v>
      </c>
      <c r="I17" s="14">
        <f>H17*$I$16</f>
        <v>1312.5</v>
      </c>
      <c r="J17" s="14">
        <f t="shared" ref="J17" si="22">H17+I17</f>
        <v>27562.5</v>
      </c>
      <c r="K17" s="14">
        <v>637.5</v>
      </c>
      <c r="L17" s="14">
        <v>58968.75</v>
      </c>
      <c r="M17" s="14">
        <f>L17*$M$16</f>
        <v>2948.4375</v>
      </c>
      <c r="N17" s="14">
        <f t="shared" ref="N17" si="23">L17+M17</f>
        <v>61917.1875</v>
      </c>
      <c r="O17" s="17">
        <f>K17*$O$1</f>
        <v>58968.75</v>
      </c>
      <c r="P17" s="17">
        <f>L17-O17</f>
        <v>0</v>
      </c>
    </row>
    <row r="18" spans="1:16" x14ac:dyDescent="0.25">
      <c r="A18" s="4" t="s">
        <v>21</v>
      </c>
      <c r="B18" s="28">
        <v>0.05</v>
      </c>
      <c r="C18" s="26">
        <v>19</v>
      </c>
      <c r="D18" s="3">
        <v>2.4700000000000002</v>
      </c>
      <c r="E18" s="26">
        <v>277</v>
      </c>
      <c r="F18" s="2">
        <v>186.67499999999998</v>
      </c>
      <c r="G18" s="2">
        <v>186.96</v>
      </c>
      <c r="H18" s="18">
        <v>10526</v>
      </c>
      <c r="I18" s="14">
        <f>H18*$I$16</f>
        <v>526.30000000000007</v>
      </c>
      <c r="J18" s="14">
        <f t="shared" ref="J18" si="24">H18+I18</f>
        <v>11052.3</v>
      </c>
      <c r="K18" s="14">
        <v>235.45</v>
      </c>
      <c r="L18" s="14">
        <v>21779.13</v>
      </c>
      <c r="M18" s="14">
        <f>L18*$M$16</f>
        <v>1088.9565</v>
      </c>
      <c r="N18" s="14">
        <f t="shared" ref="N18" si="25">L18+M18</f>
        <v>22868.086500000001</v>
      </c>
      <c r="O18" s="17">
        <f>K18*$O$1</f>
        <v>21779.125</v>
      </c>
      <c r="P18" s="17">
        <f>L18-O18</f>
        <v>5.0000000010186341E-3</v>
      </c>
    </row>
    <row r="19" spans="1:16" x14ac:dyDescent="0.25">
      <c r="A19" s="4" t="s">
        <v>9</v>
      </c>
      <c r="B19" s="4"/>
      <c r="C19" s="7">
        <f>SUM(C17:C18)</f>
        <v>69</v>
      </c>
      <c r="D19" s="8">
        <f t="shared" ref="D19:P19" si="26">SUM(D17:D18)</f>
        <v>7.9700000000000006</v>
      </c>
      <c r="E19" s="7">
        <f t="shared" si="26"/>
        <v>1027</v>
      </c>
      <c r="F19" s="9">
        <f t="shared" si="26"/>
        <v>595.17499999999995</v>
      </c>
      <c r="G19" s="9">
        <f t="shared" si="26"/>
        <v>596.21</v>
      </c>
      <c r="H19" s="11">
        <f t="shared" si="26"/>
        <v>36776</v>
      </c>
      <c r="I19" s="11">
        <f t="shared" si="26"/>
        <v>1838.8000000000002</v>
      </c>
      <c r="J19" s="11">
        <f t="shared" si="26"/>
        <v>38614.800000000003</v>
      </c>
      <c r="K19" s="11">
        <f t="shared" si="26"/>
        <v>872.95</v>
      </c>
      <c r="L19" s="11">
        <f t="shared" si="26"/>
        <v>80747.88</v>
      </c>
      <c r="M19" s="11">
        <f t="shared" si="26"/>
        <v>4037.3940000000002</v>
      </c>
      <c r="N19" s="11">
        <f t="shared" si="26"/>
        <v>84785.274000000005</v>
      </c>
      <c r="O19" s="11">
        <f t="shared" si="26"/>
        <v>80747.875</v>
      </c>
      <c r="P19" s="11">
        <f t="shared" si="26"/>
        <v>5.0000000010186341E-3</v>
      </c>
    </row>
    <row r="20" spans="1:16" x14ac:dyDescent="0.25">
      <c r="A20" s="4"/>
      <c r="B20" s="4"/>
      <c r="C20" s="4"/>
      <c r="D20" s="4"/>
      <c r="E20" s="4"/>
      <c r="F20" s="9"/>
      <c r="G20" s="9"/>
      <c r="H20" s="11"/>
      <c r="I20" s="11"/>
      <c r="J20" s="11"/>
      <c r="K20" s="11"/>
      <c r="L20" s="11"/>
      <c r="M20" s="11"/>
      <c r="N20" s="11"/>
    </row>
    <row r="21" spans="1:16" x14ac:dyDescent="0.25">
      <c r="A21" s="4" t="s">
        <v>9</v>
      </c>
      <c r="B21" s="4"/>
      <c r="C21" s="7">
        <f>C3+C10+C14+C19+C6</f>
        <v>421</v>
      </c>
      <c r="D21" s="8">
        <f>D3+D10+D14+D19+D6</f>
        <v>28.200000000000003</v>
      </c>
      <c r="E21" s="7">
        <f>E3+E10+E14+E19+E6</f>
        <v>70592</v>
      </c>
      <c r="F21" s="9">
        <f>F3+F10+F14+F19+F6</f>
        <v>6050.915</v>
      </c>
      <c r="G21" s="9">
        <f>G3+G10+G14+G19+G6</f>
        <v>6407.98</v>
      </c>
      <c r="H21" s="11">
        <f t="shared" ref="H21:P21" si="27">H3+H10+H14+H19+H6</f>
        <v>1347514.7000000002</v>
      </c>
      <c r="I21" s="11">
        <f t="shared" si="27"/>
        <v>237771.766</v>
      </c>
      <c r="J21" s="11">
        <f t="shared" si="27"/>
        <v>1585286.4660000002</v>
      </c>
      <c r="K21" s="11">
        <f>K3+K10+K14+K19+K6</f>
        <v>20421.900000000001</v>
      </c>
      <c r="L21" s="11">
        <f>L3+L10+L14+L19+L6</f>
        <v>1889025.7599999998</v>
      </c>
      <c r="M21" s="11">
        <f t="shared" si="27"/>
        <v>329527.41240000003</v>
      </c>
      <c r="N21" s="11">
        <f t="shared" si="27"/>
        <v>2218553.1724</v>
      </c>
      <c r="O21" s="11">
        <f t="shared" si="27"/>
        <v>1889025.75</v>
      </c>
      <c r="P21" s="11">
        <f t="shared" si="27"/>
        <v>9.9999998892599251E-3</v>
      </c>
    </row>
    <row r="22" spans="1:16" x14ac:dyDescent="0.25">
      <c r="A22" s="4" t="s">
        <v>19</v>
      </c>
      <c r="B22" s="23"/>
      <c r="C22" s="23"/>
      <c r="D22" s="8">
        <v>29</v>
      </c>
      <c r="E22" s="24"/>
      <c r="F22" s="23"/>
      <c r="G22" s="23"/>
      <c r="H22" s="25"/>
      <c r="I22" s="25"/>
      <c r="J22" s="25"/>
      <c r="K22" s="25"/>
      <c r="L22" s="23"/>
      <c r="M22" s="23"/>
      <c r="N22" s="25"/>
      <c r="O22" s="17"/>
    </row>
    <row r="23" spans="1:16" x14ac:dyDescent="0.25">
      <c r="A23" s="4" t="s">
        <v>20</v>
      </c>
      <c r="B23" s="23"/>
      <c r="C23" s="23"/>
      <c r="D23" s="8">
        <f>D22-D21</f>
        <v>0.79999999999999716</v>
      </c>
      <c r="E23" s="23"/>
      <c r="F23" s="23"/>
      <c r="G23" s="32">
        <v>6400</v>
      </c>
      <c r="H23" s="33" t="s">
        <v>23</v>
      </c>
      <c r="I23" s="25"/>
      <c r="J23" s="25"/>
      <c r="K23" s="25"/>
      <c r="L23" s="23"/>
      <c r="M23" s="23"/>
      <c r="N23" s="25"/>
    </row>
    <row r="24" spans="1:16" x14ac:dyDescent="0.25">
      <c r="G24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2025-08-22T10:35:13Z</dcterms:created>
  <dcterms:modified xsi:type="dcterms:W3CDTF">2026-05-08T06:55:12Z</dcterms:modified>
</cp:coreProperties>
</file>