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Project Schedule" sheetId="2" r:id="rId5"/>
    <sheet state="visible" name="Revision Schedule" sheetId="3" r:id="rId6"/>
    <sheet state="visible" name="Payment Schedule" sheetId="4" r:id="rId7"/>
  </sheets>
  <definedNames/>
  <calcPr/>
  <extLst>
    <ext uri="GoogleSheetsCustomDataVersion2">
      <go:sheetsCustomData xmlns:go="http://customooxmlschemas.google.com/" r:id="rId8" roundtripDataChecksum="cVtXANVqwDimJxGuZUbkJS9eqyLLVqDuZGunsTX1Kd0="/>
    </ext>
  </extLst>
</workbook>
</file>

<file path=xl/sharedStrings.xml><?xml version="1.0" encoding="utf-8"?>
<sst xmlns="http://schemas.openxmlformats.org/spreadsheetml/2006/main" count="125" uniqueCount="85">
  <si>
    <t>PROJECT PLAN &amp; PAYMENT SCHEDULE</t>
  </si>
  <si>
    <t>Custom Export Management System  |  Jaikvin Global, Mumbai</t>
  </si>
  <si>
    <t>Prepared for</t>
  </si>
  <si>
    <t>Jaikvin Global — Merchant Exporter, Mumbai</t>
  </si>
  <si>
    <t>Scope</t>
  </si>
  <si>
    <t>End-to-end export management system (6-stage workflow)</t>
  </si>
  <si>
    <t>Total project value</t>
  </si>
  <si>
    <t>₹1,80,000</t>
  </si>
  <si>
    <t>Planned duration</t>
  </si>
  <si>
    <t>45–60 working days  (scheduled at ~50)</t>
  </si>
  <si>
    <t>Start date</t>
  </si>
  <si>
    <t>Friday, 26 June 2026</t>
  </si>
  <si>
    <t>Target go-live</t>
  </si>
  <si>
    <t>Thursday, 03 September 2026</t>
  </si>
  <si>
    <t>Approach</t>
  </si>
  <si>
    <t>Prototype-first, then phased development</t>
  </si>
  <si>
    <t>Revisions</t>
  </si>
  <si>
    <t>R1 &amp; R2 on the prototype; R3, R4 &amp; R5 across the build</t>
  </si>
  <si>
    <t>Payments</t>
  </si>
  <si>
    <t>30% advance · 20% after R2 · 20% after R3 · 30% before go-live</t>
  </si>
  <si>
    <t>Issued</t>
  </si>
  <si>
    <t>26 June 2026</t>
  </si>
  <si>
    <t>How this works:  We show you a working prototype first (R1), refine it (R2), then build the system in three phases. After each phase you review it and your changes are carried into the next phase — so no time is lost. After R5 only final changes are made; then we deploy.</t>
  </si>
  <si>
    <t>PROJECT SCHEDULE</t>
  </si>
  <si>
    <t>Stage</t>
  </si>
  <si>
    <t>Review</t>
  </si>
  <si>
    <t>What we will deliver</t>
  </si>
  <si>
    <t>Days</t>
  </si>
  <si>
    <t>Target date</t>
  </si>
  <si>
    <t>Payment due</t>
  </si>
  <si>
    <t>Status</t>
  </si>
  <si>
    <t>Date</t>
  </si>
  <si>
    <t>Kickoff</t>
  </si>
  <si>
    <t>—</t>
  </si>
  <si>
    <t>Project kicks off. 30% advance received to begin work.</t>
  </si>
  <si>
    <t>Fri 26 Jun 2026</t>
  </si>
  <si>
    <t>30% advance</t>
  </si>
  <si>
    <t>Pending</t>
  </si>
  <si>
    <t>Prototype — Build</t>
  </si>
  <si>
    <t>R1</t>
  </si>
  <si>
    <t>Working prototype of the core flow: buyer order intake (2A), supplier packing receipt with automatic FIFO deduction (7A), and the live FIFO balance register. You see the system end-to-end.</t>
  </si>
  <si>
    <t>Thu 02 Jul 2026</t>
  </si>
  <si>
    <t>Prototype — Finalize</t>
  </si>
  <si>
    <t>R2</t>
  </si>
  <si>
    <t>Your R1 feedback implemented over one week. Finalized prototype presented for sign-off — this locks the look, flow and scope before the real build starts.</t>
  </si>
  <si>
    <t>Thu 09 Jul 2026</t>
  </si>
  <si>
    <t>20%</t>
  </si>
  <si>
    <t>Phase 1 — Core System</t>
  </si>
  <si>
    <t>R3</t>
  </si>
  <si>
    <t>The engine: database &amp; data model from your 2A and 7A masters, buyer order intake, supplier packing receipt with FIFO deduction, and FIFO balance registers tracking pending quantities across buyer POs.</t>
  </si>
  <si>
    <t>Thu 30 Jul 2026</t>
  </si>
  <si>
    <t>Phase 2 — Documentation</t>
  </si>
  <si>
    <t>R4</t>
  </si>
  <si>
    <t>Pre-shipment documents (invoice, packing list, etc.) and post-shipment documents (BL and related) generated automatically from order &amp; packing data. R3 changes implemented in parallel.</t>
  </si>
  <si>
    <t>Thu 13 Aug 2026</t>
  </si>
  <si>
    <t>Phase 3 — Reports &amp; Banking</t>
  </si>
  <si>
    <t>R5</t>
  </si>
  <si>
    <t>Reports module and banking module (realization, RoDTEP, etc.), plus data-consistency checks that catch mismatches like the package-count and net-weight differences found in your files. R4 changes implemented in parallel; final changes collected.</t>
  </si>
  <si>
    <t>Thu 27 Aug 2026</t>
  </si>
  <si>
    <t>30%</t>
  </si>
  <si>
    <t>Fri 26 Jun 2027</t>
  </si>
  <si>
    <t>REVISION SCHEDULE</t>
  </si>
  <si>
    <t>Revision</t>
  </si>
  <si>
    <t>What you review</t>
  </si>
  <si>
    <t>What happens next</t>
  </si>
  <si>
    <t>Working prototype (core flow)</t>
  </si>
  <si>
    <t>You give feedback; we make changes over the next week.</t>
  </si>
  <si>
    <t>Finalized prototype</t>
  </si>
  <si>
    <t>You sign off; development begins.</t>
  </si>
  <si>
    <t>Your changes are folded into Phase 2.</t>
  </si>
  <si>
    <t>Your changes are folded into Phase 3.</t>
  </si>
  <si>
    <t>Final changes only — then we deploy. No revisions after this.</t>
  </si>
  <si>
    <t>PAYMENT SCHEDULE</t>
  </si>
  <si>
    <t>#</t>
  </si>
  <si>
    <t>Payment trigger</t>
  </si>
  <si>
    <t>On / before</t>
  </si>
  <si>
    <t>Share</t>
  </si>
  <si>
    <t>Amount</t>
  </si>
  <si>
    <t>Cumulative</t>
  </si>
  <si>
    <t>Advance — before R1 (project kickoff)</t>
  </si>
  <si>
    <t>After R2 — finalized prototype signed off</t>
  </si>
  <si>
    <t>After R3 — Phase 1 (Core System) signed off</t>
  </si>
  <si>
    <t>After R5 — before deployment</t>
  </si>
  <si>
    <t>TOTAL</t>
  </si>
  <si>
    <t>Note: amounts update automatically if the total project value cell (highlighted) is changed. All figures in Indian Rupees (₹). Milestone dates are targets and may shift slightly with feedback turnaround.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</si>
</sst>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 &quot;###,##0"/>
  </numFmts>
  <fonts count="17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rgb="FFFFFFFF"/>
      <name val="Arial"/>
    </font>
    <font>
      <b/>
      <sz val="10.0"/>
      <color rgb="FF0B2C4D"/>
      <name val="Arial"/>
    </font>
    <font>
      <sz val="10.0"/>
      <color rgb="FF222222"/>
      <name val="Arial"/>
    </font>
    <font>
      <i/>
      <sz val="9.0"/>
      <color rgb="FF6B7785"/>
      <name val="Arial"/>
    </font>
    <font>
      <b/>
      <sz val="15.0"/>
      <color rgb="FFFFFFFF"/>
      <name val="Arial"/>
    </font>
    <font>
      <b/>
      <sz val="10.0"/>
      <color rgb="FFFFFFFF"/>
      <name val="Arial"/>
    </font>
    <font>
      <b/>
      <sz val="10.0"/>
      <color rgb="FF1C7C8C"/>
      <name val="Arial"/>
    </font>
    <font>
      <sz val="9.0"/>
      <color rgb="FF333333"/>
      <name val="Arial"/>
    </font>
    <font>
      <sz val="10.0"/>
      <color rgb="FF333333"/>
      <name val="Arial"/>
    </font>
    <font>
      <color theme="1"/>
      <name val="Calibri"/>
      <scheme val="minor"/>
    </font>
    <font>
      <b/>
      <sz val="10.0"/>
      <color rgb="FF6B7785"/>
      <name val="Arial"/>
    </font>
    <font>
      <b/>
      <sz val="11.0"/>
      <color rgb="FF0B2C4D"/>
      <name val="Arial"/>
    </font>
    <font>
      <b/>
      <sz val="12.0"/>
      <color rgb="FF0000FF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B2C4D"/>
        <bgColor rgb="FF0B2C4D"/>
      </patternFill>
    </fill>
    <fill>
      <patternFill patternType="solid">
        <fgColor rgb="FF1C7C8C"/>
        <bgColor rgb="FF1C7C8C"/>
      </patternFill>
    </fill>
    <fill>
      <patternFill patternType="solid">
        <fgColor rgb="FFEAF0F5"/>
        <bgColor rgb="FFEAF0F5"/>
      </patternFill>
    </fill>
    <fill>
      <patternFill patternType="solid">
        <fgColor rgb="FFFBF1DF"/>
        <bgColor rgb="FFFBF1D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</fills>
  <borders count="7">
    <border/>
    <border>
      <left/>
      <top/>
      <bottom/>
    </border>
    <border>
      <right/>
      <top/>
      <bottom/>
    </border>
    <border>
      <left style="thin">
        <color rgb="FFC9D2DB"/>
      </left>
      <right style="thin">
        <color rgb="FFC9D2DB"/>
      </right>
      <top style="thin">
        <color rgb="FFC9D2DB"/>
      </top>
      <bottom style="thin">
        <color rgb="FFC9D2DB"/>
      </bottom>
    </border>
    <border>
      <top/>
      <bottom/>
    </border>
    <border>
      <left style="thin">
        <color rgb="FFC9D2DB"/>
      </left>
      <top style="thin">
        <color rgb="FFC9D2DB"/>
      </top>
      <bottom style="thin">
        <color rgb="FFC9D2DB"/>
      </bottom>
    </border>
    <border>
      <right/>
      <top style="thin">
        <color rgb="FFC9D2DB"/>
      </top>
      <bottom style="thin">
        <color rgb="FFC9D2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3" fillId="4" fontId="4" numFmtId="0" xfId="0" applyAlignment="1" applyBorder="1" applyFill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3" fillId="3" fontId="8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readingOrder="0" shrinkToFit="0" vertical="center" wrapText="1"/>
    </xf>
    <xf borderId="3" fillId="4" fontId="9" numFmtId="0" xfId="0" applyAlignment="1" applyBorder="1" applyFont="1">
      <alignment horizontal="center" shrinkToFit="0" vertical="center" wrapText="0"/>
    </xf>
    <xf borderId="3" fillId="4" fontId="10" numFmtId="0" xfId="0" applyAlignment="1" applyBorder="1" applyFont="1">
      <alignment horizontal="left" shrinkToFit="0" vertical="center" wrapText="1"/>
    </xf>
    <xf borderId="3" fillId="4" fontId="11" numFmtId="0" xfId="0" applyAlignment="1" applyBorder="1" applyFont="1">
      <alignment horizontal="center" shrinkToFit="0" vertical="center" wrapText="0"/>
    </xf>
    <xf borderId="3" fillId="5" fontId="4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3" fillId="6" fontId="4" numFmtId="0" xfId="0" applyAlignment="1" applyBorder="1" applyFill="1" applyFont="1">
      <alignment horizontal="left" shrinkToFit="0" vertical="center" wrapText="1"/>
    </xf>
    <xf borderId="3" fillId="6" fontId="9" numFmtId="0" xfId="0" applyAlignment="1" applyBorder="1" applyFont="1">
      <alignment horizontal="center" shrinkToFit="0" vertical="center" wrapText="0"/>
    </xf>
    <xf borderId="3" fillId="6" fontId="10" numFmtId="0" xfId="0" applyAlignment="1" applyBorder="1" applyFont="1">
      <alignment horizontal="left" shrinkToFit="0" vertical="center" wrapText="1"/>
    </xf>
    <xf borderId="3" fillId="6" fontId="11" numFmtId="0" xfId="0" applyAlignment="1" applyBorder="1" applyFont="1">
      <alignment horizontal="center" shrinkToFit="0" vertical="center" wrapText="0"/>
    </xf>
    <xf borderId="3" fillId="6" fontId="13" numFmtId="0" xfId="0" applyAlignment="1" applyBorder="1" applyFont="1">
      <alignment horizontal="center" shrinkToFit="0" vertical="center" wrapText="0"/>
    </xf>
    <xf borderId="3" fillId="4" fontId="13" numFmtId="0" xfId="0" applyAlignment="1" applyBorder="1" applyFont="1">
      <alignment horizontal="center" shrinkToFit="0" vertical="center" wrapText="0"/>
    </xf>
    <xf borderId="3" fillId="5" fontId="14" numFmtId="0" xfId="0" applyAlignment="1" applyBorder="1" applyFont="1">
      <alignment horizontal="center" shrinkToFit="0" vertical="center" wrapText="0"/>
    </xf>
    <xf borderId="3" fillId="4" fontId="11" numFmtId="0" xfId="0" applyAlignment="1" applyBorder="1" applyFont="1">
      <alignment horizontal="left" shrinkToFit="0" vertical="center" wrapText="1"/>
    </xf>
    <xf borderId="3" fillId="6" fontId="11" numFmtId="0" xfId="0" applyAlignment="1" applyBorder="1" applyFont="1">
      <alignment horizontal="left" shrinkToFit="0" vertical="center" wrapText="1"/>
    </xf>
    <xf borderId="5" fillId="4" fontId="14" numFmtId="0" xfId="0" applyAlignment="1" applyBorder="1" applyFont="1">
      <alignment horizontal="right" shrinkToFit="0" vertical="center" wrapText="0"/>
    </xf>
    <xf borderId="6" fillId="0" fontId="2" numFmtId="0" xfId="0" applyBorder="1" applyFont="1"/>
    <xf borderId="3" fillId="7" fontId="15" numFmtId="164" xfId="0" applyAlignment="1" applyBorder="1" applyFill="1" applyFont="1" applyNumberFormat="1">
      <alignment horizontal="center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3" fillId="4" fontId="4" numFmtId="9" xfId="0" applyAlignment="1" applyBorder="1" applyFont="1" applyNumberFormat="1">
      <alignment horizontal="center" shrinkToFit="0" vertical="center" wrapText="0"/>
    </xf>
    <xf borderId="3" fillId="5" fontId="4" numFmtId="164" xfId="0" applyAlignment="1" applyBorder="1" applyFont="1" applyNumberFormat="1">
      <alignment horizontal="center" shrinkToFit="0" vertical="center" wrapText="0"/>
    </xf>
    <xf borderId="3" fillId="4" fontId="11" numFmtId="164" xfId="0" applyAlignment="1" applyBorder="1" applyFont="1" applyNumberFormat="1">
      <alignment horizontal="center" shrinkToFit="0" vertical="center" wrapText="0"/>
    </xf>
    <xf borderId="3" fillId="6" fontId="4" numFmtId="0" xfId="0" applyAlignment="1" applyBorder="1" applyFont="1">
      <alignment horizontal="center" shrinkToFit="0" vertical="center" wrapText="0"/>
    </xf>
    <xf borderId="3" fillId="6" fontId="4" numFmtId="9" xfId="0" applyAlignment="1" applyBorder="1" applyFont="1" applyNumberFormat="1">
      <alignment horizontal="center" shrinkToFit="0" vertical="center" wrapText="0"/>
    </xf>
    <xf borderId="3" fillId="6" fontId="11" numFmtId="164" xfId="0" applyAlignment="1" applyBorder="1" applyFont="1" applyNumberFormat="1">
      <alignment horizontal="center" shrinkToFit="0" vertical="center" wrapText="0"/>
    </xf>
    <xf borderId="5" fillId="2" fontId="3" numFmtId="0" xfId="0" applyAlignment="1" applyBorder="1" applyFont="1">
      <alignment horizontal="right" shrinkToFit="0" vertical="center" wrapText="0"/>
    </xf>
    <xf borderId="3" fillId="2" fontId="16" numFmtId="0" xfId="0" applyAlignment="1" applyBorder="1" applyFont="1">
      <alignment shrinkToFit="0" vertical="bottom" wrapText="0"/>
    </xf>
    <xf borderId="3" fillId="2" fontId="3" numFmtId="9" xfId="0" applyAlignment="1" applyBorder="1" applyFont="1" applyNumberFormat="1">
      <alignment horizontal="center" shrinkToFit="0" vertical="center" wrapText="0"/>
    </xf>
    <xf borderId="3" fillId="2" fontId="3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2C4D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8.0"/>
    <col customWidth="1" min="4" max="4" width="3.0"/>
    <col customWidth="1" min="5" max="26" width="8.71"/>
  </cols>
  <sheetData>
    <row r="2" ht="30.0" customHeight="1">
      <c r="B2" s="1" t="s">
        <v>0</v>
      </c>
      <c r="C2" s="2"/>
    </row>
    <row r="3" ht="21.75" customHeight="1">
      <c r="B3" s="3" t="s">
        <v>1</v>
      </c>
      <c r="C3" s="2"/>
    </row>
    <row r="5" ht="19.5" customHeight="1">
      <c r="B5" s="4" t="s">
        <v>2</v>
      </c>
      <c r="C5" s="5" t="s">
        <v>3</v>
      </c>
    </row>
    <row r="6" ht="19.5" customHeight="1">
      <c r="B6" s="4" t="s">
        <v>4</v>
      </c>
      <c r="C6" s="5" t="s">
        <v>5</v>
      </c>
    </row>
    <row r="7" ht="19.5" customHeight="1">
      <c r="B7" s="4" t="s">
        <v>6</v>
      </c>
      <c r="C7" s="5" t="s">
        <v>7</v>
      </c>
    </row>
    <row r="8" ht="19.5" customHeight="1">
      <c r="B8" s="4" t="s">
        <v>8</v>
      </c>
      <c r="C8" s="5" t="s">
        <v>9</v>
      </c>
    </row>
    <row r="9" ht="19.5" customHeight="1">
      <c r="B9" s="4" t="s">
        <v>10</v>
      </c>
      <c r="C9" s="5" t="s">
        <v>11</v>
      </c>
    </row>
    <row r="10" ht="19.5" customHeight="1">
      <c r="B10" s="4" t="s">
        <v>12</v>
      </c>
      <c r="C10" s="5" t="s">
        <v>13</v>
      </c>
    </row>
    <row r="11" ht="19.5" customHeight="1">
      <c r="B11" s="4" t="s">
        <v>14</v>
      </c>
      <c r="C11" s="5" t="s">
        <v>15</v>
      </c>
    </row>
    <row r="12" ht="19.5" customHeight="1">
      <c r="B12" s="4" t="s">
        <v>16</v>
      </c>
      <c r="C12" s="5" t="s">
        <v>17</v>
      </c>
    </row>
    <row r="13" ht="19.5" customHeight="1">
      <c r="B13" s="4" t="s">
        <v>18</v>
      </c>
      <c r="C13" s="5" t="s">
        <v>19</v>
      </c>
    </row>
    <row r="14" ht="19.5" customHeight="1">
      <c r="B14" s="4" t="s">
        <v>20</v>
      </c>
      <c r="C14" s="5" t="s">
        <v>21</v>
      </c>
    </row>
    <row r="16" ht="57.75" customHeight="1">
      <c r="B16" s="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C2"/>
    <mergeCell ref="B3:C3"/>
    <mergeCell ref="B16:C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7C8C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12.0"/>
    <col customWidth="1" min="4" max="4" width="60.0"/>
    <col customWidth="1" min="5" max="5" width="9.0"/>
    <col customWidth="1" min="6" max="6" width="15.0"/>
    <col customWidth="1" min="7" max="7" width="14.0"/>
    <col customWidth="1" min="8" max="8" width="17.86"/>
    <col customWidth="1" min="9" max="26" width="8.71"/>
  </cols>
  <sheetData>
    <row r="2" ht="27.75" customHeight="1">
      <c r="B2" s="7" t="s">
        <v>23</v>
      </c>
      <c r="C2" s="8"/>
      <c r="D2" s="8"/>
      <c r="E2" s="8"/>
      <c r="F2" s="8"/>
      <c r="G2" s="8"/>
      <c r="H2" s="8"/>
      <c r="I2" s="2"/>
    </row>
    <row r="4" ht="24.0" customHeight="1">
      <c r="B4" s="9" t="s">
        <v>24</v>
      </c>
      <c r="C4" s="9" t="s">
        <v>25</v>
      </c>
      <c r="D4" s="9" t="s">
        <v>26</v>
      </c>
      <c r="E4" s="9" t="s">
        <v>27</v>
      </c>
      <c r="F4" s="9" t="s">
        <v>28</v>
      </c>
      <c r="G4" s="9" t="s">
        <v>29</v>
      </c>
      <c r="H4" s="10" t="s">
        <v>30</v>
      </c>
      <c r="I4" s="10" t="s">
        <v>31</v>
      </c>
    </row>
    <row r="5" ht="45.75" customHeight="1">
      <c r="B5" s="4" t="s">
        <v>32</v>
      </c>
      <c r="C5" s="11" t="s">
        <v>33</v>
      </c>
      <c r="D5" s="12" t="s">
        <v>34</v>
      </c>
      <c r="E5" s="13" t="s">
        <v>33</v>
      </c>
      <c r="F5" s="13" t="s">
        <v>35</v>
      </c>
      <c r="G5" s="14" t="s">
        <v>36</v>
      </c>
      <c r="H5" s="15" t="s">
        <v>37</v>
      </c>
      <c r="I5" s="16"/>
    </row>
    <row r="6" ht="79.5" customHeight="1">
      <c r="B6" s="17" t="s">
        <v>38</v>
      </c>
      <c r="C6" s="18" t="s">
        <v>39</v>
      </c>
      <c r="D6" s="19" t="s">
        <v>40</v>
      </c>
      <c r="E6" s="20">
        <v>4.0</v>
      </c>
      <c r="F6" s="20" t="s">
        <v>41</v>
      </c>
      <c r="G6" s="21" t="s">
        <v>33</v>
      </c>
      <c r="H6" s="16"/>
      <c r="I6" s="16"/>
    </row>
    <row r="7" ht="63.75" customHeight="1">
      <c r="B7" s="4" t="s">
        <v>42</v>
      </c>
      <c r="C7" s="11" t="s">
        <v>43</v>
      </c>
      <c r="D7" s="12" t="s">
        <v>44</v>
      </c>
      <c r="E7" s="13">
        <v>5.0</v>
      </c>
      <c r="F7" s="13" t="s">
        <v>45</v>
      </c>
      <c r="G7" s="14" t="s">
        <v>46</v>
      </c>
      <c r="H7" s="15" t="s">
        <v>37</v>
      </c>
      <c r="I7" s="16"/>
    </row>
    <row r="8" ht="79.5" customHeight="1">
      <c r="B8" s="17" t="s">
        <v>47</v>
      </c>
      <c r="C8" s="18" t="s">
        <v>48</v>
      </c>
      <c r="D8" s="19" t="s">
        <v>49</v>
      </c>
      <c r="E8" s="20">
        <v>15.0</v>
      </c>
      <c r="F8" s="20" t="s">
        <v>50</v>
      </c>
      <c r="G8" s="14" t="s">
        <v>46</v>
      </c>
      <c r="H8" s="15" t="s">
        <v>37</v>
      </c>
      <c r="I8" s="16"/>
    </row>
    <row r="9" ht="79.5" customHeight="1">
      <c r="B9" s="4" t="s">
        <v>51</v>
      </c>
      <c r="C9" s="11" t="s">
        <v>52</v>
      </c>
      <c r="D9" s="12" t="s">
        <v>53</v>
      </c>
      <c r="E9" s="13">
        <v>10.0</v>
      </c>
      <c r="F9" s="13" t="s">
        <v>54</v>
      </c>
      <c r="G9" s="22" t="s">
        <v>33</v>
      </c>
      <c r="H9" s="16"/>
      <c r="I9" s="16"/>
    </row>
    <row r="10" ht="96.0" customHeight="1">
      <c r="B10" s="17" t="s">
        <v>55</v>
      </c>
      <c r="C10" s="18" t="s">
        <v>56</v>
      </c>
      <c r="D10" s="19" t="s">
        <v>57</v>
      </c>
      <c r="E10" s="20">
        <v>10.0</v>
      </c>
      <c r="F10" s="20" t="s">
        <v>58</v>
      </c>
      <c r="G10" s="14" t="s">
        <v>59</v>
      </c>
      <c r="H10" s="15" t="s">
        <v>37</v>
      </c>
      <c r="I10" s="16"/>
    </row>
    <row r="11" ht="48.0" customHeight="1">
      <c r="B11" s="9" t="s">
        <v>24</v>
      </c>
      <c r="C11" s="9" t="s">
        <v>25</v>
      </c>
      <c r="D11" s="9" t="s">
        <v>26</v>
      </c>
      <c r="E11" s="9" t="s">
        <v>27</v>
      </c>
      <c r="F11" s="9" t="s">
        <v>28</v>
      </c>
      <c r="G11" s="9" t="s">
        <v>29</v>
      </c>
      <c r="H11" s="10" t="s">
        <v>30</v>
      </c>
      <c r="I11" s="10" t="s">
        <v>31</v>
      </c>
    </row>
    <row r="12" ht="21.75" customHeight="1">
      <c r="B12" s="4" t="s">
        <v>32</v>
      </c>
      <c r="C12" s="11" t="s">
        <v>33</v>
      </c>
      <c r="D12" s="12" t="s">
        <v>34</v>
      </c>
      <c r="E12" s="13" t="s">
        <v>33</v>
      </c>
      <c r="F12" s="13" t="s">
        <v>60</v>
      </c>
      <c r="G12" s="14" t="s">
        <v>36</v>
      </c>
      <c r="H12" s="15" t="s">
        <v>37</v>
      </c>
      <c r="I1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dataValidations>
    <dataValidation type="list" allowBlank="1" showErrorMessage="1" sqref="H5 H7:H8 H10 H12">
      <formula1>"Pending,Paid"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A33D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30.0"/>
    <col customWidth="1" min="4" max="4" width="18.0"/>
    <col customWidth="1" min="5" max="5" width="40.0"/>
    <col customWidth="1" min="6" max="26" width="8.71"/>
  </cols>
  <sheetData>
    <row r="2" ht="27.75" customHeight="1">
      <c r="B2" s="7" t="s">
        <v>61</v>
      </c>
      <c r="C2" s="8"/>
      <c r="D2" s="8"/>
      <c r="E2" s="2"/>
    </row>
    <row r="4" ht="21.75" customHeight="1">
      <c r="B4" s="9" t="s">
        <v>62</v>
      </c>
      <c r="C4" s="9" t="s">
        <v>63</v>
      </c>
      <c r="D4" s="9" t="s">
        <v>28</v>
      </c>
      <c r="E4" s="9" t="s">
        <v>64</v>
      </c>
    </row>
    <row r="5" ht="31.5" customHeight="1">
      <c r="B5" s="23" t="s">
        <v>39</v>
      </c>
      <c r="C5" s="24" t="s">
        <v>65</v>
      </c>
      <c r="D5" s="13" t="s">
        <v>41</v>
      </c>
      <c r="E5" s="24" t="s">
        <v>66</v>
      </c>
    </row>
    <row r="6" ht="31.5" customHeight="1">
      <c r="B6" s="23" t="s">
        <v>43</v>
      </c>
      <c r="C6" s="25" t="s">
        <v>67</v>
      </c>
      <c r="D6" s="20" t="s">
        <v>45</v>
      </c>
      <c r="E6" s="25" t="s">
        <v>68</v>
      </c>
    </row>
    <row r="7" ht="31.5" customHeight="1">
      <c r="B7" s="23" t="s">
        <v>48</v>
      </c>
      <c r="C7" s="24" t="s">
        <v>47</v>
      </c>
      <c r="D7" s="13" t="s">
        <v>50</v>
      </c>
      <c r="E7" s="24" t="s">
        <v>69</v>
      </c>
    </row>
    <row r="8" ht="31.5" customHeight="1">
      <c r="B8" s="23" t="s">
        <v>52</v>
      </c>
      <c r="C8" s="25" t="s">
        <v>51</v>
      </c>
      <c r="D8" s="20" t="s">
        <v>54</v>
      </c>
      <c r="E8" s="25" t="s">
        <v>70</v>
      </c>
    </row>
    <row r="9" ht="31.5" customHeight="1">
      <c r="B9" s="23" t="s">
        <v>56</v>
      </c>
      <c r="C9" s="24" t="s">
        <v>55</v>
      </c>
      <c r="D9" s="13" t="s">
        <v>58</v>
      </c>
      <c r="E9" s="24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E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2C4D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38.0"/>
    <col customWidth="1" min="4" max="4" width="18.0"/>
    <col customWidth="1" min="5" max="5" width="9.0"/>
    <col customWidth="1" min="6" max="7" width="16.0"/>
    <col customWidth="1" min="8" max="26" width="8.71"/>
  </cols>
  <sheetData>
    <row r="2" ht="27.75" customHeight="1">
      <c r="B2" s="7" t="s">
        <v>72</v>
      </c>
      <c r="C2" s="8"/>
      <c r="D2" s="8"/>
      <c r="E2" s="8"/>
      <c r="F2" s="8"/>
      <c r="G2" s="2"/>
    </row>
    <row r="4">
      <c r="B4" s="26" t="s">
        <v>6</v>
      </c>
      <c r="C4" s="27"/>
      <c r="D4" s="28">
        <v>180000.0</v>
      </c>
    </row>
    <row r="6" ht="21.75" customHeight="1">
      <c r="B6" s="9" t="s">
        <v>73</v>
      </c>
      <c r="C6" s="9" t="s">
        <v>74</v>
      </c>
      <c r="D6" s="9" t="s">
        <v>75</v>
      </c>
      <c r="E6" s="9" t="s">
        <v>76</v>
      </c>
      <c r="F6" s="9" t="s">
        <v>77</v>
      </c>
      <c r="G6" s="9" t="s">
        <v>78</v>
      </c>
    </row>
    <row r="7" ht="21.75" customHeight="1">
      <c r="B7" s="29">
        <v>1.0</v>
      </c>
      <c r="C7" s="24" t="s">
        <v>79</v>
      </c>
      <c r="D7" s="13" t="s">
        <v>35</v>
      </c>
      <c r="E7" s="30">
        <v>0.3</v>
      </c>
      <c r="F7" s="31">
        <f t="shared" ref="F7:F10" si="1">$D$4*E7</f>
        <v>54000</v>
      </c>
      <c r="G7" s="32">
        <f>F7</f>
        <v>54000</v>
      </c>
    </row>
    <row r="8" ht="21.75" customHeight="1">
      <c r="B8" s="33">
        <v>2.0</v>
      </c>
      <c r="C8" s="25" t="s">
        <v>80</v>
      </c>
      <c r="D8" s="20" t="s">
        <v>45</v>
      </c>
      <c r="E8" s="34">
        <v>0.2</v>
      </c>
      <c r="F8" s="31">
        <f t="shared" si="1"/>
        <v>36000</v>
      </c>
      <c r="G8" s="35">
        <f t="shared" ref="G8:G10" si="2">G7+F8</f>
        <v>90000</v>
      </c>
    </row>
    <row r="9" ht="21.75" customHeight="1">
      <c r="B9" s="29">
        <v>3.0</v>
      </c>
      <c r="C9" s="24" t="s">
        <v>81</v>
      </c>
      <c r="D9" s="13" t="s">
        <v>50</v>
      </c>
      <c r="E9" s="30">
        <v>0.2</v>
      </c>
      <c r="F9" s="31">
        <f t="shared" si="1"/>
        <v>36000</v>
      </c>
      <c r="G9" s="32">
        <f t="shared" si="2"/>
        <v>126000</v>
      </c>
    </row>
    <row r="10" ht="21.75" customHeight="1">
      <c r="B10" s="33">
        <v>4.0</v>
      </c>
      <c r="C10" s="25" t="s">
        <v>82</v>
      </c>
      <c r="D10" s="20" t="s">
        <v>58</v>
      </c>
      <c r="E10" s="34">
        <v>0.3</v>
      </c>
      <c r="F10" s="31">
        <f t="shared" si="1"/>
        <v>54000</v>
      </c>
      <c r="G10" s="35">
        <f t="shared" si="2"/>
        <v>180000</v>
      </c>
    </row>
    <row r="11" ht="24.0" customHeight="1">
      <c r="B11" s="36" t="s">
        <v>83</v>
      </c>
      <c r="C11" s="27"/>
      <c r="D11" s="37"/>
      <c r="E11" s="38">
        <f t="shared" ref="E11:F11" si="3">SUM(E7:E10)</f>
        <v>1</v>
      </c>
      <c r="F11" s="39">
        <f t="shared" si="3"/>
        <v>180000</v>
      </c>
      <c r="G11" s="37"/>
    </row>
    <row r="13" ht="43.5" customHeight="1">
      <c r="B13" s="6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G2"/>
    <mergeCell ref="B4:C4"/>
    <mergeCell ref="B11:C11"/>
    <mergeCell ref="B13:G1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2026-06-26T08:24:11Z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