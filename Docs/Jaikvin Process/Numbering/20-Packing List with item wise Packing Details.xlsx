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New Shipments\6002-04-05-2026-Corecomp-Risers, Fittings &amp; Boxes\"/>
    </mc:Choice>
  </mc:AlternateContent>
  <bookViews>
    <workbookView xWindow="-105" yWindow="-105" windowWidth="19425" windowHeight="10305"/>
  </bookViews>
  <sheets>
    <sheet name="Sheet1" sheetId="1" r:id="rId1"/>
    <sheet name="Sheet2" sheetId="3" r:id="rId2"/>
    <sheet name="Risers" sheetId="5" r:id="rId3"/>
    <sheet name="PP Fittings" sheetId="6" r:id="rId4"/>
    <sheet name="Nylon Fittings" sheetId="7" r:id="rId5"/>
    <sheet name="Boxes" sheetId="8" r:id="rId6"/>
  </sheets>
  <definedNames>
    <definedName name="_xlnm._FilterDatabase" localSheetId="5" hidden="1">Boxes!$B$2:$F$6</definedName>
    <definedName name="_xlnm._FilterDatabase" localSheetId="4" hidden="1">'Nylon Fittings'!$C$2:$F$14</definedName>
    <definedName name="_xlnm._FilterDatabase" localSheetId="3" hidden="1">'PP Fittings'!$C$3:$G$5</definedName>
    <definedName name="_xlnm._FilterDatabase" localSheetId="2" hidden="1">Risers!$A$3:$J$56</definedName>
    <definedName name="_xlnm.Print_Area" localSheetId="0">Sheet1!$A$1:$I$82</definedName>
    <definedName name="_xlnm.Print_Area" localSheetId="1">Sheet2!$A$1:$I$79</definedName>
  </definedNames>
  <calcPr calcId="162913"/>
</workbook>
</file>

<file path=xl/calcChain.xml><?xml version="1.0" encoding="utf-8"?>
<calcChain xmlns="http://schemas.openxmlformats.org/spreadsheetml/2006/main">
  <c r="F73" i="3" l="1"/>
  <c r="H78" i="3"/>
  <c r="G7" i="8" l="1"/>
  <c r="H6" i="8"/>
  <c r="H5" i="8"/>
  <c r="H4" i="8"/>
  <c r="H7" i="8" l="1"/>
  <c r="G15" i="7" l="1"/>
  <c r="H14" i="7"/>
  <c r="H13" i="7"/>
  <c r="H12" i="7"/>
  <c r="H11" i="7"/>
  <c r="H10" i="7"/>
  <c r="H9" i="7"/>
  <c r="H8" i="7"/>
  <c r="H7" i="7"/>
  <c r="H6" i="7"/>
  <c r="H5" i="7"/>
  <c r="H4" i="7"/>
  <c r="H6" i="6"/>
  <c r="I5" i="6"/>
  <c r="I4" i="6"/>
  <c r="H15" i="7" l="1"/>
  <c r="I6" i="6"/>
  <c r="I57" i="5" l="1"/>
  <c r="J56" i="5"/>
  <c r="J55" i="5"/>
  <c r="J54" i="5"/>
  <c r="J53" i="5"/>
  <c r="J52" i="5"/>
  <c r="J50" i="5"/>
  <c r="J49" i="5"/>
  <c r="J48" i="5"/>
  <c r="J47" i="5"/>
  <c r="J46" i="5"/>
  <c r="J45" i="5"/>
  <c r="J44" i="5"/>
  <c r="J42" i="5"/>
  <c r="J41" i="5"/>
  <c r="J40" i="5"/>
  <c r="J39" i="5"/>
  <c r="J37" i="5"/>
  <c r="J36" i="5"/>
  <c r="J35" i="5"/>
  <c r="J34" i="5"/>
  <c r="J33" i="5"/>
  <c r="J32" i="5"/>
  <c r="J31" i="5"/>
  <c r="J30" i="5"/>
  <c r="J28" i="5"/>
  <c r="J27" i="5"/>
  <c r="J26" i="5"/>
  <c r="J25" i="5"/>
  <c r="J24" i="5"/>
  <c r="J23" i="5"/>
  <c r="J22" i="5"/>
  <c r="J21" i="5"/>
  <c r="J20" i="5"/>
  <c r="J18" i="5"/>
  <c r="J17" i="5"/>
  <c r="J16" i="5"/>
  <c r="J15" i="5"/>
  <c r="J14" i="5"/>
  <c r="J13" i="5"/>
  <c r="J11" i="5"/>
  <c r="J10" i="5"/>
  <c r="J9" i="5"/>
  <c r="J8" i="5"/>
  <c r="J7" i="5"/>
  <c r="J6" i="5"/>
  <c r="J5" i="5"/>
  <c r="J57" i="5" s="1"/>
  <c r="J4" i="5"/>
  <c r="F45" i="3" l="1"/>
  <c r="F44" i="3"/>
  <c r="F74" i="1" l="1"/>
  <c r="F73" i="1"/>
  <c r="F72" i="1"/>
  <c r="F71" i="1"/>
  <c r="F70" i="1"/>
  <c r="I76" i="1" l="1"/>
  <c r="H76" i="1"/>
  <c r="F61" i="1"/>
  <c r="F60" i="1"/>
  <c r="F40" i="1"/>
  <c r="F39" i="1"/>
  <c r="F46" i="3" l="1"/>
  <c r="F68" i="1"/>
  <c r="F67" i="1"/>
  <c r="F66" i="1"/>
  <c r="F65" i="1"/>
  <c r="F64" i="1"/>
  <c r="F63" i="1"/>
  <c r="F62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1" i="3" l="1"/>
  <c r="F40" i="3"/>
  <c r="F39" i="3"/>
  <c r="F38" i="3"/>
  <c r="F37" i="3"/>
  <c r="F36" i="3"/>
  <c r="F35" i="3"/>
  <c r="F34" i="3"/>
  <c r="F33" i="3"/>
  <c r="F32" i="3"/>
  <c r="F31" i="3"/>
  <c r="F38" i="1" l="1"/>
  <c r="F37" i="1"/>
  <c r="F27" i="3" l="1"/>
  <c r="F28" i="3"/>
  <c r="F28" i="1" l="1"/>
  <c r="F29" i="1"/>
  <c r="F30" i="1"/>
  <c r="F31" i="1"/>
  <c r="F32" i="1"/>
  <c r="F33" i="1"/>
  <c r="F34" i="1"/>
  <c r="F35" i="1"/>
  <c r="F36" i="1"/>
  <c r="G2" i="3" l="1"/>
  <c r="F27" i="1" l="1"/>
  <c r="A7" i="3" l="1"/>
  <c r="A5" i="3"/>
  <c r="B24" i="3"/>
  <c r="B23" i="3"/>
  <c r="D21" i="3"/>
  <c r="A21" i="3"/>
  <c r="D20" i="3"/>
  <c r="A20" i="3"/>
  <c r="D19" i="3"/>
  <c r="A19" i="3"/>
  <c r="D18" i="3"/>
  <c r="A18" i="3"/>
  <c r="D17" i="3"/>
  <c r="A17" i="3"/>
  <c r="D16" i="3"/>
  <c r="A16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H14" i="3"/>
  <c r="H13" i="3"/>
  <c r="E14" i="3"/>
  <c r="E13" i="3"/>
  <c r="E12" i="3"/>
  <c r="E11" i="3"/>
  <c r="E10" i="3"/>
  <c r="E9" i="3"/>
  <c r="E8" i="3"/>
  <c r="A15" i="3"/>
  <c r="A14" i="3"/>
  <c r="A13" i="3"/>
  <c r="A12" i="3"/>
  <c r="A11" i="3"/>
  <c r="A10" i="3"/>
  <c r="A9" i="3"/>
  <c r="A8" i="3"/>
  <c r="D8" i="3"/>
  <c r="A6" i="3"/>
  <c r="A4" i="3"/>
  <c r="A2" i="3"/>
  <c r="G3" i="3"/>
  <c r="I25" i="3" l="1"/>
  <c r="I72" i="3" s="1"/>
  <c r="H25" i="3"/>
  <c r="H72" i="3" s="1"/>
</calcChain>
</file>

<file path=xl/sharedStrings.xml><?xml version="1.0" encoding="utf-8"?>
<sst xmlns="http://schemas.openxmlformats.org/spreadsheetml/2006/main" count="547" uniqueCount="306">
  <si>
    <t>PACKING LIST</t>
  </si>
  <si>
    <t xml:space="preserve">Invoice No. </t>
  </si>
  <si>
    <t xml:space="preserve">Buyers Order No: </t>
  </si>
  <si>
    <t xml:space="preserve">                                                                                                          </t>
  </si>
  <si>
    <t xml:space="preserve">                                                                                                     </t>
  </si>
  <si>
    <t>On Account &amp; risks of</t>
  </si>
  <si>
    <t>Country of Origin</t>
  </si>
  <si>
    <t>Country of Final Destination</t>
  </si>
  <si>
    <t>INDIA</t>
  </si>
  <si>
    <t>AUSTRALIA</t>
  </si>
  <si>
    <t xml:space="preserve">Shipping Marks </t>
  </si>
  <si>
    <t>Pre-Carraige by:</t>
  </si>
  <si>
    <t>Place of Receipt by Pre-Carraige</t>
  </si>
  <si>
    <t xml:space="preserve">                                                              </t>
  </si>
  <si>
    <t>Shipped per:</t>
  </si>
  <si>
    <t>Port of Loading:</t>
  </si>
  <si>
    <t>Port of Discharge:</t>
  </si>
  <si>
    <t>Final Destination:</t>
  </si>
  <si>
    <t>Sr.Nos.</t>
  </si>
  <si>
    <t>No. &amp; Kind of Pkgs                       Description of Goods</t>
  </si>
  <si>
    <t>Quantity</t>
  </si>
  <si>
    <t>WEIGHT</t>
  </si>
  <si>
    <t>NETT</t>
  </si>
  <si>
    <t>GROSS</t>
  </si>
  <si>
    <t>KGS</t>
  </si>
  <si>
    <t>Messrs. Corecomp Pty Ltd.,</t>
  </si>
  <si>
    <t>T/A G.D.Watermark,</t>
  </si>
  <si>
    <t xml:space="preserve">FREMANTLE </t>
  </si>
  <si>
    <t>G.D.W.</t>
  </si>
  <si>
    <t>CODE</t>
  </si>
  <si>
    <t>SR NOS</t>
  </si>
  <si>
    <t>PIECES</t>
  </si>
  <si>
    <t>13, Tesla Link,</t>
  </si>
  <si>
    <t xml:space="preserve">Wangara WA 6065 (Australia) </t>
  </si>
  <si>
    <t>JAIKVIN GLOBAL</t>
  </si>
  <si>
    <t>Merchant Exporters</t>
  </si>
  <si>
    <t>A-101, Rajshree Royale, Navroji Lane, Ghatkopar (W),</t>
  </si>
  <si>
    <t>MUMBAI-400 086. Maharashtra (State Code : 27)</t>
  </si>
  <si>
    <t>Tel: 9987122600 E-Mail: aalok.shah@jaikvinglobal.com</t>
  </si>
  <si>
    <t>Page 2</t>
  </si>
  <si>
    <t>BAL B/F…</t>
  </si>
  <si>
    <t>BALANCE C/F….</t>
  </si>
  <si>
    <t>LEN (MM)</t>
  </si>
  <si>
    <t>3/4"</t>
  </si>
  <si>
    <t>1"</t>
  </si>
  <si>
    <t>SIZE (MM/IN)</t>
  </si>
  <si>
    <t>Qty/Ctn-Pcs</t>
  </si>
  <si>
    <t>CARTONS</t>
  </si>
  <si>
    <t>TOTAL WEIGHTS……….</t>
  </si>
  <si>
    <t>NHAVA SHEVA-MUMBAI (INDIA)</t>
  </si>
  <si>
    <t xml:space="preserve"> </t>
  </si>
  <si>
    <t>Qty/Pkg-Pcs</t>
  </si>
  <si>
    <t>PKGS</t>
  </si>
  <si>
    <t>SIZE (MM)</t>
  </si>
  <si>
    <t>PP1509</t>
  </si>
  <si>
    <t>PE2518</t>
  </si>
  <si>
    <t>2"</t>
  </si>
  <si>
    <t>PP1518</t>
  </si>
  <si>
    <t>1/2"</t>
  </si>
  <si>
    <t>PE1548</t>
  </si>
  <si>
    <t>20*15</t>
  </si>
  <si>
    <t>CORRUGATED BOXES</t>
  </si>
  <si>
    <t>PE1536</t>
  </si>
  <si>
    <t>GD4</t>
  </si>
  <si>
    <t>JG/26-27/6002 DT 04.05.2026</t>
  </si>
  <si>
    <t xml:space="preserve">CONTAINER NO : </t>
  </si>
  <si>
    <t xml:space="preserve">SEAL NO : </t>
  </si>
  <si>
    <t>2001 - 2421 / 2421</t>
  </si>
  <si>
    <t>2001-2015</t>
  </si>
  <si>
    <t>2016-2051</t>
  </si>
  <si>
    <t>2052-2064</t>
  </si>
  <si>
    <t>2065-2087</t>
  </si>
  <si>
    <t>2088-2103</t>
  </si>
  <si>
    <t>2104-2113</t>
  </si>
  <si>
    <t>2114-2120</t>
  </si>
  <si>
    <t>2121-2121</t>
  </si>
  <si>
    <t>2122-2122</t>
  </si>
  <si>
    <t>2123-2138</t>
  </si>
  <si>
    <t>2139-2142</t>
  </si>
  <si>
    <t>2143-2158</t>
  </si>
  <si>
    <t>2159-2168</t>
  </si>
  <si>
    <t>2169-2173</t>
  </si>
  <si>
    <t>2174-2177</t>
  </si>
  <si>
    <t>2178-2182</t>
  </si>
  <si>
    <t>2183-2192</t>
  </si>
  <si>
    <t>2193-2215</t>
  </si>
  <si>
    <t>2216-2223</t>
  </si>
  <si>
    <t>2224-2231</t>
  </si>
  <si>
    <t>2232-2241</t>
  </si>
  <si>
    <t>2242-2251</t>
  </si>
  <si>
    <t>2252-2255</t>
  </si>
  <si>
    <t>2256-2257</t>
  </si>
  <si>
    <t>2258-2258</t>
  </si>
  <si>
    <t>2259-2259</t>
  </si>
  <si>
    <t>2260-2260</t>
  </si>
  <si>
    <t>2261-2262</t>
  </si>
  <si>
    <t>2263-2263</t>
  </si>
  <si>
    <t>2264-2265</t>
  </si>
  <si>
    <t>2266-2267</t>
  </si>
  <si>
    <t>2268-2268</t>
  </si>
  <si>
    <t>2269-2269</t>
  </si>
  <si>
    <t>2270-2270</t>
  </si>
  <si>
    <t>2271-2272</t>
  </si>
  <si>
    <t>2273-2273</t>
  </si>
  <si>
    <t>2274-2274</t>
  </si>
  <si>
    <t>2275-2275</t>
  </si>
  <si>
    <t>2276-2277</t>
  </si>
  <si>
    <t>2278-2279</t>
  </si>
  <si>
    <t>2280-2281</t>
  </si>
  <si>
    <t>2282-2284</t>
  </si>
  <si>
    <t>PP1524</t>
  </si>
  <si>
    <t>PP2004</t>
  </si>
  <si>
    <t>PE2018</t>
  </si>
  <si>
    <t>PE2024</t>
  </si>
  <si>
    <t>PP2508</t>
  </si>
  <si>
    <t>PE2515</t>
  </si>
  <si>
    <t>PE2524</t>
  </si>
  <si>
    <t>PE3206</t>
  </si>
  <si>
    <t>PE3218</t>
  </si>
  <si>
    <t>PE3230</t>
  </si>
  <si>
    <t>PE4008</t>
  </si>
  <si>
    <t>PE4018</t>
  </si>
  <si>
    <t>PE5006</t>
  </si>
  <si>
    <t>PE5018</t>
  </si>
  <si>
    <t>1-1/4"</t>
  </si>
  <si>
    <t>1-1/2"</t>
  </si>
  <si>
    <t>2285-2286</t>
  </si>
  <si>
    <t>2287-2296</t>
  </si>
  <si>
    <t>2297-2300</t>
  </si>
  <si>
    <t>2301-2304</t>
  </si>
  <si>
    <t>2305-2308</t>
  </si>
  <si>
    <t>PMF2524</t>
  </si>
  <si>
    <t>PMF2536</t>
  </si>
  <si>
    <t>1800    BUNDLES</t>
  </si>
  <si>
    <t>2309-2309</t>
  </si>
  <si>
    <t>2310-2311</t>
  </si>
  <si>
    <t>PET1512</t>
  </si>
  <si>
    <t>PP1501 / 5</t>
  </si>
  <si>
    <t>2312-2315</t>
  </si>
  <si>
    <t>2316-2317</t>
  </si>
  <si>
    <t>2318-2318</t>
  </si>
  <si>
    <t>2319-2322</t>
  </si>
  <si>
    <t>2323-2324</t>
  </si>
  <si>
    <t>2325-2327</t>
  </si>
  <si>
    <t>2328-2328</t>
  </si>
  <si>
    <t>2329-2332</t>
  </si>
  <si>
    <t>2333-2334</t>
  </si>
  <si>
    <t>2335-2342</t>
  </si>
  <si>
    <t>2343-2352</t>
  </si>
  <si>
    <t>GRC15</t>
  </si>
  <si>
    <t>GRC20</t>
  </si>
  <si>
    <t>GRC25</t>
  </si>
  <si>
    <t>GRMFE25</t>
  </si>
  <si>
    <t>GRRS2015</t>
  </si>
  <si>
    <t>GRRS2520</t>
  </si>
  <si>
    <t>25*20</t>
  </si>
  <si>
    <t>GRS25</t>
  </si>
  <si>
    <t>GRT15</t>
  </si>
  <si>
    <t>GRT20</t>
  </si>
  <si>
    <t>GRT25</t>
  </si>
  <si>
    <t>GRT32</t>
  </si>
  <si>
    <t>2353-2402</t>
  </si>
  <si>
    <t>2403-2420</t>
  </si>
  <si>
    <t>2421-2421</t>
  </si>
  <si>
    <t>GD3</t>
  </si>
  <si>
    <t>BUNDLES</t>
  </si>
  <si>
    <t>03320 DT 08.08.2025, 03455 DT.04.11.2025,</t>
  </si>
  <si>
    <t>03539 DT 08.01.2026, 03583 DT 12.02.2026,</t>
  </si>
  <si>
    <t>03605 DT. 25.02.2026, 03616 DT 04.03.2026,</t>
  </si>
  <si>
    <t>03658 DT. 02.04.2026</t>
  </si>
  <si>
    <t>421 PACKAGES (343 CARTONS &amp; 78 HDP BUNDLES) CONTAINING PP EXTRUDED</t>
  </si>
  <si>
    <t>PIPES, PP &amp; NYLON MOULDED FITTINGS &amp; CORRUGATED BOXES</t>
  </si>
  <si>
    <t>PP EXTRUDED PIPES : BOTH SIDE THREADED PIPES</t>
  </si>
  <si>
    <t>PP EXTRUDED PIPES : M / F THREADED PIPES</t>
  </si>
  <si>
    <t xml:space="preserve">PP MOULDED FITTINGS  </t>
  </si>
  <si>
    <t xml:space="preserve">PA MOULDED FITTINGS  </t>
  </si>
  <si>
    <t>PO NO. 03455 DT.04.11.2025, 03539 DT.08.01.2026, 03583 DT.12.02.2026, 03616 DT. 04.03.2026, 03658 DT. 02.04.2026</t>
  </si>
  <si>
    <t xml:space="preserve">CODE </t>
  </si>
  <si>
    <t>GD CODE</t>
  </si>
  <si>
    <t>GL CODE</t>
  </si>
  <si>
    <t xml:space="preserve">SIZE </t>
  </si>
  <si>
    <t>LENGTH</t>
  </si>
  <si>
    <t xml:space="preserve">PACKING </t>
  </si>
  <si>
    <t>DESCRIPTION</t>
  </si>
  <si>
    <t>QUANTITY</t>
  </si>
  <si>
    <t xml:space="preserve">15 MM (1/2") </t>
  </si>
  <si>
    <t>MM / IN</t>
  </si>
  <si>
    <t>MM</t>
  </si>
  <si>
    <t>UNIT</t>
  </si>
  <si>
    <t>BOX</t>
  </si>
  <si>
    <t>PCS</t>
  </si>
  <si>
    <t>8109-04</t>
  </si>
  <si>
    <t>PP 1509 P/RISER M X M 
225 X 15MM</t>
  </si>
  <si>
    <t>PP1518 P/RISER M X M 
457 X 15MM</t>
  </si>
  <si>
    <t>PP1518PH</t>
  </si>
  <si>
    <t>90441400 P/RISER M X M
1/2" X 1/2" X 450MM</t>
  </si>
  <si>
    <t>PP1524 P/RISER M X M 
610 X 15MM</t>
  </si>
  <si>
    <t>PP1524PH</t>
  </si>
  <si>
    <t>90441600 P/RISER M X M
1/2" X 1/2" X 600MM</t>
  </si>
  <si>
    <t>8109-05</t>
  </si>
  <si>
    <t>PE 1536 P/RISER M X M
915 X 15MM</t>
  </si>
  <si>
    <t>PE1536PH</t>
  </si>
  <si>
    <t>90441800 P/RISER M X M
1/2" X 1/2" X 900MM</t>
  </si>
  <si>
    <t>PE 1548 P/RISER M X M
1220 X 15MM</t>
  </si>
  <si>
    <t xml:space="preserve">20MM(3/4") </t>
  </si>
  <si>
    <t>PP 2004 P/RISER M X M
100 X 20MM</t>
  </si>
  <si>
    <t>PP2010PH</t>
  </si>
  <si>
    <t>90447000 SPACER METER 
3/4" X 3/4" X 240MM</t>
  </si>
  <si>
    <t>PE 2018 P/RISER M X M
457 X 20MM</t>
  </si>
  <si>
    <t>PE2018PH</t>
  </si>
  <si>
    <t>90442400 P/RISER M X M
3/4" X 3/4" X 450MM</t>
  </si>
  <si>
    <t>PE 2024 P/RISER M X M
610 X 20MM</t>
  </si>
  <si>
    <t>PE2030PH</t>
  </si>
  <si>
    <t>90442700 P/RISER M X M
3/4" X 3/4" X 750MM</t>
  </si>
  <si>
    <t>25mm(1")</t>
  </si>
  <si>
    <t>PP 2508 P/RISER M X M
200 X 25MM</t>
  </si>
  <si>
    <t>PP2511PH</t>
  </si>
  <si>
    <t>90448000 SPACER METER 
1" X 1" X 270MM</t>
  </si>
  <si>
    <t>PE 2515 P/RISER M X M
375 X 25MM</t>
  </si>
  <si>
    <t>PE2518 P/RISER M X M
457 X 25MM</t>
  </si>
  <si>
    <t>PE2518PH</t>
  </si>
  <si>
    <t>90443400 P/RISER M X M
1" X 1" X 450MM</t>
  </si>
  <si>
    <t>PE 2524 P/RISER M X M
610 X 25MM</t>
  </si>
  <si>
    <t>PE2524PH</t>
  </si>
  <si>
    <t>90443600 P/RISER M X M 
1" X 1" X 600MM</t>
  </si>
  <si>
    <t>PE2530PH</t>
  </si>
  <si>
    <t>90443700 P/RISER M X M
1" X 1" X 750MM</t>
  </si>
  <si>
    <t>PE2572PH</t>
  </si>
  <si>
    <t>90443900 P/RISER M X M
1" X 1" X 1800MM</t>
  </si>
  <si>
    <t>32 MM (1.1/4")</t>
  </si>
  <si>
    <t>PE 3206 P/RISER M X M
150 X 32MM</t>
  </si>
  <si>
    <t>PE3206PH</t>
  </si>
  <si>
    <t>90446200 P/RISER M X M
1-1/4" x 1-1/4" x 150MM</t>
  </si>
  <si>
    <t>PE 3218 P/RISER M X M
450 X 32MM</t>
  </si>
  <si>
    <t>PE3218PH</t>
  </si>
  <si>
    <t>90446400 P/RISER M X M
1-1/4" x 1-1/4" x 450MM</t>
  </si>
  <si>
    <t>PE3224PH</t>
  </si>
  <si>
    <t>90446600 P/RISER M X M
1-1/4" x 1-1/4" x 600MM</t>
  </si>
  <si>
    <t>PE 3230 P/RISER M X M
750 X 32MM</t>
  </si>
  <si>
    <t>PE3236PH</t>
  </si>
  <si>
    <t>90446700 P/RISER M X M
1-1/4" x 1-1/4" x 900MM</t>
  </si>
  <si>
    <t>PE3272PH</t>
  </si>
  <si>
    <t>90446800 P/RISER M X M
1-1/4" x 1-1/4" x 1800MM</t>
  </si>
  <si>
    <t>40 MM (1.1/2")</t>
  </si>
  <si>
    <t>PE4006PH</t>
  </si>
  <si>
    <t>90447200 P/RISER M X M
1-1/2" x 1-1/2" x 150MM</t>
  </si>
  <si>
    <t>PE 4008 P/RISER M X M
200 X 40MM</t>
  </si>
  <si>
    <t>PE 4018 P/RISER M X M
450 X 40MM</t>
  </si>
  <si>
    <t>PE4018PH</t>
  </si>
  <si>
    <t>90447400 P/RISER M X M
1-1/2" x 1-1/2" x 450MM</t>
  </si>
  <si>
    <t>50 MM (2")</t>
  </si>
  <si>
    <t>PE 5006 P/RISER M X M
150 X 50MM</t>
  </si>
  <si>
    <t>PE5006PH</t>
  </si>
  <si>
    <t>90448200 P/RISER M X M
2" X 2" X 150MM</t>
  </si>
  <si>
    <t>PE5012PH</t>
  </si>
  <si>
    <t>90448300 P/RISER M X M
2" X 2" X 300MM</t>
  </si>
  <si>
    <t>PE 5018 P/RISER M X M
450 X 50MM</t>
  </si>
  <si>
    <t>PE5018PH</t>
  </si>
  <si>
    <t>90448400 P/RISER M X M
2" X 2" X 450MM</t>
  </si>
  <si>
    <t>PE5048PH</t>
  </si>
  <si>
    <t>90448800 P/RISER M X M
2" X 2" X 1200MM</t>
  </si>
  <si>
    <t>PE5072PH</t>
  </si>
  <si>
    <t>90448820 P/RISER M X M
2" X 2" X 1800MM</t>
  </si>
  <si>
    <t>PP PIPES M/F THREADED</t>
  </si>
  <si>
    <t>PMF 2524 P/RISER M X F
600 X 25 X 20MM</t>
  </si>
  <si>
    <t>PMF2524PH</t>
  </si>
  <si>
    <t>90445600 P/RISER M X F
1" X 3/4" X 600MM</t>
  </si>
  <si>
    <t>PMF2530PH</t>
  </si>
  <si>
    <t>90445700 P/RISER M X F
1" X 3/4" X 750MM</t>
  </si>
  <si>
    <t>PMF 2536 P/RISER M X F
900 X 25 X 20MM</t>
  </si>
  <si>
    <t>PMF2536PH</t>
  </si>
  <si>
    <t>90445800 P/RISER M X F
1" X 3/4" X 900MM</t>
  </si>
  <si>
    <t>PO NOS : 03658 DT 02.04.2026</t>
  </si>
  <si>
    <t>SIZE</t>
  </si>
  <si>
    <t>PACKING</t>
  </si>
  <si>
    <t xml:space="preserve">UNIT </t>
  </si>
  <si>
    <t>Pcs</t>
  </si>
  <si>
    <t>Box</t>
  </si>
  <si>
    <t>PET 1512 Full Thread Riser 
300 X 15MM</t>
  </si>
  <si>
    <t>PP 1501 P/RISER M X M
25 x 15MM</t>
  </si>
  <si>
    <t>PO NOS : 03320 DT 08.08.2025, 03539 DT 08.01.2026, 03583 DT 12.02.2026, 03616 DT 04.03.2026, 03658 DT. 02.04.2026</t>
  </si>
  <si>
    <t>15MM CAP</t>
  </si>
  <si>
    <t>20MM CAP</t>
  </si>
  <si>
    <t>25MM CAP</t>
  </si>
  <si>
    <t>25MM M/F ELBOW</t>
  </si>
  <si>
    <t>20 X 15MM RED. SOCKET</t>
  </si>
  <si>
    <t>25 X 20MM RED. SOCKET</t>
  </si>
  <si>
    <t>25MM SOCKET</t>
  </si>
  <si>
    <t>15MM TEE</t>
  </si>
  <si>
    <t>20MM TEE</t>
  </si>
  <si>
    <t>25MM TEE</t>
  </si>
  <si>
    <t>32MM TEE</t>
  </si>
  <si>
    <t>PO NO. 03605 DT. 25.02.2026</t>
  </si>
  <si>
    <t>3 PLY BROAD FLUTE</t>
  </si>
  <si>
    <t>S/W BDL</t>
  </si>
  <si>
    <t>BDL</t>
  </si>
  <si>
    <t>CORRUGATED DISPLAY BOXES</t>
  </si>
  <si>
    <t>FOR JAIKVIN GLOBAL</t>
  </si>
  <si>
    <t>PROPRIETOR</t>
  </si>
  <si>
    <t>Qty/Bdl-Pcs</t>
  </si>
  <si>
    <r>
      <t xml:space="preserve">570 X 368 X 178          </t>
    </r>
    <r>
      <rPr>
        <b/>
        <sz val="9"/>
        <rFont val="Arial"/>
        <family val="2"/>
      </rPr>
      <t>BUNDLES</t>
    </r>
  </si>
  <si>
    <r>
      <t xml:space="preserve">570 X 368 X 267          </t>
    </r>
    <r>
      <rPr>
        <b/>
        <sz val="9"/>
        <rFont val="Arial"/>
        <family val="2"/>
      </rPr>
      <t>BUNDLES</t>
    </r>
  </si>
  <si>
    <t>BL : 'SFPM2605165498  DT. 19.05.2026</t>
  </si>
  <si>
    <t>Shipped per: CAPE SYROS VOYAGE 092E</t>
  </si>
  <si>
    <t>OOCU0793142</t>
  </si>
  <si>
    <t>IND-0054079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</si>
</sst>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;\-0;;@"/>
  </numFmts>
  <fonts count="21" x14ac:knownFonts="1">
    <font>
      <sz val="10"/>
      <name val="Times New Roman"/>
    </font>
    <font>
      <b/>
      <sz val="9"/>
      <color indexed="10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9"/>
      <color indexed="8"/>
      <name val="Arial"/>
      <family val="2"/>
    </font>
    <font>
      <u/>
      <sz val="9"/>
      <name val="Arial"/>
      <family val="2"/>
    </font>
    <font>
      <sz val="9"/>
      <color indexed="12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0"/>
      <name val="Arial"/>
      <family val="2"/>
    </font>
    <font>
      <b/>
      <sz val="18"/>
      <color indexed="16"/>
      <name val="Centaur"/>
      <family val="1"/>
    </font>
    <font>
      <sz val="10"/>
      <color indexed="16"/>
      <name val="Arial"/>
      <family val="2"/>
    </font>
    <font>
      <sz val="10"/>
      <color indexed="4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b/>
      <sz val="11"/>
      <name val="Arial"/>
      <family val="2"/>
    </font>
    <font>
      <b/>
      <sz val="10"/>
      <color indexed="57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9" fillId="0" borderId="0"/>
    <xf numFmtId="0" fontId="13" fillId="0" borderId="0"/>
    <xf numFmtId="0" fontId="14" fillId="0" borderId="0"/>
    <xf numFmtId="0" fontId="15" fillId="0" borderId="0"/>
  </cellStyleXfs>
  <cellXfs count="35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 applyProtection="1">
      <alignment horizontal="right"/>
      <protection locked="0"/>
    </xf>
    <xf numFmtId="0" fontId="3" fillId="0" borderId="3" xfId="0" applyFont="1" applyBorder="1"/>
    <xf numFmtId="0" fontId="2" fillId="0" borderId="4" xfId="0" applyFont="1" applyBorder="1" applyProtection="1"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7" fillId="0" borderId="5" xfId="0" applyFont="1" applyBorder="1"/>
    <xf numFmtId="0" fontId="7" fillId="0" borderId="3" xfId="0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2" fillId="0" borderId="6" xfId="0" applyFont="1" applyBorder="1"/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10" xfId="0" applyFont="1" applyBorder="1"/>
    <xf numFmtId="0" fontId="7" fillId="0" borderId="5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7" fillId="0" borderId="11" xfId="0" applyFont="1" applyBorder="1"/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2" fillId="0" borderId="16" xfId="0" applyFont="1" applyBorder="1" applyAlignment="1">
      <alignment shrinkToFit="1"/>
    </xf>
    <xf numFmtId="0" fontId="2" fillId="0" borderId="17" xfId="0" applyFont="1" applyBorder="1" applyAlignment="1">
      <alignment shrinkToFit="1"/>
    </xf>
    <xf numFmtId="0" fontId="2" fillId="0" borderId="19" xfId="0" applyFont="1" applyBorder="1" applyAlignment="1">
      <alignment shrinkToFit="1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7" xfId="0" applyFont="1" applyBorder="1" applyAlignment="1">
      <alignment horizontal="center" shrinkToFit="1"/>
    </xf>
    <xf numFmtId="0" fontId="7" fillId="0" borderId="11" xfId="0" applyFont="1" applyBorder="1" applyAlignment="1">
      <alignment horizontal="right"/>
    </xf>
    <xf numFmtId="0" fontId="2" fillId="0" borderId="14" xfId="0" applyFont="1" applyBorder="1" applyAlignment="1">
      <alignment horizontal="center" shrinkToFit="1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shrinkToFit="1"/>
    </xf>
    <xf numFmtId="164" fontId="2" fillId="0" borderId="4" xfId="0" applyNumberFormat="1" applyFont="1" applyBorder="1" applyAlignment="1">
      <alignment horizontal="center"/>
    </xf>
    <xf numFmtId="165" fontId="2" fillId="0" borderId="2" xfId="0" applyNumberFormat="1" applyFont="1" applyBorder="1" applyAlignment="1" applyProtection="1">
      <alignment horizontal="right"/>
      <protection locked="0"/>
    </xf>
    <xf numFmtId="165" fontId="3" fillId="0" borderId="3" xfId="0" applyNumberFormat="1" applyFont="1" applyBorder="1"/>
    <xf numFmtId="165" fontId="2" fillId="0" borderId="4" xfId="0" applyNumberFormat="1" applyFont="1" applyBorder="1" applyProtection="1">
      <protection locked="0"/>
    </xf>
    <xf numFmtId="165" fontId="1" fillId="0" borderId="4" xfId="0" applyNumberFormat="1" applyFont="1" applyBorder="1" applyAlignment="1" applyProtection="1">
      <alignment horizontal="center"/>
      <protection locked="0"/>
    </xf>
    <xf numFmtId="165" fontId="2" fillId="0" borderId="4" xfId="0" applyNumberFormat="1" applyFont="1" applyBorder="1" applyAlignment="1" applyProtection="1">
      <alignment horizontal="center"/>
      <protection locked="0"/>
    </xf>
    <xf numFmtId="0" fontId="2" fillId="0" borderId="22" xfId="0" applyFont="1" applyBorder="1" applyAlignment="1">
      <alignment shrinkToFit="1"/>
    </xf>
    <xf numFmtId="0" fontId="2" fillId="0" borderId="22" xfId="0" applyFont="1" applyBorder="1" applyAlignment="1">
      <alignment horizontal="center" shrinkToFit="1"/>
    </xf>
    <xf numFmtId="0" fontId="2" fillId="0" borderId="10" xfId="0" applyFont="1" applyBorder="1" applyAlignment="1">
      <alignment horizontal="center"/>
    </xf>
    <xf numFmtId="0" fontId="2" fillId="0" borderId="4" xfId="0" applyFont="1" applyBorder="1" applyAlignment="1">
      <alignment shrinkToFit="1"/>
    </xf>
    <xf numFmtId="0" fontId="2" fillId="0" borderId="23" xfId="0" applyFont="1" applyBorder="1" applyAlignment="1">
      <alignment horizontal="center"/>
    </xf>
    <xf numFmtId="0" fontId="2" fillId="0" borderId="7" xfId="0" applyFont="1" applyBorder="1" applyAlignment="1">
      <alignment shrinkToFit="1"/>
    </xf>
    <xf numFmtId="0" fontId="2" fillId="0" borderId="5" xfId="0" applyFont="1" applyBorder="1" applyAlignment="1">
      <alignment shrinkToFit="1"/>
    </xf>
    <xf numFmtId="0" fontId="2" fillId="0" borderId="5" xfId="0" applyFont="1" applyBorder="1" applyAlignment="1">
      <alignment horizontal="center" shrinkToFit="1"/>
    </xf>
    <xf numFmtId="0" fontId="2" fillId="0" borderId="14" xfId="0" applyFont="1" applyBorder="1"/>
    <xf numFmtId="0" fontId="2" fillId="0" borderId="7" xfId="0" applyFont="1" applyBorder="1"/>
    <xf numFmtId="164" fontId="2" fillId="0" borderId="3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0" xfId="0" applyFont="1"/>
    <xf numFmtId="0" fontId="2" fillId="0" borderId="17" xfId="0" applyFont="1" applyBorder="1" applyAlignment="1">
      <alignment horizontal="left" shrinkToFit="1"/>
    </xf>
    <xf numFmtId="0" fontId="2" fillId="0" borderId="0" xfId="0" applyFont="1"/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4" xfId="0" applyFont="1" applyFill="1" applyBorder="1"/>
    <xf numFmtId="0" fontId="2" fillId="0" borderId="4" xfId="0" applyFont="1" applyFill="1" applyBorder="1" applyAlignment="1">
      <alignment horizontal="center" shrinkToFit="1"/>
    </xf>
    <xf numFmtId="0" fontId="2" fillId="0" borderId="4" xfId="0" applyFont="1" applyFill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/>
    <xf numFmtId="0" fontId="2" fillId="0" borderId="7" xfId="0" applyFont="1" applyBorder="1" applyAlignment="1">
      <alignment shrinkToFit="1"/>
    </xf>
    <xf numFmtId="0" fontId="2" fillId="0" borderId="7" xfId="0" applyFont="1" applyBorder="1"/>
    <xf numFmtId="0" fontId="2" fillId="0" borderId="25" xfId="0" applyFont="1" applyBorder="1" applyAlignment="1">
      <alignment horizontal="center"/>
    </xf>
    <xf numFmtId="0" fontId="2" fillId="0" borderId="0" xfId="0" applyFont="1"/>
    <xf numFmtId="0" fontId="2" fillId="0" borderId="7" xfId="0" applyFont="1" applyBorder="1" applyAlignment="1">
      <alignment shrinkToFit="1"/>
    </xf>
    <xf numFmtId="0" fontId="2" fillId="0" borderId="7" xfId="0" applyFont="1" applyBorder="1"/>
    <xf numFmtId="0" fontId="2" fillId="0" borderId="22" xfId="0" applyFont="1" applyBorder="1" applyAlignment="1">
      <alignment horizontal="center"/>
    </xf>
    <xf numFmtId="0" fontId="2" fillId="0" borderId="14" xfId="0" applyFont="1" applyBorder="1" applyAlignment="1">
      <alignment shrinkToFit="1"/>
    </xf>
    <xf numFmtId="0" fontId="2" fillId="0" borderId="26" xfId="0" applyFont="1" applyBorder="1" applyAlignment="1">
      <alignment shrinkToFit="1"/>
    </xf>
    <xf numFmtId="0" fontId="2" fillId="0" borderId="26" xfId="0" applyFont="1" applyBorder="1" applyAlignment="1">
      <alignment horizontal="center" shrinkToFit="1"/>
    </xf>
    <xf numFmtId="0" fontId="2" fillId="0" borderId="27" xfId="0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0" fontId="15" fillId="0" borderId="0" xfId="4" applyAlignment="1">
      <alignment vertical="center"/>
    </xf>
    <xf numFmtId="0" fontId="16" fillId="0" borderId="2" xfId="4" applyFont="1" applyBorder="1" applyAlignment="1">
      <alignment vertical="center"/>
    </xf>
    <xf numFmtId="0" fontId="16" fillId="0" borderId="7" xfId="4" applyFont="1" applyBorder="1" applyAlignment="1">
      <alignment vertical="center"/>
    </xf>
    <xf numFmtId="0" fontId="16" fillId="0" borderId="7" xfId="4" applyFont="1" applyBorder="1" applyAlignment="1">
      <alignment horizontal="center" vertical="center"/>
    </xf>
    <xf numFmtId="0" fontId="16" fillId="0" borderId="8" xfId="4" applyFont="1" applyBorder="1" applyAlignment="1">
      <alignment horizontal="left" vertical="center"/>
    </xf>
    <xf numFmtId="0" fontId="16" fillId="0" borderId="14" xfId="4" applyFont="1" applyBorder="1" applyAlignment="1">
      <alignment horizontal="left" vertical="center"/>
    </xf>
    <xf numFmtId="0" fontId="15" fillId="0" borderId="7" xfId="4" applyFill="1" applyBorder="1" applyAlignment="1">
      <alignment vertical="center"/>
    </xf>
    <xf numFmtId="0" fontId="17" fillId="0" borderId="15" xfId="4" applyFont="1" applyFill="1" applyBorder="1" applyAlignment="1">
      <alignment horizontal="left" vertical="center"/>
    </xf>
    <xf numFmtId="0" fontId="17" fillId="0" borderId="7" xfId="4" applyFont="1" applyFill="1" applyBorder="1" applyAlignment="1">
      <alignment horizontal="left" vertical="center"/>
    </xf>
    <xf numFmtId="0" fontId="17" fillId="0" borderId="7" xfId="4" applyFont="1" applyFill="1" applyBorder="1" applyAlignment="1">
      <alignment horizontal="center" vertical="center"/>
    </xf>
    <xf numFmtId="0" fontId="9" fillId="0" borderId="7" xfId="4" applyFont="1" applyFill="1" applyBorder="1" applyAlignment="1">
      <alignment horizontal="center" vertical="center"/>
    </xf>
    <xf numFmtId="0" fontId="15" fillId="0" borderId="7" xfId="4" applyFill="1" applyBorder="1" applyAlignment="1">
      <alignment horizontal="center" vertical="center"/>
    </xf>
    <xf numFmtId="0" fontId="16" fillId="0" borderId="7" xfId="4" applyFont="1" applyFill="1" applyBorder="1" applyAlignment="1">
      <alignment horizontal="left" vertical="center" wrapText="1"/>
    </xf>
    <xf numFmtId="0" fontId="15" fillId="0" borderId="0" xfId="4" applyFill="1" applyAlignment="1">
      <alignment vertical="center"/>
    </xf>
    <xf numFmtId="0" fontId="15" fillId="0" borderId="7" xfId="4" applyBorder="1" applyAlignment="1">
      <alignment vertical="center"/>
    </xf>
    <xf numFmtId="0" fontId="17" fillId="0" borderId="15" xfId="4" applyFont="1" applyBorder="1" applyAlignment="1">
      <alignment horizontal="left" vertical="center"/>
    </xf>
    <xf numFmtId="0" fontId="17" fillId="0" borderId="7" xfId="4" applyFont="1" applyBorder="1" applyAlignment="1">
      <alignment horizontal="left" vertical="center"/>
    </xf>
    <xf numFmtId="0" fontId="17" fillId="0" borderId="7" xfId="4" applyFont="1" applyBorder="1" applyAlignment="1">
      <alignment horizontal="center" vertical="center"/>
    </xf>
    <xf numFmtId="0" fontId="9" fillId="0" borderId="7" xfId="4" applyFont="1" applyBorder="1" applyAlignment="1">
      <alignment horizontal="center" vertical="center"/>
    </xf>
    <xf numFmtId="0" fontId="15" fillId="0" borderId="7" xfId="4" applyBorder="1" applyAlignment="1">
      <alignment horizontal="center" vertical="center"/>
    </xf>
    <xf numFmtId="0" fontId="16" fillId="0" borderId="7" xfId="4" applyFont="1" applyBorder="1" applyAlignment="1">
      <alignment horizontal="left" vertical="center" wrapText="1"/>
    </xf>
    <xf numFmtId="0" fontId="16" fillId="0" borderId="15" xfId="4" applyFont="1" applyBorder="1" applyAlignment="1">
      <alignment horizontal="left" vertical="center"/>
    </xf>
    <xf numFmtId="0" fontId="16" fillId="0" borderId="7" xfId="4" applyFont="1" applyBorder="1" applyAlignment="1">
      <alignment horizontal="left" vertical="center"/>
    </xf>
    <xf numFmtId="0" fontId="16" fillId="0" borderId="15" xfId="4" applyFont="1" applyBorder="1" applyAlignment="1">
      <alignment horizontal="left" vertical="center" wrapText="1"/>
    </xf>
    <xf numFmtId="0" fontId="16" fillId="0" borderId="7" xfId="4" applyFont="1" applyBorder="1" applyAlignment="1">
      <alignment horizontal="center" vertical="center" wrapText="1"/>
    </xf>
    <xf numFmtId="0" fontId="18" fillId="0" borderId="8" xfId="4" applyFont="1" applyBorder="1" applyAlignment="1">
      <alignment vertical="center"/>
    </xf>
    <xf numFmtId="0" fontId="18" fillId="0" borderId="14" xfId="4" applyFont="1" applyBorder="1" applyAlignment="1">
      <alignment vertical="center"/>
    </xf>
    <xf numFmtId="0" fontId="18" fillId="0" borderId="8" xfId="4" applyFont="1" applyBorder="1" applyAlignment="1">
      <alignment horizontal="center" vertical="center"/>
    </xf>
    <xf numFmtId="0" fontId="18" fillId="0" borderId="15" xfId="4" applyFont="1" applyBorder="1" applyAlignment="1">
      <alignment horizontal="center" vertical="center"/>
    </xf>
    <xf numFmtId="0" fontId="15" fillId="0" borderId="7" xfId="4" applyBorder="1" applyAlignment="1">
      <alignment vertical="center" wrapText="1"/>
    </xf>
    <xf numFmtId="0" fontId="17" fillId="0" borderId="14" xfId="4" applyFont="1" applyBorder="1" applyAlignment="1">
      <alignment horizontal="left" vertical="center"/>
    </xf>
    <xf numFmtId="0" fontId="18" fillId="0" borderId="7" xfId="4" applyFont="1" applyBorder="1" applyAlignment="1">
      <alignment horizontal="center" vertical="center"/>
    </xf>
    <xf numFmtId="0" fontId="16" fillId="0" borderId="7" xfId="4" applyFont="1" applyBorder="1" applyAlignment="1">
      <alignment vertical="center" wrapText="1"/>
    </xf>
    <xf numFmtId="0" fontId="7" fillId="0" borderId="8" xfId="4" applyFont="1" applyBorder="1" applyAlignment="1">
      <alignment vertical="center"/>
    </xf>
    <xf numFmtId="0" fontId="7" fillId="0" borderId="14" xfId="4" applyFont="1" applyBorder="1" applyAlignment="1">
      <alignment vertical="center"/>
    </xf>
    <xf numFmtId="0" fontId="16" fillId="0" borderId="8" xfId="4" applyFont="1" applyBorder="1" applyAlignment="1">
      <alignment horizontal="center" vertical="center"/>
    </xf>
    <xf numFmtId="0" fontId="16" fillId="0" borderId="15" xfId="4" applyFont="1" applyBorder="1" applyAlignment="1">
      <alignment horizontal="center" vertical="center"/>
    </xf>
    <xf numFmtId="0" fontId="9" fillId="0" borderId="7" xfId="4" applyFont="1" applyBorder="1" applyAlignment="1">
      <alignment vertical="center"/>
    </xf>
    <xf numFmtId="0" fontId="9" fillId="0" borderId="0" xfId="4" applyFont="1" applyAlignment="1">
      <alignment vertical="center"/>
    </xf>
    <xf numFmtId="0" fontId="16" fillId="0" borderId="8" xfId="4" applyFont="1" applyBorder="1" applyAlignment="1">
      <alignment vertical="center"/>
    </xf>
    <xf numFmtId="0" fontId="16" fillId="0" borderId="14" xfId="4" applyFont="1" applyBorder="1" applyAlignment="1">
      <alignment vertical="center"/>
    </xf>
    <xf numFmtId="0" fontId="16" fillId="0" borderId="15" xfId="4" applyFont="1" applyBorder="1" applyAlignment="1">
      <alignment vertical="center"/>
    </xf>
    <xf numFmtId="0" fontId="17" fillId="0" borderId="13" xfId="4" applyFont="1" applyBorder="1" applyAlignment="1">
      <alignment vertical="center"/>
    </xf>
    <xf numFmtId="0" fontId="15" fillId="0" borderId="13" xfId="4" applyBorder="1" applyAlignment="1">
      <alignment vertical="center"/>
    </xf>
    <xf numFmtId="0" fontId="15" fillId="0" borderId="13" xfId="4" applyBorder="1" applyAlignment="1">
      <alignment horizontal="left" vertical="center"/>
    </xf>
    <xf numFmtId="0" fontId="15" fillId="0" borderId="2" xfId="4" applyBorder="1" applyAlignment="1">
      <alignment vertical="center"/>
    </xf>
    <xf numFmtId="0" fontId="16" fillId="0" borderId="7" xfId="4" applyFont="1" applyFill="1" applyBorder="1" applyAlignment="1">
      <alignment vertical="center"/>
    </xf>
    <xf numFmtId="0" fontId="16" fillId="0" borderId="7" xfId="4" applyFont="1" applyFill="1" applyBorder="1" applyAlignment="1">
      <alignment horizontal="center" vertical="center"/>
    </xf>
    <xf numFmtId="0" fontId="16" fillId="0" borderId="7" xfId="4" applyFont="1" applyFill="1" applyBorder="1" applyAlignment="1">
      <alignment horizontal="left" vertical="center"/>
    </xf>
    <xf numFmtId="0" fontId="19" fillId="0" borderId="7" xfId="4" applyFont="1" applyFill="1" applyBorder="1" applyAlignment="1">
      <alignment horizontal="left" vertical="center"/>
    </xf>
    <xf numFmtId="0" fontId="9" fillId="0" borderId="7" xfId="4" applyFont="1" applyFill="1" applyBorder="1" applyAlignment="1">
      <alignment horizontal="left" vertical="center" wrapText="1"/>
    </xf>
    <xf numFmtId="0" fontId="9" fillId="0" borderId="7" xfId="4" applyFont="1" applyFill="1" applyBorder="1" applyAlignment="1">
      <alignment vertical="center" wrapText="1"/>
    </xf>
    <xf numFmtId="0" fontId="9" fillId="0" borderId="7" xfId="4" applyFont="1" applyFill="1" applyBorder="1" applyAlignment="1">
      <alignment vertical="center"/>
    </xf>
    <xf numFmtId="0" fontId="15" fillId="0" borderId="0" xfId="4" applyFill="1" applyAlignment="1">
      <alignment horizontal="left" vertical="center"/>
    </xf>
    <xf numFmtId="0" fontId="16" fillId="0" borderId="14" xfId="4" applyFont="1" applyBorder="1" applyAlignment="1">
      <alignment horizontal="center" vertical="center"/>
    </xf>
    <xf numFmtId="0" fontId="9" fillId="0" borderId="7" xfId="4" applyFont="1" applyFill="1" applyBorder="1" applyAlignment="1">
      <alignment horizontal="left" vertical="center"/>
    </xf>
    <xf numFmtId="0" fontId="20" fillId="0" borderId="0" xfId="4" applyFont="1" applyAlignment="1">
      <alignment vertical="center"/>
    </xf>
    <xf numFmtId="0" fontId="15" fillId="0" borderId="0" xfId="4" applyBorder="1" applyAlignment="1">
      <alignment vertical="center"/>
    </xf>
    <xf numFmtId="0" fontId="15" fillId="0" borderId="0" xfId="4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7" fillId="0" borderId="5" xfId="0" applyFont="1" applyBorder="1" applyProtection="1">
      <protection locked="0"/>
    </xf>
    <xf numFmtId="0" fontId="7" fillId="0" borderId="0" xfId="0" applyFont="1" applyProtection="1">
      <protection locked="0"/>
    </xf>
    <xf numFmtId="0" fontId="2" fillId="0" borderId="11" xfId="0" applyFont="1" applyBorder="1" applyProtection="1">
      <protection locked="0"/>
    </xf>
    <xf numFmtId="0" fontId="2" fillId="0" borderId="1" xfId="0" applyFont="1" applyBorder="1" applyAlignment="1" applyProtection="1">
      <alignment shrinkToFit="1"/>
      <protection locked="0"/>
    </xf>
    <xf numFmtId="0" fontId="2" fillId="0" borderId="9" xfId="0" applyFont="1" applyBorder="1" applyAlignment="1" applyProtection="1">
      <alignment shrinkToFit="1"/>
      <protection locked="0"/>
    </xf>
    <xf numFmtId="0" fontId="2" fillId="0" borderId="11" xfId="0" applyFont="1" applyBorder="1" applyAlignment="1" applyProtection="1">
      <alignment shrinkToFit="1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3" fillId="0" borderId="1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2" xfId="0" applyFont="1" applyBorder="1"/>
    <xf numFmtId="0" fontId="3" fillId="0" borderId="13" xfId="0" applyFont="1" applyBorder="1"/>
    <xf numFmtId="0" fontId="3" fillId="0" borderId="2" xfId="0" applyFont="1" applyBorder="1"/>
    <xf numFmtId="0" fontId="3" fillId="0" borderId="5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0" xfId="0" applyFont="1" applyBorder="1" applyProtection="1">
      <protection locked="0"/>
    </xf>
    <xf numFmtId="0" fontId="2" fillId="0" borderId="5" xfId="0" applyFont="1" applyBorder="1" applyAlignment="1">
      <alignment horizontal="left" shrinkToFit="1"/>
    </xf>
    <xf numFmtId="0" fontId="2" fillId="0" borderId="0" xfId="0" applyFont="1" applyBorder="1" applyAlignment="1">
      <alignment horizontal="left" shrinkToFit="1"/>
    </xf>
    <xf numFmtId="0" fontId="2" fillId="0" borderId="10" xfId="0" applyFont="1" applyBorder="1" applyAlignment="1">
      <alignment horizontal="left" shrinkToFit="1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7" xfId="0" applyFont="1" applyBorder="1" applyAlignment="1">
      <alignment shrinkToFit="1"/>
    </xf>
    <xf numFmtId="0" fontId="4" fillId="0" borderId="5" xfId="0" applyFont="1" applyBorder="1" applyProtection="1">
      <protection locked="0"/>
    </xf>
    <xf numFmtId="0" fontId="2" fillId="0" borderId="5" xfId="0" applyFont="1" applyBorder="1"/>
    <xf numFmtId="0" fontId="2" fillId="0" borderId="0" xfId="0" applyFont="1"/>
    <xf numFmtId="0" fontId="2" fillId="0" borderId="10" xfId="0" applyFont="1" applyBorder="1"/>
    <xf numFmtId="0" fontId="2" fillId="0" borderId="5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Protection="1">
      <protection locked="0"/>
    </xf>
    <xf numFmtId="0" fontId="7" fillId="0" borderId="12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0" borderId="2" xfId="0" applyFont="1" applyBorder="1" applyProtection="1">
      <protection locked="0"/>
    </xf>
    <xf numFmtId="165" fontId="11" fillId="0" borderId="5" xfId="0" applyNumberFormat="1" applyFont="1" applyBorder="1" applyAlignment="1">
      <alignment horizontal="right"/>
    </xf>
    <xf numFmtId="165" fontId="11" fillId="0" borderId="0" xfId="0" applyNumberFormat="1" applyFont="1" applyAlignment="1">
      <alignment horizontal="right"/>
    </xf>
    <xf numFmtId="165" fontId="11" fillId="0" borderId="10" xfId="0" applyNumberFormat="1" applyFont="1" applyBorder="1" applyAlignment="1">
      <alignment horizontal="right"/>
    </xf>
    <xf numFmtId="0" fontId="2" fillId="0" borderId="12" xfId="0" applyFont="1" applyBorder="1" applyAlignment="1" applyProtection="1">
      <alignment shrinkToFit="1"/>
      <protection locked="0"/>
    </xf>
    <xf numFmtId="0" fontId="2" fillId="0" borderId="13" xfId="0" applyFont="1" applyBorder="1" applyAlignment="1" applyProtection="1">
      <alignment shrinkToFit="1"/>
      <protection locked="0"/>
    </xf>
    <xf numFmtId="0" fontId="2" fillId="0" borderId="2" xfId="0" applyFont="1" applyBorder="1" applyAlignment="1" applyProtection="1">
      <alignment shrinkToFit="1"/>
      <protection locked="0"/>
    </xf>
    <xf numFmtId="0" fontId="2" fillId="0" borderId="9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2" xfId="0" applyFont="1" applyBorder="1"/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7" fillId="0" borderId="1" xfId="0" applyFont="1" applyBorder="1" applyProtection="1">
      <protection locked="0"/>
    </xf>
    <xf numFmtId="0" fontId="7" fillId="0" borderId="9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2" fillId="0" borderId="13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" xfId="0" applyFont="1" applyBorder="1"/>
    <xf numFmtId="0" fontId="2" fillId="0" borderId="11" xfId="0" applyFont="1" applyBorder="1"/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10" fillId="0" borderId="12" xfId="0" applyNumberFormat="1" applyFont="1" applyBorder="1" applyAlignment="1">
      <alignment horizontal="right"/>
    </xf>
    <xf numFmtId="165" fontId="10" fillId="0" borderId="13" xfId="0" applyNumberFormat="1" applyFont="1" applyBorder="1" applyAlignment="1">
      <alignment horizontal="right"/>
    </xf>
    <xf numFmtId="165" fontId="10" fillId="0" borderId="2" xfId="0" applyNumberFormat="1" applyFont="1" applyBorder="1" applyAlignment="1">
      <alignment horizontal="right"/>
    </xf>
    <xf numFmtId="165" fontId="10" fillId="0" borderId="5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right"/>
    </xf>
    <xf numFmtId="165" fontId="10" fillId="0" borderId="10" xfId="0" applyNumberFormat="1" applyFont="1" applyBorder="1" applyAlignment="1">
      <alignment horizontal="right"/>
    </xf>
    <xf numFmtId="165" fontId="12" fillId="0" borderId="5" xfId="0" applyNumberFormat="1" applyFont="1" applyBorder="1" applyAlignment="1">
      <alignment horizontal="right"/>
    </xf>
    <xf numFmtId="165" fontId="12" fillId="0" borderId="0" xfId="0" applyNumberFormat="1" applyFont="1" applyAlignment="1">
      <alignment horizontal="right"/>
    </xf>
    <xf numFmtId="165" fontId="12" fillId="0" borderId="10" xfId="0" applyNumberFormat="1" applyFont="1" applyBorder="1" applyAlignment="1">
      <alignment horizontal="right"/>
    </xf>
    <xf numFmtId="0" fontId="2" fillId="0" borderId="0" xfId="0" applyFont="1" applyBorder="1"/>
    <xf numFmtId="0" fontId="3" fillId="0" borderId="5" xfId="0" applyFont="1" applyBorder="1"/>
    <xf numFmtId="0" fontId="3" fillId="0" borderId="0" xfId="0" applyFont="1" applyBorder="1"/>
    <xf numFmtId="165" fontId="12" fillId="0" borderId="1" xfId="0" applyNumberFormat="1" applyFont="1" applyBorder="1" applyAlignment="1">
      <alignment horizontal="right"/>
    </xf>
    <xf numFmtId="165" fontId="12" fillId="0" borderId="9" xfId="0" applyNumberFormat="1" applyFont="1" applyBorder="1" applyAlignment="1">
      <alignment horizontal="right"/>
    </xf>
    <xf numFmtId="165" fontId="12" fillId="0" borderId="11" xfId="0" applyNumberFormat="1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 applyAlignment="1" applyProtection="1">
      <alignment shrinkToFit="1"/>
      <protection locked="0"/>
    </xf>
    <xf numFmtId="0" fontId="2" fillId="0" borderId="0" xfId="0" applyFont="1" applyBorder="1" applyAlignment="1" applyProtection="1">
      <alignment shrinkToFit="1"/>
      <protection locked="0"/>
    </xf>
    <xf numFmtId="0" fontId="2" fillId="0" borderId="10" xfId="0" applyFont="1" applyBorder="1" applyAlignment="1" applyProtection="1">
      <alignment shrinkToFit="1"/>
      <protection locked="0"/>
    </xf>
    <xf numFmtId="165" fontId="7" fillId="0" borderId="12" xfId="0" applyNumberFormat="1" applyFont="1" applyBorder="1" applyProtection="1">
      <protection locked="0"/>
    </xf>
    <xf numFmtId="165" fontId="7" fillId="0" borderId="13" xfId="0" applyNumberFormat="1" applyFont="1" applyBorder="1" applyProtection="1">
      <protection locked="0"/>
    </xf>
    <xf numFmtId="165" fontId="7" fillId="0" borderId="2" xfId="0" applyNumberFormat="1" applyFont="1" applyBorder="1" applyProtection="1">
      <protection locked="0"/>
    </xf>
    <xf numFmtId="165" fontId="7" fillId="0" borderId="5" xfId="0" applyNumberFormat="1" applyFont="1" applyBorder="1" applyProtection="1">
      <protection locked="0"/>
    </xf>
    <xf numFmtId="165" fontId="7" fillId="0" borderId="0" xfId="0" applyNumberFormat="1" applyFont="1" applyProtection="1">
      <protection locked="0"/>
    </xf>
    <xf numFmtId="165" fontId="7" fillId="0" borderId="10" xfId="0" applyNumberFormat="1" applyFont="1" applyBorder="1" applyProtection="1">
      <protection locked="0"/>
    </xf>
    <xf numFmtId="165" fontId="4" fillId="0" borderId="1" xfId="0" applyNumberFormat="1" applyFont="1" applyBorder="1" applyProtection="1">
      <protection locked="0"/>
    </xf>
    <xf numFmtId="165" fontId="4" fillId="0" borderId="9" xfId="0" applyNumberFormat="1" applyFont="1" applyBorder="1" applyProtection="1">
      <protection locked="0"/>
    </xf>
    <xf numFmtId="165" fontId="4" fillId="0" borderId="11" xfId="0" applyNumberFormat="1" applyFont="1" applyBorder="1" applyProtection="1">
      <protection locked="0"/>
    </xf>
    <xf numFmtId="165" fontId="2" fillId="0" borderId="5" xfId="0" applyNumberFormat="1" applyFont="1" applyBorder="1"/>
    <xf numFmtId="165" fontId="2" fillId="0" borderId="0" xfId="0" applyNumberFormat="1" applyFont="1"/>
    <xf numFmtId="165" fontId="2" fillId="0" borderId="10" xfId="0" applyNumberFormat="1" applyFont="1" applyBorder="1"/>
    <xf numFmtId="165" fontId="4" fillId="0" borderId="5" xfId="0" applyNumberFormat="1" applyFont="1" applyBorder="1" applyProtection="1">
      <protection locked="0"/>
    </xf>
    <xf numFmtId="165" fontId="4" fillId="0" borderId="0" xfId="0" applyNumberFormat="1" applyFont="1" applyProtection="1">
      <protection locked="0"/>
    </xf>
    <xf numFmtId="165" fontId="4" fillId="0" borderId="10" xfId="0" applyNumberFormat="1" applyFont="1" applyBorder="1" applyProtection="1">
      <protection locked="0"/>
    </xf>
    <xf numFmtId="165" fontId="2" fillId="0" borderId="5" xfId="0" applyNumberFormat="1" applyFont="1" applyBorder="1" applyProtection="1">
      <protection locked="0"/>
    </xf>
    <xf numFmtId="165" fontId="2" fillId="0" borderId="0" xfId="0" applyNumberFormat="1" applyFont="1" applyProtection="1">
      <protection locked="0"/>
    </xf>
    <xf numFmtId="165" fontId="2" fillId="0" borderId="10" xfId="0" applyNumberFormat="1" applyFont="1" applyBorder="1" applyProtection="1">
      <protection locked="0"/>
    </xf>
    <xf numFmtId="165" fontId="3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12" xfId="0" applyNumberFormat="1" applyFont="1" applyBorder="1"/>
    <xf numFmtId="165" fontId="3" fillId="0" borderId="13" xfId="0" applyNumberFormat="1" applyFont="1" applyBorder="1"/>
    <xf numFmtId="165" fontId="3" fillId="0" borderId="2" xfId="0" applyNumberFormat="1" applyFont="1" applyBorder="1"/>
    <xf numFmtId="165" fontId="1" fillId="0" borderId="1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5" fontId="1" fillId="0" borderId="1" xfId="0" applyNumberFormat="1" applyFont="1" applyBorder="1" applyAlignment="1" applyProtection="1">
      <alignment horizontal="center"/>
      <protection locked="0"/>
    </xf>
    <xf numFmtId="165" fontId="1" fillId="0" borderId="11" xfId="0" applyNumberFormat="1" applyFont="1" applyBorder="1" applyAlignment="1" applyProtection="1">
      <alignment horizontal="center"/>
      <protection locked="0"/>
    </xf>
    <xf numFmtId="165" fontId="1" fillId="0" borderId="1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right"/>
    </xf>
    <xf numFmtId="165" fontId="1" fillId="0" borderId="15" xfId="0" applyNumberFormat="1" applyFont="1" applyBorder="1" applyAlignment="1">
      <alignment horizontal="right"/>
    </xf>
    <xf numFmtId="165" fontId="2" fillId="0" borderId="12" xfId="0" applyNumberFormat="1" applyFont="1" applyBorder="1" applyProtection="1">
      <protection locked="0"/>
    </xf>
    <xf numFmtId="165" fontId="2" fillId="0" borderId="13" xfId="0" applyNumberFormat="1" applyFont="1" applyBorder="1" applyProtection="1">
      <protection locked="0"/>
    </xf>
    <xf numFmtId="165" fontId="2" fillId="0" borderId="2" xfId="0" applyNumberFormat="1" applyFont="1" applyBorder="1" applyProtection="1">
      <protection locked="0"/>
    </xf>
    <xf numFmtId="165" fontId="2" fillId="0" borderId="1" xfId="0" applyNumberFormat="1" applyFont="1" applyBorder="1"/>
    <xf numFmtId="165" fontId="2" fillId="0" borderId="11" xfId="0" applyNumberFormat="1" applyFont="1" applyBorder="1"/>
    <xf numFmtId="165" fontId="2" fillId="0" borderId="1" xfId="0" applyNumberFormat="1" applyFont="1" applyBorder="1" applyProtection="1">
      <protection locked="0"/>
    </xf>
    <xf numFmtId="165" fontId="2" fillId="0" borderId="9" xfId="0" applyNumberFormat="1" applyFont="1" applyBorder="1" applyProtection="1">
      <protection locked="0"/>
    </xf>
    <xf numFmtId="165" fontId="2" fillId="0" borderId="11" xfId="0" applyNumberFormat="1" applyFont="1" applyBorder="1" applyProtection="1">
      <protection locked="0"/>
    </xf>
    <xf numFmtId="165" fontId="6" fillId="0" borderId="12" xfId="0" applyNumberFormat="1" applyFont="1" applyBorder="1" applyAlignment="1">
      <alignment horizontal="right"/>
    </xf>
    <xf numFmtId="165" fontId="6" fillId="0" borderId="13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165" fontId="7" fillId="0" borderId="10" xfId="0" applyNumberFormat="1" applyFont="1" applyBorder="1" applyAlignment="1">
      <alignment horizontal="center"/>
    </xf>
    <xf numFmtId="165" fontId="3" fillId="0" borderId="5" xfId="0" applyNumberFormat="1" applyFont="1" applyBorder="1" applyProtection="1">
      <protection locked="0"/>
    </xf>
    <xf numFmtId="165" fontId="3" fillId="0" borderId="10" xfId="0" applyNumberFormat="1" applyFont="1" applyBorder="1" applyProtection="1"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165" fontId="2" fillId="0" borderId="9" xfId="0" applyNumberFormat="1" applyFont="1" applyBorder="1" applyAlignment="1" applyProtection="1">
      <alignment horizontal="center"/>
      <protection locked="0"/>
    </xf>
    <xf numFmtId="165" fontId="2" fillId="0" borderId="11" xfId="0" applyNumberFormat="1" applyFont="1" applyBorder="1" applyAlignment="1" applyProtection="1">
      <alignment horizontal="center"/>
      <protection locked="0"/>
    </xf>
    <xf numFmtId="165" fontId="3" fillId="0" borderId="1" xfId="0" applyNumberFormat="1" applyFont="1" applyBorder="1" applyProtection="1">
      <protection locked="0"/>
    </xf>
    <xf numFmtId="165" fontId="3" fillId="0" borderId="11" xfId="0" applyNumberFormat="1" applyFont="1" applyBorder="1" applyProtection="1">
      <protection locked="0"/>
    </xf>
    <xf numFmtId="0" fontId="2" fillId="0" borderId="1" xfId="0" applyFont="1" applyBorder="1" applyAlignment="1">
      <alignment shrinkToFit="1"/>
    </xf>
    <xf numFmtId="0" fontId="2" fillId="0" borderId="9" xfId="0" applyFont="1" applyBorder="1" applyAlignment="1">
      <alignment shrinkToFit="1"/>
    </xf>
    <xf numFmtId="0" fontId="2" fillId="0" borderId="9" xfId="0" applyFont="1" applyBorder="1" applyAlignment="1">
      <alignment horizontal="right" shrinkToFit="1"/>
    </xf>
    <xf numFmtId="0" fontId="2" fillId="0" borderId="11" xfId="0" applyFont="1" applyBorder="1" applyAlignment="1">
      <alignment horizontal="right" shrinkToFit="1"/>
    </xf>
    <xf numFmtId="0" fontId="2" fillId="0" borderId="1" xfId="0" applyFont="1" applyBorder="1" applyAlignment="1">
      <alignment horizontal="left" shrinkToFit="1"/>
    </xf>
    <xf numFmtId="0" fontId="2" fillId="0" borderId="9" xfId="0" applyFont="1" applyBorder="1" applyAlignment="1">
      <alignment horizontal="left" shrinkToFit="1"/>
    </xf>
    <xf numFmtId="0" fontId="2" fillId="0" borderId="11" xfId="0" applyFont="1" applyBorder="1" applyAlignment="1">
      <alignment horizontal="left" shrinkToFit="1"/>
    </xf>
    <xf numFmtId="165" fontId="3" fillId="0" borderId="12" xfId="0" applyNumberFormat="1" applyFont="1" applyBorder="1" applyProtection="1">
      <protection locked="0"/>
    </xf>
    <xf numFmtId="165" fontId="3" fillId="0" borderId="2" xfId="0" applyNumberFormat="1" applyFont="1" applyBorder="1" applyProtection="1">
      <protection locked="0"/>
    </xf>
    <xf numFmtId="165" fontId="2" fillId="0" borderId="5" xfId="0" applyNumberFormat="1" applyFont="1" applyBorder="1" applyAlignment="1" applyProtection="1">
      <alignment horizontal="left"/>
      <protection locked="0"/>
    </xf>
    <xf numFmtId="165" fontId="2" fillId="0" borderId="10" xfId="0" applyNumberFormat="1" applyFont="1" applyBorder="1" applyAlignment="1" applyProtection="1">
      <alignment horizontal="left"/>
      <protection locked="0"/>
    </xf>
    <xf numFmtId="165" fontId="3" fillId="0" borderId="13" xfId="0" applyNumberFormat="1" applyFont="1" applyBorder="1" applyProtection="1">
      <protection locked="0"/>
    </xf>
    <xf numFmtId="165" fontId="2" fillId="0" borderId="1" xfId="0" applyNumberFormat="1" applyFont="1" applyBorder="1" applyAlignment="1" applyProtection="1">
      <alignment shrinkToFit="1"/>
      <protection locked="0"/>
    </xf>
    <xf numFmtId="165" fontId="2" fillId="0" borderId="9" xfId="0" applyNumberFormat="1" applyFont="1" applyBorder="1" applyAlignment="1" applyProtection="1">
      <alignment shrinkToFit="1"/>
      <protection locked="0"/>
    </xf>
    <xf numFmtId="165" fontId="2" fillId="0" borderId="11" xfId="0" applyNumberFormat="1" applyFont="1" applyBorder="1" applyAlignment="1" applyProtection="1">
      <alignment shrinkToFit="1"/>
      <protection locked="0"/>
    </xf>
    <xf numFmtId="0" fontId="2" fillId="0" borderId="7" xfId="0" applyFont="1" applyBorder="1" applyAlignment="1">
      <alignment horizontal="center"/>
    </xf>
    <xf numFmtId="165" fontId="7" fillId="0" borderId="1" xfId="0" applyNumberFormat="1" applyFont="1" applyBorder="1" applyProtection="1">
      <protection locked="0"/>
    </xf>
    <xf numFmtId="165" fontId="7" fillId="0" borderId="9" xfId="0" applyNumberFormat="1" applyFont="1" applyBorder="1" applyProtection="1">
      <protection locked="0"/>
    </xf>
    <xf numFmtId="165" fontId="7" fillId="0" borderId="11" xfId="0" applyNumberFormat="1" applyFont="1" applyBorder="1" applyProtection="1">
      <protection locked="0"/>
    </xf>
    <xf numFmtId="165" fontId="2" fillId="0" borderId="9" xfId="0" applyNumberFormat="1" applyFont="1" applyBorder="1" applyAlignment="1">
      <alignment horizontal="right"/>
    </xf>
    <xf numFmtId="165" fontId="2" fillId="0" borderId="11" xfId="0" applyNumberFormat="1" applyFont="1" applyBorder="1" applyAlignment="1">
      <alignment horizontal="right"/>
    </xf>
    <xf numFmtId="0" fontId="2" fillId="0" borderId="9" xfId="0" applyFont="1" applyFill="1" applyBorder="1" applyAlignment="1">
      <alignment horizontal="center" shrinkToFit="1"/>
    </xf>
    <xf numFmtId="0" fontId="2" fillId="0" borderId="11" xfId="0" applyFont="1" applyFill="1" applyBorder="1" applyAlignment="1">
      <alignment horizontal="center" shrinkToFit="1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6" fillId="0" borderId="9" xfId="4" applyFont="1" applyBorder="1" applyAlignment="1">
      <alignment vertical="center"/>
    </xf>
    <xf numFmtId="0" fontId="16" fillId="0" borderId="7" xfId="4" applyFont="1" applyBorder="1" applyAlignment="1">
      <alignment horizontal="center" vertical="center"/>
    </xf>
    <xf numFmtId="0" fontId="16" fillId="0" borderId="14" xfId="4" applyFont="1" applyBorder="1" applyAlignment="1">
      <alignment horizontal="center" vertical="center"/>
    </xf>
    <xf numFmtId="0" fontId="16" fillId="0" borderId="15" xfId="4" applyFont="1" applyBorder="1" applyAlignment="1">
      <alignment horizontal="center" vertical="center"/>
    </xf>
    <xf numFmtId="0" fontId="16" fillId="0" borderId="3" xfId="4" applyFont="1" applyBorder="1" applyAlignment="1">
      <alignment horizontal="center" vertical="center"/>
    </xf>
    <xf numFmtId="0" fontId="16" fillId="0" borderId="4" xfId="4" applyFont="1" applyBorder="1" applyAlignment="1">
      <alignment horizontal="center" vertical="center"/>
    </xf>
    <xf numFmtId="0" fontId="16" fillId="0" borderId="14" xfId="4" applyFont="1" applyFill="1" applyBorder="1" applyAlignment="1">
      <alignment horizontal="center" vertical="center"/>
    </xf>
    <xf numFmtId="0" fontId="16" fillId="0" borderId="15" xfId="4" applyFont="1" applyFill="1" applyBorder="1" applyAlignment="1">
      <alignment horizontal="center" vertical="center"/>
    </xf>
    <xf numFmtId="0" fontId="16" fillId="0" borderId="9" xfId="4" applyFont="1" applyFill="1" applyBorder="1" applyAlignment="1">
      <alignment vertical="center"/>
    </xf>
    <xf numFmtId="0" fontId="16" fillId="0" borderId="9" xfId="4" applyFont="1" applyBorder="1" applyAlignment="1">
      <alignment vertical="center" wrapText="1"/>
    </xf>
    <xf numFmtId="0" fontId="16" fillId="0" borderId="8" xfId="4" applyFont="1" applyBorder="1" applyAlignment="1">
      <alignment horizontal="center" vertical="center"/>
    </xf>
    <xf numFmtId="0" fontId="3" fillId="0" borderId="12" xfId="0" quotePrefix="1" applyFont="1" applyBorder="1"/>
    <xf numFmtId="0" fontId="2" fillId="0" borderId="0" xfId="0" applyFont="1" applyBorder="1" applyProtection="1">
      <protection locked="0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85726</xdr:rowOff>
    </xdr:from>
    <xdr:to>
      <xdr:col>1</xdr:col>
      <xdr:colOff>114300</xdr:colOff>
      <xdr:row>6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47651"/>
          <a:ext cx="733425" cy="704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85726</xdr:rowOff>
    </xdr:from>
    <xdr:to>
      <xdr:col>1</xdr:col>
      <xdr:colOff>114300</xdr:colOff>
      <xdr:row>6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38126"/>
          <a:ext cx="73342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1"/>
  <sheetViews>
    <sheetView tabSelected="1" zoomScaleNormal="100" workbookViewId="0">
      <selection sqref="A1:I1"/>
    </sheetView>
  </sheetViews>
  <sheetFormatPr defaultColWidth="9.33203125" defaultRowHeight="12" x14ac:dyDescent="0.2"/>
  <cols>
    <col min="1" max="1" width="11.83203125" style="1" bestFit="1" customWidth="1"/>
    <col min="2" max="3" width="9.33203125" style="1"/>
    <col min="4" max="4" width="36.5" style="1" customWidth="1"/>
    <col min="5" max="5" width="12.6640625" style="1" bestFit="1" customWidth="1"/>
    <col min="6" max="6" width="10.1640625" style="1" customWidth="1"/>
    <col min="7" max="7" width="9.1640625" style="1" bestFit="1" customWidth="1"/>
    <col min="8" max="9" width="12.33203125" style="1" customWidth="1"/>
    <col min="10" max="16384" width="9.33203125" style="1"/>
  </cols>
  <sheetData>
    <row r="1" spans="1:9" x14ac:dyDescent="0.2">
      <c r="A1" s="233" t="s">
        <v>0</v>
      </c>
      <c r="B1" s="234"/>
      <c r="C1" s="234"/>
      <c r="D1" s="234"/>
      <c r="E1" s="234"/>
      <c r="F1" s="234"/>
      <c r="G1" s="234"/>
      <c r="H1" s="234"/>
      <c r="I1" s="235"/>
    </row>
    <row r="2" spans="1:9" ht="12.75" customHeight="1" x14ac:dyDescent="0.2">
      <c r="A2" s="236" t="s">
        <v>34</v>
      </c>
      <c r="B2" s="237"/>
      <c r="C2" s="237"/>
      <c r="D2" s="238"/>
      <c r="E2" s="171" t="s">
        <v>1</v>
      </c>
      <c r="F2" s="173"/>
      <c r="G2" s="229" t="s">
        <v>64</v>
      </c>
      <c r="H2" s="229"/>
      <c r="I2" s="230"/>
    </row>
    <row r="3" spans="1:9" ht="12.75" customHeight="1" x14ac:dyDescent="0.2">
      <c r="A3" s="239"/>
      <c r="B3" s="240"/>
      <c r="C3" s="240"/>
      <c r="D3" s="241"/>
      <c r="E3" s="231"/>
      <c r="F3" s="232"/>
      <c r="G3" s="184"/>
      <c r="H3" s="184"/>
      <c r="I3" s="159"/>
    </row>
    <row r="4" spans="1:9" ht="12.75" x14ac:dyDescent="0.2">
      <c r="A4" s="201" t="s">
        <v>35</v>
      </c>
      <c r="B4" s="202"/>
      <c r="C4" s="202"/>
      <c r="D4" s="203"/>
      <c r="E4" s="171" t="s">
        <v>2</v>
      </c>
      <c r="F4" s="172"/>
      <c r="G4" s="204" t="s">
        <v>166</v>
      </c>
      <c r="H4" s="205"/>
      <c r="I4" s="206"/>
    </row>
    <row r="5" spans="1:9" ht="12.75" x14ac:dyDescent="0.2">
      <c r="A5" s="242" t="s">
        <v>36</v>
      </c>
      <c r="B5" s="243"/>
      <c r="C5" s="243"/>
      <c r="D5" s="244"/>
      <c r="E5" s="187" t="s">
        <v>3</v>
      </c>
      <c r="F5" s="245"/>
      <c r="G5" s="252" t="s">
        <v>167</v>
      </c>
      <c r="H5" s="253"/>
      <c r="I5" s="254"/>
    </row>
    <row r="6" spans="1:9" ht="12.75" x14ac:dyDescent="0.2">
      <c r="A6" s="242" t="s">
        <v>37</v>
      </c>
      <c r="B6" s="243"/>
      <c r="C6" s="243"/>
      <c r="D6" s="244"/>
      <c r="E6" s="246"/>
      <c r="F6" s="247"/>
      <c r="G6" s="252" t="s">
        <v>168</v>
      </c>
      <c r="H6" s="253"/>
      <c r="I6" s="254"/>
    </row>
    <row r="7" spans="1:9" ht="12.75" x14ac:dyDescent="0.2">
      <c r="A7" s="248" t="s">
        <v>38</v>
      </c>
      <c r="B7" s="249"/>
      <c r="C7" s="249"/>
      <c r="D7" s="250"/>
      <c r="E7" s="231" t="s">
        <v>4</v>
      </c>
      <c r="F7" s="251"/>
      <c r="G7" s="160" t="s">
        <v>169</v>
      </c>
      <c r="H7" s="161"/>
      <c r="I7" s="162"/>
    </row>
    <row r="8" spans="1:9" x14ac:dyDescent="0.2">
      <c r="A8" s="171" t="s">
        <v>5</v>
      </c>
      <c r="B8" s="172"/>
      <c r="C8" s="172"/>
      <c r="D8" s="3"/>
      <c r="E8" s="349" t="s">
        <v>302</v>
      </c>
      <c r="F8" s="172"/>
      <c r="G8" s="172"/>
      <c r="H8" s="172"/>
      <c r="I8" s="173"/>
    </row>
    <row r="9" spans="1:9" x14ac:dyDescent="0.2">
      <c r="A9" s="187" t="s">
        <v>25</v>
      </c>
      <c r="B9" s="188"/>
      <c r="C9" s="188"/>
      <c r="D9" s="189"/>
      <c r="E9" s="186"/>
      <c r="F9" s="175"/>
      <c r="G9" s="175"/>
      <c r="H9" s="175"/>
      <c r="I9" s="176"/>
    </row>
    <row r="10" spans="1:9" x14ac:dyDescent="0.2">
      <c r="A10" s="187" t="s">
        <v>26</v>
      </c>
      <c r="B10" s="188"/>
      <c r="C10" s="188"/>
      <c r="D10" s="189"/>
      <c r="E10" s="186" t="s">
        <v>303</v>
      </c>
      <c r="F10" s="175"/>
      <c r="G10" s="175"/>
      <c r="H10" s="175"/>
      <c r="I10" s="176"/>
    </row>
    <row r="11" spans="1:9" x14ac:dyDescent="0.2">
      <c r="A11" s="187" t="s">
        <v>32</v>
      </c>
      <c r="B11" s="188"/>
      <c r="C11" s="188"/>
      <c r="D11" s="189"/>
      <c r="E11" s="186"/>
      <c r="F11" s="175"/>
      <c r="G11" s="175"/>
      <c r="H11" s="175"/>
      <c r="I11" s="176"/>
    </row>
    <row r="12" spans="1:9" x14ac:dyDescent="0.2">
      <c r="A12" s="190" t="s">
        <v>33</v>
      </c>
      <c r="B12" s="175"/>
      <c r="C12" s="175"/>
      <c r="D12" s="176"/>
      <c r="E12" s="186"/>
      <c r="F12" s="175"/>
      <c r="G12" s="175"/>
      <c r="H12" s="175"/>
      <c r="I12" s="176"/>
    </row>
    <row r="13" spans="1:9" x14ac:dyDescent="0.2">
      <c r="A13" s="191"/>
      <c r="B13" s="192"/>
      <c r="C13" s="175"/>
      <c r="D13" s="176"/>
      <c r="E13" s="194" t="s">
        <v>6</v>
      </c>
      <c r="F13" s="195"/>
      <c r="G13" s="196"/>
      <c r="H13" s="171" t="s">
        <v>7</v>
      </c>
      <c r="I13" s="212"/>
    </row>
    <row r="14" spans="1:9" x14ac:dyDescent="0.2">
      <c r="A14" s="191"/>
      <c r="B14" s="192"/>
      <c r="C14" s="175"/>
      <c r="D14" s="176"/>
      <c r="E14" s="224" t="s">
        <v>8</v>
      </c>
      <c r="F14" s="225"/>
      <c r="G14" s="226"/>
      <c r="H14" s="227" t="s">
        <v>9</v>
      </c>
      <c r="I14" s="228"/>
    </row>
    <row r="15" spans="1:9" x14ac:dyDescent="0.2">
      <c r="A15" s="191"/>
      <c r="B15" s="192"/>
      <c r="C15" s="175"/>
      <c r="D15" s="176"/>
      <c r="E15" s="174" t="s">
        <v>10</v>
      </c>
      <c r="F15" s="197"/>
      <c r="G15" s="198" t="s">
        <v>65</v>
      </c>
      <c r="H15" s="199"/>
      <c r="I15" s="200"/>
    </row>
    <row r="16" spans="1:9" x14ac:dyDescent="0.2">
      <c r="A16" s="171" t="s">
        <v>11</v>
      </c>
      <c r="B16" s="172"/>
      <c r="C16" s="172"/>
      <c r="D16" s="4" t="s">
        <v>12</v>
      </c>
      <c r="E16" s="157" t="s">
        <v>28</v>
      </c>
      <c r="F16" s="158"/>
      <c r="G16" s="190" t="s">
        <v>304</v>
      </c>
      <c r="H16" s="350"/>
      <c r="I16" s="176"/>
    </row>
    <row r="17" spans="1:10" x14ac:dyDescent="0.2">
      <c r="A17" s="193" t="s">
        <v>13</v>
      </c>
      <c r="B17" s="184"/>
      <c r="C17" s="184"/>
      <c r="D17" s="5"/>
      <c r="E17" s="190" t="s">
        <v>67</v>
      </c>
      <c r="F17" s="175"/>
      <c r="G17" s="221" t="s">
        <v>50</v>
      </c>
      <c r="H17" s="222"/>
      <c r="I17" s="223"/>
    </row>
    <row r="18" spans="1:10" x14ac:dyDescent="0.2">
      <c r="A18" s="165" t="s">
        <v>14</v>
      </c>
      <c r="B18" s="166"/>
      <c r="C18" s="167"/>
      <c r="D18" s="4" t="s">
        <v>15</v>
      </c>
      <c r="E18" s="163"/>
      <c r="F18" s="164"/>
      <c r="G18" s="198" t="s">
        <v>66</v>
      </c>
      <c r="H18" s="199"/>
      <c r="I18" s="200"/>
    </row>
    <row r="19" spans="1:10" x14ac:dyDescent="0.2">
      <c r="A19" s="160"/>
      <c r="B19" s="161"/>
      <c r="C19" s="162"/>
      <c r="D19" s="7" t="s">
        <v>49</v>
      </c>
      <c r="E19" s="190"/>
      <c r="F19" s="175"/>
      <c r="G19" s="190" t="s">
        <v>305</v>
      </c>
      <c r="H19" s="350"/>
      <c r="I19" s="176"/>
    </row>
    <row r="20" spans="1:10" x14ac:dyDescent="0.2">
      <c r="A20" s="171" t="s">
        <v>16</v>
      </c>
      <c r="B20" s="172"/>
      <c r="C20" s="173"/>
      <c r="D20" s="4" t="s">
        <v>17</v>
      </c>
      <c r="E20" s="174"/>
      <c r="F20" s="175"/>
      <c r="G20" s="190"/>
      <c r="H20" s="350"/>
      <c r="I20" s="176"/>
    </row>
    <row r="21" spans="1:10" x14ac:dyDescent="0.2">
      <c r="A21" s="180" t="s">
        <v>27</v>
      </c>
      <c r="B21" s="181"/>
      <c r="C21" s="182"/>
      <c r="D21" s="6" t="s">
        <v>27</v>
      </c>
      <c r="E21" s="183"/>
      <c r="F21" s="184"/>
      <c r="G21" s="193"/>
      <c r="H21" s="184"/>
      <c r="I21" s="159"/>
    </row>
    <row r="22" spans="1:10" x14ac:dyDescent="0.2">
      <c r="A22" s="8" t="s">
        <v>18</v>
      </c>
      <c r="B22" s="215" t="s">
        <v>19</v>
      </c>
      <c r="C22" s="216"/>
      <c r="D22" s="216"/>
      <c r="E22" s="216"/>
      <c r="F22" s="217"/>
      <c r="G22" s="9" t="s">
        <v>20</v>
      </c>
      <c r="H22" s="351" t="s">
        <v>21</v>
      </c>
      <c r="I22" s="352"/>
    </row>
    <row r="23" spans="1:10" x14ac:dyDescent="0.2">
      <c r="A23" s="10"/>
      <c r="B23" s="218" t="s">
        <v>170</v>
      </c>
      <c r="C23" s="219"/>
      <c r="D23" s="219"/>
      <c r="E23" s="219"/>
      <c r="F23" s="220"/>
      <c r="G23" s="12"/>
      <c r="H23" s="13" t="s">
        <v>22</v>
      </c>
      <c r="I23" s="13" t="s">
        <v>23</v>
      </c>
    </row>
    <row r="24" spans="1:10" x14ac:dyDescent="0.2">
      <c r="A24" s="10"/>
      <c r="B24" s="177" t="s">
        <v>171</v>
      </c>
      <c r="C24" s="178"/>
      <c r="D24" s="178"/>
      <c r="E24" s="178"/>
      <c r="F24" s="179"/>
      <c r="G24" s="18"/>
      <c r="H24" s="14" t="s">
        <v>24</v>
      </c>
      <c r="I24" s="14" t="s">
        <v>24</v>
      </c>
    </row>
    <row r="25" spans="1:10" x14ac:dyDescent="0.2">
      <c r="A25" s="51"/>
      <c r="B25" s="185" t="s">
        <v>172</v>
      </c>
      <c r="C25" s="185"/>
      <c r="D25" s="185"/>
      <c r="E25" s="185"/>
      <c r="F25" s="185"/>
      <c r="G25" s="25"/>
      <c r="H25" s="58"/>
      <c r="I25" s="58"/>
    </row>
    <row r="26" spans="1:10" x14ac:dyDescent="0.2">
      <c r="A26" s="53" t="s">
        <v>30</v>
      </c>
      <c r="B26" s="37" t="s">
        <v>29</v>
      </c>
      <c r="C26" s="39" t="s">
        <v>45</v>
      </c>
      <c r="D26" s="37" t="s">
        <v>42</v>
      </c>
      <c r="E26" s="59" t="s">
        <v>51</v>
      </c>
      <c r="F26" s="37" t="s">
        <v>52</v>
      </c>
      <c r="G26" s="34" t="s">
        <v>31</v>
      </c>
      <c r="H26" s="42"/>
      <c r="I26" s="42"/>
    </row>
    <row r="27" spans="1:10" x14ac:dyDescent="0.2">
      <c r="A27" s="31" t="s">
        <v>68</v>
      </c>
      <c r="B27" s="35" t="s">
        <v>54</v>
      </c>
      <c r="C27" s="82">
        <v>15</v>
      </c>
      <c r="D27" s="52">
        <v>225</v>
      </c>
      <c r="E27" s="27">
        <v>400</v>
      </c>
      <c r="F27" s="27">
        <f t="shared" ref="F27:F35" si="0">G27/E27</f>
        <v>15</v>
      </c>
      <c r="G27" s="27">
        <v>6000</v>
      </c>
      <c r="H27" s="28">
        <v>242.10000000000002</v>
      </c>
      <c r="I27" s="28">
        <v>253</v>
      </c>
    </row>
    <row r="28" spans="1:10" x14ac:dyDescent="0.2">
      <c r="A28" s="31" t="s">
        <v>69</v>
      </c>
      <c r="B28" s="35" t="s">
        <v>57</v>
      </c>
      <c r="C28" s="63">
        <v>15</v>
      </c>
      <c r="D28" s="27">
        <v>457</v>
      </c>
      <c r="E28" s="27">
        <v>200</v>
      </c>
      <c r="F28" s="27">
        <f t="shared" si="0"/>
        <v>36</v>
      </c>
      <c r="G28" s="27">
        <v>7200</v>
      </c>
      <c r="H28" s="28">
        <v>581.04</v>
      </c>
      <c r="I28" s="28">
        <v>609.51</v>
      </c>
      <c r="J28" s="78"/>
    </row>
    <row r="29" spans="1:10" x14ac:dyDescent="0.2">
      <c r="A29" s="32" t="s">
        <v>70</v>
      </c>
      <c r="B29" s="36">
        <v>90441400</v>
      </c>
      <c r="C29" s="63" t="s">
        <v>58</v>
      </c>
      <c r="D29" s="27">
        <v>450</v>
      </c>
      <c r="E29" s="27">
        <v>200</v>
      </c>
      <c r="F29" s="27">
        <f t="shared" si="0"/>
        <v>13</v>
      </c>
      <c r="G29" s="27">
        <v>2600</v>
      </c>
      <c r="H29" s="28">
        <v>209.82</v>
      </c>
      <c r="I29" s="28">
        <v>220.35</v>
      </c>
    </row>
    <row r="30" spans="1:10" x14ac:dyDescent="0.2">
      <c r="A30" s="32" t="s">
        <v>71</v>
      </c>
      <c r="B30" s="36" t="s">
        <v>110</v>
      </c>
      <c r="C30" s="63">
        <v>15</v>
      </c>
      <c r="D30" s="27">
        <v>610</v>
      </c>
      <c r="E30" s="27">
        <v>100</v>
      </c>
      <c r="F30" s="27">
        <f t="shared" si="0"/>
        <v>23</v>
      </c>
      <c r="G30" s="27">
        <v>2300</v>
      </c>
      <c r="H30" s="28">
        <v>247.25</v>
      </c>
      <c r="I30" s="28">
        <v>267.72000000000003</v>
      </c>
    </row>
    <row r="31" spans="1:10" x14ac:dyDescent="0.2">
      <c r="A31" s="32" t="s">
        <v>72</v>
      </c>
      <c r="B31" s="36">
        <v>90441600</v>
      </c>
      <c r="C31" s="63" t="s">
        <v>58</v>
      </c>
      <c r="D31" s="27">
        <v>600</v>
      </c>
      <c r="E31" s="27">
        <v>100</v>
      </c>
      <c r="F31" s="27">
        <f t="shared" ref="F31:F32" si="1">G31/E31</f>
        <v>16</v>
      </c>
      <c r="G31" s="27">
        <v>1600</v>
      </c>
      <c r="H31" s="28">
        <v>172</v>
      </c>
      <c r="I31" s="28">
        <v>186.24</v>
      </c>
    </row>
    <row r="32" spans="1:10" x14ac:dyDescent="0.2">
      <c r="A32" s="32" t="s">
        <v>73</v>
      </c>
      <c r="B32" s="36" t="s">
        <v>62</v>
      </c>
      <c r="C32" s="63">
        <v>15</v>
      </c>
      <c r="D32" s="27">
        <v>915</v>
      </c>
      <c r="E32" s="27">
        <v>100</v>
      </c>
      <c r="F32" s="27">
        <f t="shared" si="1"/>
        <v>10</v>
      </c>
      <c r="G32" s="27">
        <v>1000</v>
      </c>
      <c r="H32" s="28">
        <v>161.4</v>
      </c>
      <c r="I32" s="28">
        <v>169.5</v>
      </c>
    </row>
    <row r="33" spans="1:16" x14ac:dyDescent="0.2">
      <c r="A33" s="61" t="s">
        <v>74</v>
      </c>
      <c r="B33" s="36">
        <v>90441800</v>
      </c>
      <c r="C33" s="63" t="s">
        <v>58</v>
      </c>
      <c r="D33" s="27">
        <v>900</v>
      </c>
      <c r="E33" s="27">
        <v>100</v>
      </c>
      <c r="F33" s="27">
        <f t="shared" si="0"/>
        <v>7</v>
      </c>
      <c r="G33" s="27">
        <v>700</v>
      </c>
      <c r="H33" s="28">
        <v>112.98</v>
      </c>
      <c r="I33" s="28">
        <v>118.64999999999999</v>
      </c>
      <c r="M33" s="68" t="s">
        <v>50</v>
      </c>
    </row>
    <row r="34" spans="1:16" x14ac:dyDescent="0.2">
      <c r="A34" s="32" t="s">
        <v>75</v>
      </c>
      <c r="B34" s="36" t="s">
        <v>59</v>
      </c>
      <c r="C34" s="63">
        <v>15</v>
      </c>
      <c r="D34" s="27">
        <v>1220</v>
      </c>
      <c r="E34" s="27">
        <v>50</v>
      </c>
      <c r="F34" s="27">
        <f t="shared" si="0"/>
        <v>1</v>
      </c>
      <c r="G34" s="27">
        <v>50</v>
      </c>
      <c r="H34" s="28">
        <v>10.75</v>
      </c>
      <c r="I34" s="28">
        <v>11.64</v>
      </c>
    </row>
    <row r="35" spans="1:16" x14ac:dyDescent="0.2">
      <c r="A35" s="32" t="s">
        <v>76</v>
      </c>
      <c r="B35" s="36" t="s">
        <v>111</v>
      </c>
      <c r="C35" s="63">
        <v>20</v>
      </c>
      <c r="D35" s="27">
        <v>100</v>
      </c>
      <c r="E35" s="27">
        <v>500</v>
      </c>
      <c r="F35" s="27">
        <f t="shared" si="0"/>
        <v>1</v>
      </c>
      <c r="G35" s="27">
        <v>500</v>
      </c>
      <c r="H35" s="28">
        <v>14</v>
      </c>
      <c r="I35" s="28">
        <v>15.24</v>
      </c>
    </row>
    <row r="36" spans="1:16" x14ac:dyDescent="0.2">
      <c r="A36" s="32" t="s">
        <v>77</v>
      </c>
      <c r="B36" s="36">
        <v>90447000</v>
      </c>
      <c r="C36" s="63" t="s">
        <v>43</v>
      </c>
      <c r="D36" s="27">
        <v>240</v>
      </c>
      <c r="E36" s="27">
        <v>250</v>
      </c>
      <c r="F36" s="27">
        <f t="shared" ref="F36" si="2">G36/E36</f>
        <v>16</v>
      </c>
      <c r="G36" s="27">
        <v>4000</v>
      </c>
      <c r="H36" s="28">
        <v>256</v>
      </c>
      <c r="I36" s="28">
        <v>276.8</v>
      </c>
      <c r="O36" s="1" t="s">
        <v>50</v>
      </c>
      <c r="P36" s="67"/>
    </row>
    <row r="37" spans="1:16" s="77" customFormat="1" x14ac:dyDescent="0.2">
      <c r="A37" s="32" t="s">
        <v>78</v>
      </c>
      <c r="B37" s="36" t="s">
        <v>112</v>
      </c>
      <c r="C37" s="63">
        <v>20</v>
      </c>
      <c r="D37" s="27">
        <v>457</v>
      </c>
      <c r="E37" s="27">
        <v>100</v>
      </c>
      <c r="F37" s="27">
        <f t="shared" ref="F37:F38" si="3">G37/E37</f>
        <v>4</v>
      </c>
      <c r="G37" s="27">
        <v>400</v>
      </c>
      <c r="H37" s="28">
        <v>52</v>
      </c>
      <c r="I37" s="28">
        <v>55.2</v>
      </c>
      <c r="O37" s="77" t="s">
        <v>50</v>
      </c>
    </row>
    <row r="38" spans="1:16" s="77" customFormat="1" x14ac:dyDescent="0.2">
      <c r="A38" s="31" t="s">
        <v>79</v>
      </c>
      <c r="B38" s="36">
        <v>90442400</v>
      </c>
      <c r="C38" s="63" t="s">
        <v>43</v>
      </c>
      <c r="D38" s="27">
        <v>450</v>
      </c>
      <c r="E38" s="27">
        <v>100</v>
      </c>
      <c r="F38" s="27">
        <f t="shared" si="3"/>
        <v>16</v>
      </c>
      <c r="G38" s="27">
        <v>1600</v>
      </c>
      <c r="H38" s="28">
        <v>208</v>
      </c>
      <c r="I38" s="28">
        <v>220.8</v>
      </c>
      <c r="O38" s="77" t="s">
        <v>50</v>
      </c>
    </row>
    <row r="39" spans="1:16" s="79" customFormat="1" x14ac:dyDescent="0.2">
      <c r="A39" s="31" t="s">
        <v>80</v>
      </c>
      <c r="B39" s="36" t="s">
        <v>113</v>
      </c>
      <c r="C39" s="63">
        <v>20</v>
      </c>
      <c r="D39" s="27">
        <v>610</v>
      </c>
      <c r="E39" s="27">
        <v>100</v>
      </c>
      <c r="F39" s="27">
        <f t="shared" ref="F39:F40" si="4">G39/E39</f>
        <v>10</v>
      </c>
      <c r="G39" s="27">
        <v>1000</v>
      </c>
      <c r="H39" s="28">
        <v>170</v>
      </c>
      <c r="I39" s="28">
        <v>183</v>
      </c>
    </row>
    <row r="40" spans="1:16" s="79" customFormat="1" x14ac:dyDescent="0.2">
      <c r="A40" s="31" t="s">
        <v>81</v>
      </c>
      <c r="B40" s="36">
        <v>90442700</v>
      </c>
      <c r="C40" s="63" t="s">
        <v>43</v>
      </c>
      <c r="D40" s="27">
        <v>750</v>
      </c>
      <c r="E40" s="27">
        <v>100</v>
      </c>
      <c r="F40" s="27">
        <f t="shared" si="4"/>
        <v>5</v>
      </c>
      <c r="G40" s="27">
        <v>500</v>
      </c>
      <c r="H40" s="28">
        <v>110</v>
      </c>
      <c r="I40" s="28">
        <v>115</v>
      </c>
    </row>
    <row r="41" spans="1:16" x14ac:dyDescent="0.2">
      <c r="A41" s="31" t="s">
        <v>82</v>
      </c>
      <c r="B41" s="36" t="s">
        <v>114</v>
      </c>
      <c r="C41" s="63">
        <v>25</v>
      </c>
      <c r="D41" s="27">
        <v>200</v>
      </c>
      <c r="E41" s="27">
        <v>150</v>
      </c>
      <c r="F41" s="27">
        <f t="shared" ref="F41:F74" si="5">G41/E41</f>
        <v>4</v>
      </c>
      <c r="G41" s="27">
        <v>600</v>
      </c>
      <c r="H41" s="28">
        <v>43.2</v>
      </c>
      <c r="I41" s="28">
        <v>46.88</v>
      </c>
      <c r="P41" s="67"/>
    </row>
    <row r="42" spans="1:16" x14ac:dyDescent="0.2">
      <c r="A42" s="32" t="s">
        <v>83</v>
      </c>
      <c r="B42" s="36">
        <v>90448000</v>
      </c>
      <c r="C42" s="63" t="s">
        <v>44</v>
      </c>
      <c r="D42" s="27">
        <v>270</v>
      </c>
      <c r="E42" s="27">
        <v>100</v>
      </c>
      <c r="F42" s="27">
        <f t="shared" si="5"/>
        <v>5</v>
      </c>
      <c r="G42" s="27">
        <v>500</v>
      </c>
      <c r="H42" s="28">
        <v>49.3</v>
      </c>
      <c r="I42" s="28">
        <v>53.5</v>
      </c>
    </row>
    <row r="43" spans="1:16" s="70" customFormat="1" x14ac:dyDescent="0.2">
      <c r="A43" s="32" t="s">
        <v>84</v>
      </c>
      <c r="B43" s="36" t="s">
        <v>115</v>
      </c>
      <c r="C43" s="63">
        <v>25</v>
      </c>
      <c r="D43" s="27">
        <v>375</v>
      </c>
      <c r="E43" s="27">
        <v>100</v>
      </c>
      <c r="F43" s="27">
        <f t="shared" si="5"/>
        <v>10</v>
      </c>
      <c r="G43" s="27">
        <v>1000</v>
      </c>
      <c r="H43" s="28">
        <v>137</v>
      </c>
      <c r="I43" s="28">
        <v>146.5</v>
      </c>
    </row>
    <row r="44" spans="1:16" s="70" customFormat="1" x14ac:dyDescent="0.2">
      <c r="A44" s="32" t="s">
        <v>85</v>
      </c>
      <c r="B44" s="36" t="s">
        <v>55</v>
      </c>
      <c r="C44" s="63">
        <v>25</v>
      </c>
      <c r="D44" s="27">
        <v>457</v>
      </c>
      <c r="E44" s="27">
        <v>100</v>
      </c>
      <c r="F44" s="27">
        <f t="shared" si="5"/>
        <v>23</v>
      </c>
      <c r="G44" s="27">
        <v>2300</v>
      </c>
      <c r="H44" s="28">
        <v>391</v>
      </c>
      <c r="I44" s="28">
        <v>418.59999999999997</v>
      </c>
    </row>
    <row r="45" spans="1:16" s="70" customFormat="1" x14ac:dyDescent="0.2">
      <c r="A45" s="32" t="s">
        <v>86</v>
      </c>
      <c r="B45" s="36">
        <v>90443400</v>
      </c>
      <c r="C45" s="63" t="s">
        <v>44</v>
      </c>
      <c r="D45" s="27">
        <v>450</v>
      </c>
      <c r="E45" s="27">
        <v>100</v>
      </c>
      <c r="F45" s="27">
        <f t="shared" si="5"/>
        <v>8</v>
      </c>
      <c r="G45" s="27">
        <v>800</v>
      </c>
      <c r="H45" s="28">
        <v>136</v>
      </c>
      <c r="I45" s="28">
        <v>145.6</v>
      </c>
    </row>
    <row r="46" spans="1:16" s="70" customFormat="1" x14ac:dyDescent="0.2">
      <c r="A46" s="32" t="s">
        <v>87</v>
      </c>
      <c r="B46" s="36" t="s">
        <v>116</v>
      </c>
      <c r="C46" s="63">
        <v>25</v>
      </c>
      <c r="D46" s="27">
        <v>610</v>
      </c>
      <c r="E46" s="27">
        <v>50</v>
      </c>
      <c r="F46" s="27">
        <f t="shared" si="5"/>
        <v>8</v>
      </c>
      <c r="G46" s="27">
        <v>400</v>
      </c>
      <c r="H46" s="28">
        <v>94</v>
      </c>
      <c r="I46" s="28">
        <v>100.96</v>
      </c>
    </row>
    <row r="47" spans="1:16" s="70" customFormat="1" x14ac:dyDescent="0.2">
      <c r="A47" s="32" t="s">
        <v>88</v>
      </c>
      <c r="B47" s="36">
        <v>90443600</v>
      </c>
      <c r="C47" s="63" t="s">
        <v>44</v>
      </c>
      <c r="D47" s="27">
        <v>600</v>
      </c>
      <c r="E47" s="27">
        <v>50</v>
      </c>
      <c r="F47" s="27">
        <f t="shared" si="5"/>
        <v>10</v>
      </c>
      <c r="G47" s="27">
        <v>500</v>
      </c>
      <c r="H47" s="28">
        <v>117.5</v>
      </c>
      <c r="I47" s="28">
        <v>126.19999999999999</v>
      </c>
    </row>
    <row r="48" spans="1:16" x14ac:dyDescent="0.2">
      <c r="A48" s="32" t="s">
        <v>89</v>
      </c>
      <c r="B48" s="36">
        <v>90443700</v>
      </c>
      <c r="C48" s="63" t="s">
        <v>44</v>
      </c>
      <c r="D48" s="27">
        <v>750</v>
      </c>
      <c r="E48" s="27">
        <v>50</v>
      </c>
      <c r="F48" s="27">
        <f t="shared" si="5"/>
        <v>10</v>
      </c>
      <c r="G48" s="27">
        <v>500</v>
      </c>
      <c r="H48" s="28">
        <v>143</v>
      </c>
      <c r="I48" s="28">
        <v>153</v>
      </c>
    </row>
    <row r="49" spans="1:9" s="79" customFormat="1" x14ac:dyDescent="0.2">
      <c r="A49" s="32" t="s">
        <v>90</v>
      </c>
      <c r="B49" s="36">
        <v>90443900</v>
      </c>
      <c r="C49" s="63" t="s">
        <v>44</v>
      </c>
      <c r="D49" s="27" t="s">
        <v>133</v>
      </c>
      <c r="E49" s="27">
        <v>50</v>
      </c>
      <c r="F49" s="27">
        <f t="shared" si="5"/>
        <v>4</v>
      </c>
      <c r="G49" s="27">
        <v>200</v>
      </c>
      <c r="H49" s="28">
        <v>132</v>
      </c>
      <c r="I49" s="28">
        <v>133.6</v>
      </c>
    </row>
    <row r="50" spans="1:9" s="79" customFormat="1" x14ac:dyDescent="0.2">
      <c r="A50" s="32" t="s">
        <v>91</v>
      </c>
      <c r="B50" s="36" t="s">
        <v>117</v>
      </c>
      <c r="C50" s="63">
        <v>32</v>
      </c>
      <c r="D50" s="27">
        <v>150</v>
      </c>
      <c r="E50" s="27">
        <v>300</v>
      </c>
      <c r="F50" s="27">
        <f t="shared" si="5"/>
        <v>2</v>
      </c>
      <c r="G50" s="27">
        <v>600</v>
      </c>
      <c r="H50" s="28">
        <v>45</v>
      </c>
      <c r="I50" s="28">
        <v>47.96</v>
      </c>
    </row>
    <row r="51" spans="1:9" s="79" customFormat="1" x14ac:dyDescent="0.2">
      <c r="A51" s="32" t="s">
        <v>92</v>
      </c>
      <c r="B51" s="36">
        <v>90446200</v>
      </c>
      <c r="C51" s="63" t="s">
        <v>124</v>
      </c>
      <c r="D51" s="27">
        <v>150</v>
      </c>
      <c r="E51" s="27">
        <v>300</v>
      </c>
      <c r="F51" s="27">
        <f t="shared" si="5"/>
        <v>1</v>
      </c>
      <c r="G51" s="27">
        <v>300</v>
      </c>
      <c r="H51" s="28">
        <v>22.5</v>
      </c>
      <c r="I51" s="28">
        <v>23.98</v>
      </c>
    </row>
    <row r="52" spans="1:9" s="79" customFormat="1" x14ac:dyDescent="0.2">
      <c r="A52" s="32" t="s">
        <v>93</v>
      </c>
      <c r="B52" s="36" t="s">
        <v>118</v>
      </c>
      <c r="C52" s="63">
        <v>32</v>
      </c>
      <c r="D52" s="27">
        <v>450</v>
      </c>
      <c r="E52" s="27">
        <v>100</v>
      </c>
      <c r="F52" s="27">
        <f t="shared" si="5"/>
        <v>1</v>
      </c>
      <c r="G52" s="27">
        <v>100</v>
      </c>
      <c r="H52" s="28">
        <v>22.5</v>
      </c>
      <c r="I52" s="28">
        <v>23.98</v>
      </c>
    </row>
    <row r="53" spans="1:9" s="79" customFormat="1" x14ac:dyDescent="0.2">
      <c r="A53" s="32" t="s">
        <v>94</v>
      </c>
      <c r="B53" s="36">
        <v>90446400</v>
      </c>
      <c r="C53" s="63" t="s">
        <v>124</v>
      </c>
      <c r="D53" s="27">
        <v>450</v>
      </c>
      <c r="E53" s="27">
        <v>100</v>
      </c>
      <c r="F53" s="27">
        <f t="shared" si="5"/>
        <v>1</v>
      </c>
      <c r="G53" s="27">
        <v>100</v>
      </c>
      <c r="H53" s="28">
        <v>22.5</v>
      </c>
      <c r="I53" s="28">
        <v>23.98</v>
      </c>
    </row>
    <row r="54" spans="1:9" s="79" customFormat="1" x14ac:dyDescent="0.2">
      <c r="A54" s="32" t="s">
        <v>95</v>
      </c>
      <c r="B54" s="36">
        <v>90446600</v>
      </c>
      <c r="C54" s="63" t="s">
        <v>124</v>
      </c>
      <c r="D54" s="27">
        <v>600</v>
      </c>
      <c r="E54" s="27">
        <v>100</v>
      </c>
      <c r="F54" s="27">
        <f t="shared" si="5"/>
        <v>2</v>
      </c>
      <c r="G54" s="27">
        <v>200</v>
      </c>
      <c r="H54" s="28">
        <v>60</v>
      </c>
      <c r="I54" s="28">
        <v>63.4</v>
      </c>
    </row>
    <row r="55" spans="1:9" s="79" customFormat="1" x14ac:dyDescent="0.2">
      <c r="A55" s="32" t="s">
        <v>96</v>
      </c>
      <c r="B55" s="36" t="s">
        <v>119</v>
      </c>
      <c r="C55" s="63">
        <v>32</v>
      </c>
      <c r="D55" s="27">
        <v>750</v>
      </c>
      <c r="E55" s="27">
        <v>60</v>
      </c>
      <c r="F55" s="27">
        <f t="shared" si="5"/>
        <v>1</v>
      </c>
      <c r="G55" s="27">
        <v>60</v>
      </c>
      <c r="H55" s="28">
        <v>19.100000000000001</v>
      </c>
      <c r="I55" s="28">
        <v>20.04</v>
      </c>
    </row>
    <row r="56" spans="1:9" s="79" customFormat="1" x14ac:dyDescent="0.2">
      <c r="A56" s="32" t="s">
        <v>97</v>
      </c>
      <c r="B56" s="36">
        <v>90446700</v>
      </c>
      <c r="C56" s="63" t="s">
        <v>124</v>
      </c>
      <c r="D56" s="27">
        <v>900</v>
      </c>
      <c r="E56" s="27">
        <v>50</v>
      </c>
      <c r="F56" s="27">
        <f t="shared" si="5"/>
        <v>2</v>
      </c>
      <c r="G56" s="27">
        <v>100</v>
      </c>
      <c r="H56" s="28">
        <v>45</v>
      </c>
      <c r="I56" s="28">
        <v>47.96</v>
      </c>
    </row>
    <row r="57" spans="1:9" s="79" customFormat="1" x14ac:dyDescent="0.2">
      <c r="A57" s="32" t="s">
        <v>98</v>
      </c>
      <c r="B57" s="36">
        <v>90446800</v>
      </c>
      <c r="C57" s="63" t="s">
        <v>124</v>
      </c>
      <c r="D57" s="27" t="s">
        <v>133</v>
      </c>
      <c r="E57" s="27">
        <v>25</v>
      </c>
      <c r="F57" s="27">
        <f t="shared" si="5"/>
        <v>2</v>
      </c>
      <c r="G57" s="27">
        <v>50</v>
      </c>
      <c r="H57" s="28">
        <v>45.8</v>
      </c>
      <c r="I57" s="28">
        <v>46.2</v>
      </c>
    </row>
    <row r="58" spans="1:9" s="79" customFormat="1" x14ac:dyDescent="0.2">
      <c r="A58" s="32" t="s">
        <v>99</v>
      </c>
      <c r="B58" s="36">
        <v>90447200</v>
      </c>
      <c r="C58" s="63" t="s">
        <v>125</v>
      </c>
      <c r="D58" s="27">
        <v>150</v>
      </c>
      <c r="E58" s="27">
        <v>300</v>
      </c>
      <c r="F58" s="27">
        <f t="shared" si="5"/>
        <v>1</v>
      </c>
      <c r="G58" s="27">
        <v>300</v>
      </c>
      <c r="H58" s="28">
        <v>29.9</v>
      </c>
      <c r="I58" s="28">
        <v>31.62</v>
      </c>
    </row>
    <row r="59" spans="1:9" s="79" customFormat="1" x14ac:dyDescent="0.2">
      <c r="A59" s="31" t="s">
        <v>100</v>
      </c>
      <c r="B59" s="36" t="s">
        <v>120</v>
      </c>
      <c r="C59" s="63">
        <v>40</v>
      </c>
      <c r="D59" s="27">
        <v>200</v>
      </c>
      <c r="E59" s="27">
        <v>150</v>
      </c>
      <c r="F59" s="27">
        <f t="shared" si="5"/>
        <v>1</v>
      </c>
      <c r="G59" s="27">
        <v>150</v>
      </c>
      <c r="H59" s="28">
        <v>20.8</v>
      </c>
      <c r="I59" s="28">
        <v>22.5</v>
      </c>
    </row>
    <row r="60" spans="1:9" s="79" customFormat="1" x14ac:dyDescent="0.2">
      <c r="A60" s="31" t="s">
        <v>101</v>
      </c>
      <c r="B60" s="36" t="s">
        <v>121</v>
      </c>
      <c r="C60" s="63">
        <v>40</v>
      </c>
      <c r="D60" s="27">
        <v>450</v>
      </c>
      <c r="E60" s="27">
        <v>100</v>
      </c>
      <c r="F60" s="27">
        <f t="shared" si="5"/>
        <v>1</v>
      </c>
      <c r="G60" s="27">
        <v>100</v>
      </c>
      <c r="H60" s="28">
        <v>29.9</v>
      </c>
      <c r="I60" s="28">
        <v>31.62</v>
      </c>
    </row>
    <row r="61" spans="1:9" s="79" customFormat="1" x14ac:dyDescent="0.2">
      <c r="A61" s="31" t="s">
        <v>102</v>
      </c>
      <c r="B61" s="36">
        <v>90447400</v>
      </c>
      <c r="C61" s="63" t="s">
        <v>125</v>
      </c>
      <c r="D61" s="27">
        <v>450</v>
      </c>
      <c r="E61" s="27">
        <v>100</v>
      </c>
      <c r="F61" s="27">
        <f t="shared" si="5"/>
        <v>2</v>
      </c>
      <c r="G61" s="27">
        <v>200</v>
      </c>
      <c r="H61" s="28">
        <v>59.8</v>
      </c>
      <c r="I61" s="28">
        <v>63.24</v>
      </c>
    </row>
    <row r="62" spans="1:9" s="79" customFormat="1" x14ac:dyDescent="0.2">
      <c r="A62" s="31" t="s">
        <v>103</v>
      </c>
      <c r="B62" s="36" t="s">
        <v>122</v>
      </c>
      <c r="C62" s="63">
        <v>50</v>
      </c>
      <c r="D62" s="27">
        <v>150</v>
      </c>
      <c r="E62" s="27">
        <v>150</v>
      </c>
      <c r="F62" s="27">
        <f t="shared" si="5"/>
        <v>1</v>
      </c>
      <c r="G62" s="27">
        <v>150</v>
      </c>
      <c r="H62" s="28">
        <v>21</v>
      </c>
      <c r="I62" s="28">
        <v>22.54</v>
      </c>
    </row>
    <row r="63" spans="1:9" s="79" customFormat="1" x14ac:dyDescent="0.2">
      <c r="A63" s="32" t="s">
        <v>104</v>
      </c>
      <c r="B63" s="36">
        <v>90448200</v>
      </c>
      <c r="C63" s="63" t="s">
        <v>56</v>
      </c>
      <c r="D63" s="27">
        <v>150</v>
      </c>
      <c r="E63" s="27">
        <v>150</v>
      </c>
      <c r="F63" s="27">
        <f t="shared" si="5"/>
        <v>1</v>
      </c>
      <c r="G63" s="27">
        <v>150</v>
      </c>
      <c r="H63" s="28">
        <v>21</v>
      </c>
      <c r="I63" s="28">
        <v>22.54</v>
      </c>
    </row>
    <row r="64" spans="1:9" s="79" customFormat="1" x14ac:dyDescent="0.2">
      <c r="A64" s="32" t="s">
        <v>105</v>
      </c>
      <c r="B64" s="36">
        <v>90448300</v>
      </c>
      <c r="C64" s="63" t="s">
        <v>56</v>
      </c>
      <c r="D64" s="27">
        <v>300</v>
      </c>
      <c r="E64" s="27">
        <v>75</v>
      </c>
      <c r="F64" s="27">
        <f t="shared" si="5"/>
        <v>1</v>
      </c>
      <c r="G64" s="27">
        <v>75</v>
      </c>
      <c r="H64" s="28">
        <v>21</v>
      </c>
      <c r="I64" s="28">
        <v>22.54</v>
      </c>
    </row>
    <row r="65" spans="1:9" s="79" customFormat="1" x14ac:dyDescent="0.2">
      <c r="A65" s="32" t="s">
        <v>106</v>
      </c>
      <c r="B65" s="36" t="s">
        <v>123</v>
      </c>
      <c r="C65" s="63">
        <v>50</v>
      </c>
      <c r="D65" s="27">
        <v>450</v>
      </c>
      <c r="E65" s="27">
        <v>50</v>
      </c>
      <c r="F65" s="27">
        <f t="shared" si="5"/>
        <v>2</v>
      </c>
      <c r="G65" s="27">
        <v>100</v>
      </c>
      <c r="H65" s="28">
        <v>42</v>
      </c>
      <c r="I65" s="28">
        <v>45.08</v>
      </c>
    </row>
    <row r="66" spans="1:9" s="79" customFormat="1" x14ac:dyDescent="0.2">
      <c r="A66" s="32" t="s">
        <v>107</v>
      </c>
      <c r="B66" s="36">
        <v>90448400</v>
      </c>
      <c r="C66" s="63" t="s">
        <v>56</v>
      </c>
      <c r="D66" s="27">
        <v>450</v>
      </c>
      <c r="E66" s="27">
        <v>50</v>
      </c>
      <c r="F66" s="27">
        <f t="shared" si="5"/>
        <v>2</v>
      </c>
      <c r="G66" s="27">
        <v>100</v>
      </c>
      <c r="H66" s="28">
        <v>42</v>
      </c>
      <c r="I66" s="28">
        <v>45.08</v>
      </c>
    </row>
    <row r="67" spans="1:9" s="79" customFormat="1" x14ac:dyDescent="0.2">
      <c r="A67" s="32" t="s">
        <v>108</v>
      </c>
      <c r="B67" s="36">
        <v>90448800</v>
      </c>
      <c r="C67" s="63" t="s">
        <v>56</v>
      </c>
      <c r="D67" s="27">
        <v>1200</v>
      </c>
      <c r="E67" s="27">
        <v>25</v>
      </c>
      <c r="F67" s="27">
        <f t="shared" si="5"/>
        <v>2</v>
      </c>
      <c r="G67" s="27">
        <v>50</v>
      </c>
      <c r="H67" s="28">
        <v>52.2</v>
      </c>
      <c r="I67" s="28">
        <v>55.7</v>
      </c>
    </row>
    <row r="68" spans="1:9" s="79" customFormat="1" x14ac:dyDescent="0.2">
      <c r="A68" s="32" t="s">
        <v>109</v>
      </c>
      <c r="B68" s="36">
        <v>90448820</v>
      </c>
      <c r="C68" s="63" t="s">
        <v>56</v>
      </c>
      <c r="D68" s="29" t="s">
        <v>133</v>
      </c>
      <c r="E68" s="27">
        <v>20</v>
      </c>
      <c r="F68" s="27">
        <f t="shared" si="5"/>
        <v>3</v>
      </c>
      <c r="G68" s="27">
        <v>60</v>
      </c>
      <c r="H68" s="28">
        <v>92.4</v>
      </c>
      <c r="I68" s="28">
        <v>93.6</v>
      </c>
    </row>
    <row r="69" spans="1:9" s="79" customFormat="1" x14ac:dyDescent="0.2">
      <c r="A69" s="87"/>
      <c r="B69" s="185" t="s">
        <v>173</v>
      </c>
      <c r="C69" s="185"/>
      <c r="D69" s="185"/>
      <c r="E69" s="185"/>
      <c r="F69" s="185"/>
      <c r="G69" s="34"/>
      <c r="H69" s="26"/>
      <c r="I69" s="26"/>
    </row>
    <row r="70" spans="1:9" s="77" customFormat="1" x14ac:dyDescent="0.2">
      <c r="A70" s="32" t="s">
        <v>126</v>
      </c>
      <c r="B70" s="36" t="s">
        <v>131</v>
      </c>
      <c r="C70" s="63">
        <v>25</v>
      </c>
      <c r="D70" s="52">
        <v>600</v>
      </c>
      <c r="E70" s="27">
        <v>50</v>
      </c>
      <c r="F70" s="27">
        <f t="shared" si="5"/>
        <v>2</v>
      </c>
      <c r="G70" s="27">
        <v>100</v>
      </c>
      <c r="H70" s="28">
        <v>23.5</v>
      </c>
      <c r="I70" s="28">
        <v>25.24</v>
      </c>
    </row>
    <row r="71" spans="1:9" s="77" customFormat="1" x14ac:dyDescent="0.2">
      <c r="A71" s="32" t="s">
        <v>127</v>
      </c>
      <c r="B71" s="36">
        <v>90445600</v>
      </c>
      <c r="C71" s="63" t="s">
        <v>44</v>
      </c>
      <c r="D71" s="27">
        <v>600</v>
      </c>
      <c r="E71" s="27">
        <v>50</v>
      </c>
      <c r="F71" s="27">
        <f t="shared" si="5"/>
        <v>10</v>
      </c>
      <c r="G71" s="27">
        <v>500</v>
      </c>
      <c r="H71" s="28">
        <v>117.5</v>
      </c>
      <c r="I71" s="28">
        <v>125</v>
      </c>
    </row>
    <row r="72" spans="1:9" s="77" customFormat="1" x14ac:dyDescent="0.2">
      <c r="A72" s="32" t="s">
        <v>128</v>
      </c>
      <c r="B72" s="36">
        <v>90445700</v>
      </c>
      <c r="C72" s="63" t="s">
        <v>44</v>
      </c>
      <c r="D72" s="27">
        <v>750</v>
      </c>
      <c r="E72" s="27">
        <v>50</v>
      </c>
      <c r="F72" s="27">
        <f t="shared" si="5"/>
        <v>4</v>
      </c>
      <c r="G72" s="27">
        <v>200</v>
      </c>
      <c r="H72" s="28">
        <v>57.2</v>
      </c>
      <c r="I72" s="28">
        <v>61.2</v>
      </c>
    </row>
    <row r="73" spans="1:9" x14ac:dyDescent="0.2">
      <c r="A73" s="32" t="s">
        <v>129</v>
      </c>
      <c r="B73" s="36" t="s">
        <v>132</v>
      </c>
      <c r="C73" s="63">
        <v>25</v>
      </c>
      <c r="D73" s="27">
        <v>900</v>
      </c>
      <c r="E73" s="27">
        <v>50</v>
      </c>
      <c r="F73" s="27">
        <f t="shared" si="5"/>
        <v>4</v>
      </c>
      <c r="G73" s="27">
        <v>200</v>
      </c>
      <c r="H73" s="28">
        <v>68</v>
      </c>
      <c r="I73" s="28">
        <v>72.8</v>
      </c>
    </row>
    <row r="74" spans="1:9" x14ac:dyDescent="0.2">
      <c r="A74" s="48" t="s">
        <v>130</v>
      </c>
      <c r="B74" s="49">
        <v>90445800</v>
      </c>
      <c r="C74" s="86" t="s">
        <v>44</v>
      </c>
      <c r="D74" s="29">
        <v>900</v>
      </c>
      <c r="E74" s="29">
        <v>50</v>
      </c>
      <c r="F74" s="29">
        <f t="shared" si="5"/>
        <v>4</v>
      </c>
      <c r="G74" s="29">
        <v>200</v>
      </c>
      <c r="H74" s="30">
        <v>68</v>
      </c>
      <c r="I74" s="30">
        <v>72.8</v>
      </c>
    </row>
    <row r="75" spans="1:9" x14ac:dyDescent="0.2">
      <c r="A75" s="10"/>
      <c r="B75" s="23"/>
      <c r="C75" s="23"/>
      <c r="D75" s="40"/>
      <c r="E75" s="21"/>
      <c r="F75" s="21"/>
      <c r="G75" s="21"/>
      <c r="H75" s="22"/>
      <c r="I75" s="22"/>
    </row>
    <row r="76" spans="1:9" x14ac:dyDescent="0.2">
      <c r="A76" s="2"/>
      <c r="B76" s="24"/>
      <c r="C76" s="24"/>
      <c r="D76" s="38" t="s">
        <v>41</v>
      </c>
      <c r="E76" s="25"/>
      <c r="F76" s="25"/>
      <c r="G76" s="25"/>
      <c r="H76" s="26">
        <f>SUM(H25:H75)</f>
        <v>4838.9399999999996</v>
      </c>
      <c r="I76" s="26">
        <f>SUM(I25:I75)</f>
        <v>5138.0899999999974</v>
      </c>
    </row>
    <row r="77" spans="1:9" x14ac:dyDescent="0.2">
      <c r="A77" s="10"/>
      <c r="B77" s="11"/>
      <c r="C77" s="11"/>
      <c r="D77" s="15"/>
      <c r="E77" s="17"/>
      <c r="F77" s="168" t="s">
        <v>297</v>
      </c>
      <c r="G77" s="169"/>
      <c r="H77" s="169"/>
      <c r="I77" s="170"/>
    </row>
    <row r="78" spans="1:9" x14ac:dyDescent="0.2">
      <c r="A78" s="10"/>
      <c r="B78" s="11"/>
      <c r="C78" s="11"/>
      <c r="D78" s="15"/>
      <c r="E78" s="17"/>
      <c r="F78" s="209"/>
      <c r="G78" s="210"/>
      <c r="H78" s="210"/>
      <c r="I78" s="211"/>
    </row>
    <row r="79" spans="1:9" x14ac:dyDescent="0.2">
      <c r="A79" s="10"/>
      <c r="B79" s="11"/>
      <c r="C79" s="11"/>
      <c r="D79" s="15"/>
      <c r="E79" s="17"/>
      <c r="F79" s="209"/>
      <c r="G79" s="210"/>
      <c r="H79" s="210"/>
      <c r="I79" s="211"/>
    </row>
    <row r="80" spans="1:9" x14ac:dyDescent="0.2">
      <c r="A80" s="10"/>
      <c r="B80" s="11"/>
      <c r="C80" s="11"/>
      <c r="D80" s="15"/>
      <c r="E80" s="17"/>
      <c r="F80" s="209"/>
      <c r="G80" s="210"/>
      <c r="H80" s="210"/>
      <c r="I80" s="211"/>
    </row>
    <row r="81" spans="1:9" x14ac:dyDescent="0.2">
      <c r="A81" s="2"/>
      <c r="B81" s="19"/>
      <c r="C81" s="19"/>
      <c r="D81" s="16"/>
      <c r="E81" s="20"/>
      <c r="F81" s="193"/>
      <c r="G81" s="184"/>
      <c r="H81" s="207" t="s">
        <v>298</v>
      </c>
      <c r="I81" s="208"/>
    </row>
  </sheetData>
  <mergeCells count="65">
    <mergeCell ref="A5:D5"/>
    <mergeCell ref="E5:F5"/>
    <mergeCell ref="A9:D9"/>
    <mergeCell ref="E9:I9"/>
    <mergeCell ref="A6:D6"/>
    <mergeCell ref="E6:F6"/>
    <mergeCell ref="A7:D7"/>
    <mergeCell ref="E7:F7"/>
    <mergeCell ref="G7:I7"/>
    <mergeCell ref="A8:C8"/>
    <mergeCell ref="E8:I8"/>
    <mergeCell ref="G6:I6"/>
    <mergeCell ref="G5:I5"/>
    <mergeCell ref="E2:F2"/>
    <mergeCell ref="G2:I2"/>
    <mergeCell ref="E3:F3"/>
    <mergeCell ref="G3:I3"/>
    <mergeCell ref="A1:I1"/>
    <mergeCell ref="A2:D3"/>
    <mergeCell ref="A4:D4"/>
    <mergeCell ref="E4:F4"/>
    <mergeCell ref="G4:I4"/>
    <mergeCell ref="F81:G81"/>
    <mergeCell ref="H81:I81"/>
    <mergeCell ref="F78:I80"/>
    <mergeCell ref="H13:I13"/>
    <mergeCell ref="H22:I22"/>
    <mergeCell ref="B22:F22"/>
    <mergeCell ref="B23:F23"/>
    <mergeCell ref="E17:F17"/>
    <mergeCell ref="G17:I17"/>
    <mergeCell ref="A16:C16"/>
    <mergeCell ref="E16:F16"/>
    <mergeCell ref="E14:G14"/>
    <mergeCell ref="H14:I14"/>
    <mergeCell ref="E10:I10"/>
    <mergeCell ref="A11:D11"/>
    <mergeCell ref="E11:I11"/>
    <mergeCell ref="E19:F19"/>
    <mergeCell ref="G19:I19"/>
    <mergeCell ref="A14:D14"/>
    <mergeCell ref="G16:I16"/>
    <mergeCell ref="A17:C17"/>
    <mergeCell ref="A15:D15"/>
    <mergeCell ref="A10:D10"/>
    <mergeCell ref="A13:D13"/>
    <mergeCell ref="E13:G13"/>
    <mergeCell ref="A12:D12"/>
    <mergeCell ref="E12:I12"/>
    <mergeCell ref="E15:F15"/>
    <mergeCell ref="G15:I15"/>
    <mergeCell ref="F77:I77"/>
    <mergeCell ref="A20:C20"/>
    <mergeCell ref="E20:F20"/>
    <mergeCell ref="G20:I20"/>
    <mergeCell ref="B24:F24"/>
    <mergeCell ref="A21:C21"/>
    <mergeCell ref="E21:F21"/>
    <mergeCell ref="B25:F25"/>
    <mergeCell ref="B69:F69"/>
    <mergeCell ref="G18:I18"/>
    <mergeCell ref="G21:I21"/>
    <mergeCell ref="A19:C19"/>
    <mergeCell ref="E18:F18"/>
    <mergeCell ref="A18:C18"/>
  </mergeCells>
  <phoneticPr fontId="0" type="noConversion"/>
  <pageMargins left="0.39370078740157483" right="0.39370078740157483" top="0.39370078740157483" bottom="0.39370078740157483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1"/>
  <sheetViews>
    <sheetView zoomScaleNormal="100" workbookViewId="0">
      <selection sqref="A1:G1"/>
    </sheetView>
  </sheetViews>
  <sheetFormatPr defaultColWidth="9.33203125" defaultRowHeight="12" x14ac:dyDescent="0.2"/>
  <cols>
    <col min="1" max="1" width="11.83203125" style="1" bestFit="1" customWidth="1"/>
    <col min="2" max="3" width="9.33203125" style="1"/>
    <col min="4" max="4" width="36.5" style="1" customWidth="1"/>
    <col min="5" max="5" width="12.6640625" style="1" bestFit="1" customWidth="1"/>
    <col min="6" max="6" width="10.6640625" style="1" customWidth="1"/>
    <col min="7" max="7" width="9.1640625" style="1" bestFit="1" customWidth="1"/>
    <col min="8" max="9" width="12.33203125" style="1" customWidth="1"/>
    <col min="10" max="10" width="9.83203125" style="1" bestFit="1" customWidth="1"/>
    <col min="11" max="16384" width="9.33203125" style="1"/>
  </cols>
  <sheetData>
    <row r="1" spans="1:9" x14ac:dyDescent="0.2">
      <c r="A1" s="284" t="s">
        <v>0</v>
      </c>
      <c r="B1" s="285"/>
      <c r="C1" s="285"/>
      <c r="D1" s="285"/>
      <c r="E1" s="285"/>
      <c r="F1" s="285"/>
      <c r="G1" s="285"/>
      <c r="H1" s="286" t="s">
        <v>39</v>
      </c>
      <c r="I1" s="287"/>
    </row>
    <row r="2" spans="1:9" ht="12.75" customHeight="1" x14ac:dyDescent="0.2">
      <c r="A2" s="236" t="str">
        <f>Sheet1!A2</f>
        <v>JAIKVIN GLOBAL</v>
      </c>
      <c r="B2" s="237"/>
      <c r="C2" s="237"/>
      <c r="D2" s="238"/>
      <c r="E2" s="276" t="s">
        <v>1</v>
      </c>
      <c r="F2" s="278"/>
      <c r="G2" s="288" t="str">
        <f>Sheet1!G2</f>
        <v>JG/26-27/6002 DT 04.05.2026</v>
      </c>
      <c r="H2" s="289"/>
      <c r="I2" s="290"/>
    </row>
    <row r="3" spans="1:9" ht="12.75" customHeight="1" x14ac:dyDescent="0.2">
      <c r="A3" s="239"/>
      <c r="B3" s="240"/>
      <c r="C3" s="240"/>
      <c r="D3" s="241"/>
      <c r="E3" s="291"/>
      <c r="F3" s="292"/>
      <c r="G3" s="293">
        <f>Sheet1!G3</f>
        <v>0</v>
      </c>
      <c r="H3" s="294"/>
      <c r="I3" s="295"/>
    </row>
    <row r="4" spans="1:9" ht="12.75" x14ac:dyDescent="0.2">
      <c r="A4" s="201" t="str">
        <f>Sheet1!A4</f>
        <v>Merchant Exporters</v>
      </c>
      <c r="B4" s="202"/>
      <c r="C4" s="202"/>
      <c r="D4" s="203"/>
      <c r="E4" s="171" t="s">
        <v>2</v>
      </c>
      <c r="F4" s="172"/>
      <c r="G4" s="204" t="s">
        <v>166</v>
      </c>
      <c r="H4" s="205"/>
      <c r="I4" s="206"/>
    </row>
    <row r="5" spans="1:9" ht="12.75" x14ac:dyDescent="0.2">
      <c r="A5" s="242" t="str">
        <f>Sheet1!A5</f>
        <v>A-101, Rajshree Royale, Navroji Lane, Ghatkopar (W),</v>
      </c>
      <c r="B5" s="243"/>
      <c r="C5" s="243"/>
      <c r="D5" s="244"/>
      <c r="E5" s="187" t="s">
        <v>3</v>
      </c>
      <c r="F5" s="245"/>
      <c r="G5" s="252" t="s">
        <v>167</v>
      </c>
      <c r="H5" s="253"/>
      <c r="I5" s="254"/>
    </row>
    <row r="6" spans="1:9" ht="12.75" x14ac:dyDescent="0.2">
      <c r="A6" s="242" t="str">
        <f>Sheet1!A6</f>
        <v>MUMBAI-400 086. Maharashtra (State Code : 27)</v>
      </c>
      <c r="B6" s="243"/>
      <c r="C6" s="243"/>
      <c r="D6" s="244"/>
      <c r="E6" s="246"/>
      <c r="F6" s="247"/>
      <c r="G6" s="252" t="s">
        <v>168</v>
      </c>
      <c r="H6" s="253"/>
      <c r="I6" s="254"/>
    </row>
    <row r="7" spans="1:9" ht="12.75" x14ac:dyDescent="0.2">
      <c r="A7" s="248" t="str">
        <f>Sheet1!A7</f>
        <v>Tel: 9987122600 E-Mail: aalok.shah@jaikvinglobal.com</v>
      </c>
      <c r="B7" s="249"/>
      <c r="C7" s="249"/>
      <c r="D7" s="250"/>
      <c r="E7" s="231" t="s">
        <v>4</v>
      </c>
      <c r="F7" s="251"/>
      <c r="G7" s="160" t="s">
        <v>169</v>
      </c>
      <c r="H7" s="161"/>
      <c r="I7" s="162"/>
    </row>
    <row r="8" spans="1:9" x14ac:dyDescent="0.2">
      <c r="A8" s="276" t="str">
        <f>Sheet1!A8</f>
        <v>On Account &amp; risks of</v>
      </c>
      <c r="B8" s="277"/>
      <c r="C8" s="277"/>
      <c r="D8" s="43">
        <f>Sheet1!D8</f>
        <v>0</v>
      </c>
      <c r="E8" s="276" t="str">
        <f>Sheet1!E8</f>
        <v>BL : 'SFPM2605165498  DT. 19.05.2026</v>
      </c>
      <c r="F8" s="277"/>
      <c r="G8" s="277"/>
      <c r="H8" s="277"/>
      <c r="I8" s="278"/>
    </row>
    <row r="9" spans="1:9" x14ac:dyDescent="0.2">
      <c r="A9" s="264" t="str">
        <f>Sheet1!A9</f>
        <v>Messrs. Corecomp Pty Ltd.,</v>
      </c>
      <c r="B9" s="265"/>
      <c r="C9" s="265"/>
      <c r="D9" s="266"/>
      <c r="E9" s="267">
        <f>Sheet1!E9</f>
        <v>0</v>
      </c>
      <c r="F9" s="268"/>
      <c r="G9" s="268"/>
      <c r="H9" s="268"/>
      <c r="I9" s="269"/>
    </row>
    <row r="10" spans="1:9" x14ac:dyDescent="0.2">
      <c r="A10" s="264" t="str">
        <f>Sheet1!A10</f>
        <v>T/A G.D.Watermark,</v>
      </c>
      <c r="B10" s="265"/>
      <c r="C10" s="265"/>
      <c r="D10" s="266"/>
      <c r="E10" s="267" t="str">
        <f>Sheet1!E10</f>
        <v>Shipped per: CAPE SYROS VOYAGE 092E</v>
      </c>
      <c r="F10" s="268"/>
      <c r="G10" s="268"/>
      <c r="H10" s="268"/>
      <c r="I10" s="269"/>
    </row>
    <row r="11" spans="1:9" x14ac:dyDescent="0.2">
      <c r="A11" s="264" t="str">
        <f>Sheet1!A11</f>
        <v>13, Tesla Link,</v>
      </c>
      <c r="B11" s="265"/>
      <c r="C11" s="265"/>
      <c r="D11" s="266"/>
      <c r="E11" s="267">
        <f>Sheet1!E11</f>
        <v>0</v>
      </c>
      <c r="F11" s="268"/>
      <c r="G11" s="268"/>
      <c r="H11" s="268"/>
      <c r="I11" s="269"/>
    </row>
    <row r="12" spans="1:9" x14ac:dyDescent="0.2">
      <c r="A12" s="270" t="str">
        <f>Sheet1!A12</f>
        <v xml:space="preserve">Wangara WA 6065 (Australia) </v>
      </c>
      <c r="B12" s="271"/>
      <c r="C12" s="271"/>
      <c r="D12" s="272"/>
      <c r="E12" s="261">
        <f>Sheet1!E12</f>
        <v>0</v>
      </c>
      <c r="F12" s="262"/>
      <c r="G12" s="262"/>
      <c r="H12" s="262"/>
      <c r="I12" s="263"/>
    </row>
    <row r="13" spans="1:9" x14ac:dyDescent="0.2">
      <c r="A13" s="270">
        <f>Sheet1!A13</f>
        <v>0</v>
      </c>
      <c r="B13" s="271"/>
      <c r="C13" s="271"/>
      <c r="D13" s="272"/>
      <c r="E13" s="273" t="str">
        <f>Sheet1!E13</f>
        <v>Country of Origin</v>
      </c>
      <c r="F13" s="274"/>
      <c r="G13" s="275"/>
      <c r="H13" s="276" t="str">
        <f>Sheet1!H13</f>
        <v>Country of Final Destination</v>
      </c>
      <c r="I13" s="278"/>
    </row>
    <row r="14" spans="1:9" x14ac:dyDescent="0.2">
      <c r="A14" s="270">
        <f>Sheet1!A14</f>
        <v>0</v>
      </c>
      <c r="B14" s="271"/>
      <c r="C14" s="271"/>
      <c r="D14" s="272"/>
      <c r="E14" s="279" t="str">
        <f>Sheet1!E14</f>
        <v>INDIA</v>
      </c>
      <c r="F14" s="280"/>
      <c r="G14" s="281"/>
      <c r="H14" s="282" t="str">
        <f>Sheet1!H14</f>
        <v>AUSTRALIA</v>
      </c>
      <c r="I14" s="283"/>
    </row>
    <row r="15" spans="1:9" x14ac:dyDescent="0.2">
      <c r="A15" s="293">
        <f>Sheet1!A15</f>
        <v>0</v>
      </c>
      <c r="B15" s="294"/>
      <c r="C15" s="294"/>
      <c r="D15" s="295"/>
      <c r="E15" s="316" t="str">
        <f>Sheet1!E15</f>
        <v xml:space="preserve">Shipping Marks </v>
      </c>
      <c r="F15" s="317"/>
      <c r="G15" s="255" t="str">
        <f>Sheet1!G15</f>
        <v xml:space="preserve">CONTAINER NO : </v>
      </c>
      <c r="H15" s="256"/>
      <c r="I15" s="257"/>
    </row>
    <row r="16" spans="1:9" x14ac:dyDescent="0.2">
      <c r="A16" s="276" t="str">
        <f>Sheet1!A16</f>
        <v>Pre-Carraige by:</v>
      </c>
      <c r="B16" s="277"/>
      <c r="C16" s="278"/>
      <c r="D16" s="44" t="str">
        <f>Sheet1!D16</f>
        <v>Place of Receipt by Pre-Carraige</v>
      </c>
      <c r="E16" s="258" t="str">
        <f>Sheet1!E16</f>
        <v>G.D.W.</v>
      </c>
      <c r="F16" s="260"/>
      <c r="G16" s="270" t="str">
        <f>Sheet1!G16</f>
        <v>OOCU0793142</v>
      </c>
      <c r="H16" s="271"/>
      <c r="I16" s="272"/>
    </row>
    <row r="17" spans="1:9" x14ac:dyDescent="0.2">
      <c r="A17" s="293" t="str">
        <f>Sheet1!A17</f>
        <v xml:space="preserve">                                                              </v>
      </c>
      <c r="B17" s="294"/>
      <c r="C17" s="295"/>
      <c r="D17" s="45">
        <f>Sheet1!D17</f>
        <v>0</v>
      </c>
      <c r="E17" s="270" t="str">
        <f>Sheet1!E17</f>
        <v>2001 - 2421 / 2421</v>
      </c>
      <c r="F17" s="272"/>
      <c r="G17" s="325" t="str">
        <f>Sheet1!G17</f>
        <v xml:space="preserve"> </v>
      </c>
      <c r="H17" s="326"/>
      <c r="I17" s="327"/>
    </row>
    <row r="18" spans="1:9" x14ac:dyDescent="0.2">
      <c r="A18" s="316" t="str">
        <f>Sheet1!A18</f>
        <v>Shipped per:</v>
      </c>
      <c r="B18" s="320"/>
      <c r="C18" s="317"/>
      <c r="D18" s="44" t="str">
        <f>Sheet1!D18</f>
        <v>Port of Loading:</v>
      </c>
      <c r="E18" s="318">
        <f>Sheet1!E18</f>
        <v>0</v>
      </c>
      <c r="F18" s="319"/>
      <c r="G18" s="258" t="str">
        <f>Sheet1!G18</f>
        <v xml:space="preserve">SEAL NO : </v>
      </c>
      <c r="H18" s="259"/>
      <c r="I18" s="260"/>
    </row>
    <row r="19" spans="1:9" x14ac:dyDescent="0.2">
      <c r="A19" s="321">
        <f>Sheet1!A19</f>
        <v>0</v>
      </c>
      <c r="B19" s="322"/>
      <c r="C19" s="323"/>
      <c r="D19" s="46" t="str">
        <f>Sheet1!D19</f>
        <v>NHAVA SHEVA-MUMBAI (INDIA)</v>
      </c>
      <c r="E19" s="270">
        <f>Sheet1!E19</f>
        <v>0</v>
      </c>
      <c r="F19" s="272"/>
      <c r="G19" s="270" t="str">
        <f>Sheet1!G19</f>
        <v>IND-0054079</v>
      </c>
      <c r="H19" s="271"/>
      <c r="I19" s="272"/>
    </row>
    <row r="20" spans="1:9" x14ac:dyDescent="0.2">
      <c r="A20" s="276" t="str">
        <f>Sheet1!A20</f>
        <v>Port of Discharge:</v>
      </c>
      <c r="B20" s="277"/>
      <c r="C20" s="278"/>
      <c r="D20" s="44" t="str">
        <f>Sheet1!D20</f>
        <v>Final Destination:</v>
      </c>
      <c r="E20" s="302">
        <f>Sheet1!E20</f>
        <v>0</v>
      </c>
      <c r="F20" s="303"/>
      <c r="G20" s="270">
        <f>Sheet1!G20</f>
        <v>0</v>
      </c>
      <c r="H20" s="271"/>
      <c r="I20" s="272"/>
    </row>
    <row r="21" spans="1:9" x14ac:dyDescent="0.2">
      <c r="A21" s="304" t="str">
        <f>Sheet1!A21</f>
        <v xml:space="preserve">FREMANTLE </v>
      </c>
      <c r="B21" s="305"/>
      <c r="C21" s="306"/>
      <c r="D21" s="47" t="str">
        <f>Sheet1!D21</f>
        <v xml:space="preserve">FREMANTLE </v>
      </c>
      <c r="E21" s="307">
        <f>Sheet1!E21</f>
        <v>0</v>
      </c>
      <c r="F21" s="308"/>
      <c r="G21" s="293">
        <f>Sheet1!G21</f>
        <v>0</v>
      </c>
      <c r="H21" s="294"/>
      <c r="I21" s="295"/>
    </row>
    <row r="22" spans="1:9" x14ac:dyDescent="0.2">
      <c r="A22" s="8" t="s">
        <v>18</v>
      </c>
      <c r="B22" s="215" t="s">
        <v>19</v>
      </c>
      <c r="C22" s="216"/>
      <c r="D22" s="216"/>
      <c r="E22" s="216"/>
      <c r="F22" s="217"/>
      <c r="G22" s="9" t="s">
        <v>20</v>
      </c>
      <c r="H22" s="213" t="s">
        <v>21</v>
      </c>
      <c r="I22" s="214"/>
    </row>
    <row r="23" spans="1:9" x14ac:dyDescent="0.2">
      <c r="A23" s="10"/>
      <c r="B23" s="218" t="str">
        <f>Sheet1!B23</f>
        <v>421 PACKAGES (343 CARTONS &amp; 78 HDP BUNDLES) CONTAINING PP EXTRUDED</v>
      </c>
      <c r="C23" s="219"/>
      <c r="D23" s="219"/>
      <c r="E23" s="219"/>
      <c r="F23" s="220"/>
      <c r="G23" s="12"/>
      <c r="H23" s="13" t="s">
        <v>22</v>
      </c>
      <c r="I23" s="13" t="s">
        <v>23</v>
      </c>
    </row>
    <row r="24" spans="1:9" x14ac:dyDescent="0.2">
      <c r="A24" s="10"/>
      <c r="B24" s="313" t="str">
        <f>Sheet1!B24</f>
        <v>PIPES, PP &amp; NYLON MOULDED FITTINGS &amp; CORRUGATED BOXES</v>
      </c>
      <c r="C24" s="314"/>
      <c r="D24" s="314"/>
      <c r="E24" s="314"/>
      <c r="F24" s="315"/>
      <c r="G24" s="14"/>
      <c r="H24" s="14" t="s">
        <v>24</v>
      </c>
      <c r="I24" s="14" t="s">
        <v>24</v>
      </c>
    </row>
    <row r="25" spans="1:9" ht="12.75" customHeight="1" x14ac:dyDescent="0.2">
      <c r="A25" s="33"/>
      <c r="B25" s="309" t="s">
        <v>174</v>
      </c>
      <c r="C25" s="310"/>
      <c r="D25" s="310"/>
      <c r="E25" s="310"/>
      <c r="F25" s="311" t="s">
        <v>40</v>
      </c>
      <c r="G25" s="312"/>
      <c r="H25" s="22">
        <f>Sheet1!H76</f>
        <v>4838.9399999999996</v>
      </c>
      <c r="I25" s="22">
        <f>Sheet1!I76</f>
        <v>5138.0899999999974</v>
      </c>
    </row>
    <row r="26" spans="1:9" x14ac:dyDescent="0.2">
      <c r="A26" s="53" t="s">
        <v>30</v>
      </c>
      <c r="B26" s="37" t="s">
        <v>29</v>
      </c>
      <c r="C26" s="56" t="s">
        <v>53</v>
      </c>
      <c r="D26" s="41"/>
      <c r="E26" s="57" t="s">
        <v>46</v>
      </c>
      <c r="F26" s="37" t="s">
        <v>47</v>
      </c>
      <c r="G26" s="34" t="s">
        <v>31</v>
      </c>
      <c r="H26" s="42"/>
      <c r="I26" s="42"/>
    </row>
    <row r="27" spans="1:9" x14ac:dyDescent="0.2">
      <c r="A27" s="32" t="s">
        <v>134</v>
      </c>
      <c r="B27" s="36" t="s">
        <v>136</v>
      </c>
      <c r="C27" s="63">
        <v>15</v>
      </c>
      <c r="D27" s="64"/>
      <c r="E27" s="27">
        <v>300</v>
      </c>
      <c r="F27" s="27">
        <f t="shared" ref="F27" si="0">G27/E27</f>
        <v>1</v>
      </c>
      <c r="G27" s="27">
        <v>300</v>
      </c>
      <c r="H27" s="28">
        <v>11.5</v>
      </c>
      <c r="I27" s="28">
        <v>12.5</v>
      </c>
    </row>
    <row r="28" spans="1:9" s="76" customFormat="1" x14ac:dyDescent="0.2">
      <c r="A28" s="32" t="s">
        <v>135</v>
      </c>
      <c r="B28" s="36" t="s">
        <v>137</v>
      </c>
      <c r="C28" s="63">
        <v>15</v>
      </c>
      <c r="D28" s="64"/>
      <c r="E28" s="27">
        <v>2000</v>
      </c>
      <c r="F28" s="27">
        <f t="shared" ref="F28" si="1">G28/E28</f>
        <v>2</v>
      </c>
      <c r="G28" s="27">
        <v>4000</v>
      </c>
      <c r="H28" s="28">
        <v>17.600000000000001</v>
      </c>
      <c r="I28" s="28">
        <v>19.600000000000001</v>
      </c>
    </row>
    <row r="29" spans="1:9" s="62" customFormat="1" x14ac:dyDescent="0.2">
      <c r="A29" s="84"/>
      <c r="B29" s="185" t="s">
        <v>175</v>
      </c>
      <c r="C29" s="185"/>
      <c r="D29" s="185"/>
      <c r="E29" s="185"/>
      <c r="F29" s="185"/>
      <c r="G29" s="34"/>
      <c r="H29" s="26"/>
      <c r="I29" s="26"/>
    </row>
    <row r="30" spans="1:9" s="68" customFormat="1" x14ac:dyDescent="0.2">
      <c r="A30" s="84" t="s">
        <v>30</v>
      </c>
      <c r="B30" s="37" t="s">
        <v>29</v>
      </c>
      <c r="C30" s="56" t="s">
        <v>53</v>
      </c>
      <c r="D30" s="41"/>
      <c r="E30" s="85" t="s">
        <v>46</v>
      </c>
      <c r="F30" s="37" t="s">
        <v>47</v>
      </c>
      <c r="G30" s="34" t="s">
        <v>31</v>
      </c>
      <c r="H30" s="42"/>
      <c r="I30" s="42"/>
    </row>
    <row r="31" spans="1:9" s="77" customFormat="1" x14ac:dyDescent="0.2">
      <c r="A31" s="32" t="s">
        <v>138</v>
      </c>
      <c r="B31" s="36" t="s">
        <v>149</v>
      </c>
      <c r="C31" s="63">
        <v>15</v>
      </c>
      <c r="D31" s="64"/>
      <c r="E31" s="27">
        <v>2500</v>
      </c>
      <c r="F31" s="27">
        <f t="shared" ref="F31:F41" si="2">G31/E31</f>
        <v>4</v>
      </c>
      <c r="G31" s="27">
        <v>10000</v>
      </c>
      <c r="H31" s="28">
        <v>100</v>
      </c>
      <c r="I31" s="28">
        <v>106</v>
      </c>
    </row>
    <row r="32" spans="1:9" s="77" customFormat="1" x14ac:dyDescent="0.2">
      <c r="A32" s="32" t="s">
        <v>139</v>
      </c>
      <c r="B32" s="36" t="s">
        <v>150</v>
      </c>
      <c r="C32" s="63">
        <v>20</v>
      </c>
      <c r="D32" s="64"/>
      <c r="E32" s="27">
        <v>1500</v>
      </c>
      <c r="F32" s="27">
        <f t="shared" si="2"/>
        <v>2</v>
      </c>
      <c r="G32" s="27">
        <v>3000</v>
      </c>
      <c r="H32" s="28">
        <v>36</v>
      </c>
      <c r="I32" s="28">
        <v>39.4</v>
      </c>
    </row>
    <row r="33" spans="1:9" s="77" customFormat="1" x14ac:dyDescent="0.2">
      <c r="A33" s="32" t="s">
        <v>140</v>
      </c>
      <c r="B33" s="36" t="s">
        <v>151</v>
      </c>
      <c r="C33" s="63">
        <v>25</v>
      </c>
      <c r="D33" s="64"/>
      <c r="E33" s="27">
        <v>900</v>
      </c>
      <c r="F33" s="27">
        <f t="shared" si="2"/>
        <v>1</v>
      </c>
      <c r="G33" s="27">
        <v>900</v>
      </c>
      <c r="H33" s="28">
        <v>16.7</v>
      </c>
      <c r="I33" s="28">
        <v>18</v>
      </c>
    </row>
    <row r="34" spans="1:9" s="77" customFormat="1" x14ac:dyDescent="0.2">
      <c r="A34" s="32" t="s">
        <v>141</v>
      </c>
      <c r="B34" s="36" t="s">
        <v>152</v>
      </c>
      <c r="C34" s="63">
        <v>25</v>
      </c>
      <c r="D34" s="64"/>
      <c r="E34" s="27">
        <v>350</v>
      </c>
      <c r="F34" s="27">
        <f t="shared" si="2"/>
        <v>4</v>
      </c>
      <c r="G34" s="27">
        <v>1400</v>
      </c>
      <c r="H34" s="28">
        <v>51.6</v>
      </c>
      <c r="I34" s="28">
        <v>56</v>
      </c>
    </row>
    <row r="35" spans="1:9" s="77" customFormat="1" x14ac:dyDescent="0.2">
      <c r="A35" s="32" t="s">
        <v>142</v>
      </c>
      <c r="B35" s="36" t="s">
        <v>153</v>
      </c>
      <c r="C35" s="63" t="s">
        <v>60</v>
      </c>
      <c r="D35" s="64"/>
      <c r="E35" s="27">
        <v>900</v>
      </c>
      <c r="F35" s="27">
        <f t="shared" si="2"/>
        <v>2</v>
      </c>
      <c r="G35" s="27">
        <v>1800</v>
      </c>
      <c r="H35" s="28">
        <v>32</v>
      </c>
      <c r="I35" s="28">
        <v>35</v>
      </c>
    </row>
    <row r="36" spans="1:9" s="77" customFormat="1" x14ac:dyDescent="0.2">
      <c r="A36" s="32" t="s">
        <v>143</v>
      </c>
      <c r="B36" s="36" t="s">
        <v>154</v>
      </c>
      <c r="C36" s="63" t="s">
        <v>155</v>
      </c>
      <c r="D36" s="64"/>
      <c r="E36" s="27">
        <v>550</v>
      </c>
      <c r="F36" s="27">
        <f t="shared" si="2"/>
        <v>3</v>
      </c>
      <c r="G36" s="27">
        <v>1650</v>
      </c>
      <c r="H36" s="28">
        <v>42.900000000000006</v>
      </c>
      <c r="I36" s="28">
        <v>46.5</v>
      </c>
    </row>
    <row r="37" spans="1:9" s="77" customFormat="1" x14ac:dyDescent="0.2">
      <c r="A37" s="32" t="s">
        <v>144</v>
      </c>
      <c r="B37" s="36" t="s">
        <v>156</v>
      </c>
      <c r="C37" s="63">
        <v>25</v>
      </c>
      <c r="D37" s="64"/>
      <c r="E37" s="27">
        <v>500</v>
      </c>
      <c r="F37" s="27">
        <f t="shared" si="2"/>
        <v>1</v>
      </c>
      <c r="G37" s="27">
        <v>500</v>
      </c>
      <c r="H37" s="28">
        <v>16.3</v>
      </c>
      <c r="I37" s="28">
        <v>17.5</v>
      </c>
    </row>
    <row r="38" spans="1:9" s="77" customFormat="1" x14ac:dyDescent="0.2">
      <c r="A38" s="32" t="s">
        <v>145</v>
      </c>
      <c r="B38" s="36" t="s">
        <v>157</v>
      </c>
      <c r="C38" s="63">
        <v>15</v>
      </c>
      <c r="D38" s="64"/>
      <c r="E38" s="27">
        <v>540</v>
      </c>
      <c r="F38" s="27">
        <f t="shared" si="2"/>
        <v>4</v>
      </c>
      <c r="G38" s="27">
        <v>2160</v>
      </c>
      <c r="H38" s="28">
        <v>54</v>
      </c>
      <c r="I38" s="28">
        <v>58.8</v>
      </c>
    </row>
    <row r="39" spans="1:9" s="77" customFormat="1" x14ac:dyDescent="0.2">
      <c r="A39" s="32" t="s">
        <v>146</v>
      </c>
      <c r="B39" s="36" t="s">
        <v>158</v>
      </c>
      <c r="C39" s="63">
        <v>20</v>
      </c>
      <c r="D39" s="64"/>
      <c r="E39" s="27">
        <v>350</v>
      </c>
      <c r="F39" s="27">
        <f t="shared" si="2"/>
        <v>2</v>
      </c>
      <c r="G39" s="27">
        <v>700</v>
      </c>
      <c r="H39" s="28">
        <v>28.2</v>
      </c>
      <c r="I39" s="28">
        <v>30.4</v>
      </c>
    </row>
    <row r="40" spans="1:9" s="77" customFormat="1" x14ac:dyDescent="0.2">
      <c r="A40" s="32" t="s">
        <v>147</v>
      </c>
      <c r="B40" s="36" t="s">
        <v>159</v>
      </c>
      <c r="C40" s="63">
        <v>25</v>
      </c>
      <c r="D40" s="64"/>
      <c r="E40" s="27">
        <v>220</v>
      </c>
      <c r="F40" s="27">
        <f t="shared" si="2"/>
        <v>8</v>
      </c>
      <c r="G40" s="27">
        <v>1760</v>
      </c>
      <c r="H40" s="28">
        <v>112</v>
      </c>
      <c r="I40" s="28">
        <v>120</v>
      </c>
    </row>
    <row r="41" spans="1:9" s="77" customFormat="1" x14ac:dyDescent="0.2">
      <c r="A41" s="32" t="s">
        <v>148</v>
      </c>
      <c r="B41" s="36" t="s">
        <v>160</v>
      </c>
      <c r="C41" s="63">
        <v>32</v>
      </c>
      <c r="D41" s="64"/>
      <c r="E41" s="27">
        <v>100</v>
      </c>
      <c r="F41" s="27">
        <f t="shared" si="2"/>
        <v>10</v>
      </c>
      <c r="G41" s="27">
        <v>1000</v>
      </c>
      <c r="H41" s="28">
        <v>98</v>
      </c>
      <c r="I41" s="28">
        <v>106</v>
      </c>
    </row>
    <row r="42" spans="1:9" s="79" customFormat="1" x14ac:dyDescent="0.2">
      <c r="A42" s="80"/>
      <c r="B42" s="185" t="s">
        <v>61</v>
      </c>
      <c r="C42" s="185"/>
      <c r="D42" s="185"/>
      <c r="E42" s="185"/>
      <c r="F42" s="185"/>
      <c r="G42" s="34"/>
      <c r="H42" s="26"/>
      <c r="I42" s="26"/>
    </row>
    <row r="43" spans="1:9" s="79" customFormat="1" ht="12.75" customHeight="1" x14ac:dyDescent="0.2">
      <c r="A43" s="72" t="s">
        <v>30</v>
      </c>
      <c r="B43" s="73" t="s">
        <v>29</v>
      </c>
      <c r="C43" s="330" t="s">
        <v>53</v>
      </c>
      <c r="D43" s="331"/>
      <c r="E43" s="81" t="s">
        <v>299</v>
      </c>
      <c r="F43" s="37" t="s">
        <v>165</v>
      </c>
      <c r="G43" s="74" t="s">
        <v>31</v>
      </c>
      <c r="H43" s="75"/>
      <c r="I43" s="75"/>
    </row>
    <row r="44" spans="1:9" s="79" customFormat="1" ht="12.75" customHeight="1" x14ac:dyDescent="0.2">
      <c r="A44" s="32" t="s">
        <v>161</v>
      </c>
      <c r="B44" s="36" t="s">
        <v>164</v>
      </c>
      <c r="C44" s="332" t="s">
        <v>300</v>
      </c>
      <c r="D44" s="333"/>
      <c r="E44" s="27">
        <v>15</v>
      </c>
      <c r="F44" s="27">
        <f>G44/E44</f>
        <v>50</v>
      </c>
      <c r="G44" s="27">
        <v>750</v>
      </c>
      <c r="H44" s="28">
        <v>408.5</v>
      </c>
      <c r="I44" s="28">
        <v>409.25</v>
      </c>
    </row>
    <row r="45" spans="1:9" s="83" customFormat="1" ht="12.75" customHeight="1" x14ac:dyDescent="0.2">
      <c r="A45" s="88" t="s">
        <v>162</v>
      </c>
      <c r="B45" s="89" t="s">
        <v>63</v>
      </c>
      <c r="C45" s="336" t="s">
        <v>301</v>
      </c>
      <c r="D45" s="337"/>
      <c r="E45" s="90">
        <v>15</v>
      </c>
      <c r="F45" s="90">
        <f>G45/E45</f>
        <v>18</v>
      </c>
      <c r="G45" s="90">
        <v>270</v>
      </c>
      <c r="H45" s="91">
        <v>176.85</v>
      </c>
      <c r="I45" s="91">
        <v>177.12</v>
      </c>
    </row>
    <row r="46" spans="1:9" s="79" customFormat="1" ht="12.75" customHeight="1" x14ac:dyDescent="0.2">
      <c r="A46" s="48" t="s">
        <v>163</v>
      </c>
      <c r="B46" s="49" t="s">
        <v>63</v>
      </c>
      <c r="C46" s="334" t="s">
        <v>301</v>
      </c>
      <c r="D46" s="335"/>
      <c r="E46" s="29">
        <v>7</v>
      </c>
      <c r="F46" s="29">
        <f t="shared" ref="F46" si="3">G46/E46</f>
        <v>1</v>
      </c>
      <c r="G46" s="29">
        <v>7</v>
      </c>
      <c r="H46" s="30">
        <v>9.8249999999999993</v>
      </c>
      <c r="I46" s="30">
        <v>9.84</v>
      </c>
    </row>
    <row r="47" spans="1:9" s="79" customFormat="1" x14ac:dyDescent="0.2">
      <c r="A47" s="54"/>
      <c r="B47" s="55"/>
      <c r="C47" s="23"/>
      <c r="D47" s="50"/>
      <c r="E47" s="21"/>
      <c r="F47" s="21"/>
      <c r="G47" s="21"/>
      <c r="H47" s="22"/>
      <c r="I47" s="22"/>
    </row>
    <row r="48" spans="1:9" s="79" customFormat="1" x14ac:dyDescent="0.2">
      <c r="A48" s="54"/>
      <c r="B48" s="55"/>
      <c r="C48" s="23"/>
      <c r="D48" s="50"/>
      <c r="E48" s="21"/>
      <c r="F48" s="21"/>
      <c r="G48" s="21"/>
      <c r="H48" s="22"/>
      <c r="I48" s="22"/>
    </row>
    <row r="49" spans="1:9" s="79" customFormat="1" x14ac:dyDescent="0.2">
      <c r="A49" s="54"/>
      <c r="B49" s="55"/>
      <c r="C49" s="23"/>
      <c r="D49" s="50"/>
      <c r="E49" s="21"/>
      <c r="F49" s="21"/>
      <c r="G49" s="21"/>
      <c r="H49" s="22"/>
      <c r="I49" s="22"/>
    </row>
    <row r="50" spans="1:9" s="79" customFormat="1" x14ac:dyDescent="0.2">
      <c r="A50" s="54"/>
      <c r="B50" s="55"/>
      <c r="C50" s="23"/>
      <c r="D50" s="50"/>
      <c r="E50" s="21"/>
      <c r="F50" s="21"/>
      <c r="G50" s="21"/>
      <c r="H50" s="22"/>
      <c r="I50" s="22"/>
    </row>
    <row r="51" spans="1:9" s="79" customFormat="1" x14ac:dyDescent="0.2">
      <c r="A51" s="54"/>
      <c r="B51" s="55"/>
      <c r="C51" s="23"/>
      <c r="D51" s="50"/>
      <c r="E51" s="21"/>
      <c r="F51" s="21"/>
      <c r="G51" s="21"/>
      <c r="H51" s="22"/>
      <c r="I51" s="22"/>
    </row>
    <row r="52" spans="1:9" s="79" customFormat="1" x14ac:dyDescent="0.2">
      <c r="A52" s="54"/>
      <c r="B52" s="55"/>
      <c r="C52" s="23"/>
      <c r="D52" s="50"/>
      <c r="E52" s="21"/>
      <c r="F52" s="21"/>
      <c r="G52" s="21"/>
      <c r="H52" s="22"/>
      <c r="I52" s="22"/>
    </row>
    <row r="53" spans="1:9" s="79" customFormat="1" x14ac:dyDescent="0.2">
      <c r="A53" s="54"/>
      <c r="B53" s="55"/>
      <c r="C53" s="23"/>
      <c r="D53" s="50"/>
      <c r="E53" s="21"/>
      <c r="F53" s="21"/>
      <c r="G53" s="21"/>
      <c r="H53" s="22"/>
      <c r="I53" s="22"/>
    </row>
    <row r="54" spans="1:9" s="79" customFormat="1" x14ac:dyDescent="0.2">
      <c r="A54" s="54"/>
      <c r="B54" s="55"/>
      <c r="C54" s="23"/>
      <c r="D54" s="50"/>
      <c r="E54" s="21"/>
      <c r="F54" s="21"/>
      <c r="G54" s="21"/>
      <c r="H54" s="22"/>
      <c r="I54" s="22"/>
    </row>
    <row r="55" spans="1:9" s="79" customFormat="1" x14ac:dyDescent="0.2">
      <c r="A55" s="54"/>
      <c r="B55" s="55"/>
      <c r="C55" s="23"/>
      <c r="D55" s="50"/>
      <c r="E55" s="21"/>
      <c r="F55" s="21"/>
      <c r="G55" s="21"/>
      <c r="H55" s="22"/>
      <c r="I55" s="22"/>
    </row>
    <row r="56" spans="1:9" s="60" customFormat="1" x14ac:dyDescent="0.2">
      <c r="A56" s="54"/>
      <c r="B56" s="55"/>
      <c r="C56" s="23"/>
      <c r="D56" s="50"/>
      <c r="E56" s="21"/>
      <c r="F56" s="21"/>
      <c r="G56" s="21"/>
      <c r="H56" s="22"/>
      <c r="I56" s="22"/>
    </row>
    <row r="57" spans="1:9" s="60" customFormat="1" x14ac:dyDescent="0.2">
      <c r="A57" s="54"/>
      <c r="B57" s="55"/>
      <c r="C57" s="23"/>
      <c r="D57" s="50"/>
      <c r="E57" s="21"/>
      <c r="F57" s="21"/>
      <c r="G57" s="21"/>
      <c r="H57" s="22"/>
      <c r="I57" s="22"/>
    </row>
    <row r="58" spans="1:9" s="60" customFormat="1" x14ac:dyDescent="0.2">
      <c r="A58" s="54"/>
      <c r="B58" s="55"/>
      <c r="C58" s="23"/>
      <c r="D58" s="50"/>
      <c r="E58" s="21"/>
      <c r="F58" s="21"/>
      <c r="G58" s="21"/>
      <c r="H58" s="22"/>
      <c r="I58" s="22"/>
    </row>
    <row r="59" spans="1:9" s="60" customFormat="1" x14ac:dyDescent="0.2">
      <c r="A59" s="54"/>
      <c r="B59" s="55"/>
      <c r="C59" s="23"/>
      <c r="D59" s="50"/>
      <c r="E59" s="21"/>
      <c r="F59" s="21"/>
      <c r="G59" s="21"/>
      <c r="H59" s="22"/>
      <c r="I59" s="22"/>
    </row>
    <row r="60" spans="1:9" s="69" customFormat="1" x14ac:dyDescent="0.2">
      <c r="A60" s="54"/>
      <c r="B60" s="55"/>
      <c r="C60" s="23"/>
      <c r="D60" s="50"/>
      <c r="E60" s="21"/>
      <c r="F60" s="21"/>
      <c r="G60" s="21"/>
      <c r="H60" s="22"/>
      <c r="I60" s="22"/>
    </row>
    <row r="61" spans="1:9" s="69" customFormat="1" x14ac:dyDescent="0.2">
      <c r="A61" s="54"/>
      <c r="B61" s="55"/>
      <c r="C61" s="23"/>
      <c r="D61" s="50"/>
      <c r="E61" s="21"/>
      <c r="F61" s="21"/>
      <c r="G61" s="21"/>
      <c r="H61" s="22"/>
      <c r="I61" s="22"/>
    </row>
    <row r="62" spans="1:9" s="60" customFormat="1" x14ac:dyDescent="0.2">
      <c r="A62" s="54"/>
      <c r="B62" s="55"/>
      <c r="C62" s="23"/>
      <c r="D62" s="50"/>
      <c r="E62" s="21"/>
      <c r="F62" s="21"/>
      <c r="G62" s="21"/>
      <c r="H62" s="22"/>
      <c r="I62" s="22"/>
    </row>
    <row r="63" spans="1:9" x14ac:dyDescent="0.2">
      <c r="A63" s="54"/>
      <c r="B63" s="55"/>
      <c r="C63" s="23"/>
      <c r="D63" s="50"/>
      <c r="E63" s="21"/>
      <c r="F63" s="21"/>
      <c r="G63" s="21"/>
      <c r="H63" s="22"/>
      <c r="I63" s="22"/>
    </row>
    <row r="64" spans="1:9" ht="12.75" customHeight="1" x14ac:dyDescent="0.2">
      <c r="A64" s="54"/>
      <c r="B64" s="55"/>
      <c r="C64" s="23"/>
      <c r="D64" s="50"/>
      <c r="E64" s="21"/>
      <c r="F64" s="21"/>
      <c r="G64" s="21"/>
      <c r="H64" s="22"/>
      <c r="I64" s="22"/>
    </row>
    <row r="65" spans="1:11" ht="12.75" customHeight="1" x14ac:dyDescent="0.2">
      <c r="A65" s="54"/>
      <c r="B65" s="55"/>
      <c r="C65" s="23"/>
      <c r="D65" s="50"/>
      <c r="E65" s="21"/>
      <c r="F65" s="21"/>
      <c r="G65" s="21"/>
      <c r="H65" s="22"/>
      <c r="I65" s="22"/>
    </row>
    <row r="66" spans="1:11" x14ac:dyDescent="0.2">
      <c r="A66" s="54"/>
      <c r="B66" s="55"/>
      <c r="C66" s="23"/>
      <c r="D66" s="50"/>
      <c r="E66" s="21"/>
      <c r="F66" s="21"/>
      <c r="G66" s="21"/>
      <c r="H66" s="22"/>
      <c r="I66" s="22"/>
    </row>
    <row r="67" spans="1:11" s="66" customFormat="1" x14ac:dyDescent="0.2">
      <c r="A67" s="54"/>
      <c r="B67" s="55"/>
      <c r="C67" s="23"/>
      <c r="D67" s="50"/>
      <c r="E67" s="21"/>
      <c r="F67" s="21"/>
      <c r="G67" s="21"/>
      <c r="H67" s="22"/>
      <c r="I67" s="22"/>
    </row>
    <row r="68" spans="1:11" x14ac:dyDescent="0.2">
      <c r="A68" s="54"/>
      <c r="B68" s="55"/>
      <c r="C68" s="23"/>
      <c r="D68" s="50"/>
      <c r="E68" s="21"/>
      <c r="F68" s="21"/>
      <c r="G68" s="21"/>
      <c r="H68" s="22"/>
      <c r="I68" s="22"/>
    </row>
    <row r="69" spans="1:11" x14ac:dyDescent="0.2">
      <c r="A69" s="54"/>
      <c r="B69" s="55"/>
      <c r="C69" s="23"/>
      <c r="D69" s="50"/>
      <c r="E69" s="21"/>
      <c r="F69" s="21"/>
      <c r="G69" s="21"/>
      <c r="H69" s="22"/>
      <c r="I69" s="22"/>
    </row>
    <row r="70" spans="1:11" x14ac:dyDescent="0.2">
      <c r="A70" s="54"/>
      <c r="B70" s="55"/>
      <c r="C70" s="23"/>
      <c r="D70" s="50"/>
      <c r="E70" s="21"/>
      <c r="F70" s="21"/>
      <c r="G70" s="21"/>
      <c r="H70" s="22"/>
      <c r="I70" s="22"/>
    </row>
    <row r="71" spans="1:11" x14ac:dyDescent="0.2">
      <c r="A71" s="10"/>
      <c r="B71" s="23"/>
      <c r="C71" s="23"/>
      <c r="D71" s="65"/>
      <c r="E71" s="21"/>
      <c r="F71" s="21"/>
      <c r="G71" s="21"/>
      <c r="H71" s="22"/>
      <c r="I71" s="22"/>
    </row>
    <row r="72" spans="1:11" x14ac:dyDescent="0.2">
      <c r="A72" s="2"/>
      <c r="B72" s="24"/>
      <c r="C72" s="24"/>
      <c r="D72" s="38" t="s">
        <v>48</v>
      </c>
      <c r="E72" s="25"/>
      <c r="F72" s="25"/>
      <c r="G72" s="25"/>
      <c r="H72" s="26">
        <f>SUM(H25:H71)</f>
        <v>6050.915</v>
      </c>
      <c r="I72" s="26">
        <f>SUM(I25:I71)</f>
        <v>6399.9999999999973</v>
      </c>
      <c r="J72" s="78"/>
      <c r="K72" s="78"/>
    </row>
    <row r="73" spans="1:11" ht="12.75" customHeight="1" x14ac:dyDescent="0.2">
      <c r="A73" s="324"/>
      <c r="B73" s="324"/>
      <c r="C73" s="324"/>
      <c r="D73" s="324"/>
      <c r="E73" s="324"/>
      <c r="F73" s="296" t="str">
        <f>Sheet1!F77</f>
        <v>FOR JAIKVIN GLOBAL</v>
      </c>
      <c r="G73" s="297"/>
      <c r="H73" s="297"/>
      <c r="I73" s="298"/>
    </row>
    <row r="74" spans="1:11" ht="12.75" customHeight="1" x14ac:dyDescent="0.2">
      <c r="A74" s="324"/>
      <c r="B74" s="324"/>
      <c r="C74" s="324"/>
      <c r="D74" s="324"/>
      <c r="E74" s="324"/>
      <c r="F74" s="299"/>
      <c r="G74" s="300"/>
      <c r="H74" s="300"/>
      <c r="I74" s="301"/>
    </row>
    <row r="75" spans="1:11" s="71" customFormat="1" ht="12.75" customHeight="1" x14ac:dyDescent="0.2">
      <c r="A75" s="324"/>
      <c r="B75" s="324"/>
      <c r="C75" s="324"/>
      <c r="D75" s="324"/>
      <c r="E75" s="324"/>
      <c r="F75" s="299"/>
      <c r="G75" s="300"/>
      <c r="H75" s="300"/>
      <c r="I75" s="301"/>
    </row>
    <row r="76" spans="1:11" ht="12.75" customHeight="1" x14ac:dyDescent="0.2">
      <c r="A76" s="324"/>
      <c r="B76" s="324"/>
      <c r="C76" s="324"/>
      <c r="D76" s="324"/>
      <c r="E76" s="324"/>
      <c r="F76" s="299"/>
      <c r="G76" s="300"/>
      <c r="H76" s="300"/>
      <c r="I76" s="301"/>
    </row>
    <row r="77" spans="1:11" ht="12.75" customHeight="1" x14ac:dyDescent="0.2">
      <c r="A77" s="324"/>
      <c r="B77" s="324"/>
      <c r="C77" s="324"/>
      <c r="D77" s="324"/>
      <c r="E77" s="324"/>
      <c r="F77" s="299"/>
      <c r="G77" s="300"/>
      <c r="H77" s="300"/>
      <c r="I77" s="301"/>
    </row>
    <row r="78" spans="1:11" ht="12.75" customHeight="1" x14ac:dyDescent="0.2">
      <c r="A78" s="324"/>
      <c r="B78" s="324"/>
      <c r="C78" s="324"/>
      <c r="D78" s="324"/>
      <c r="E78" s="324"/>
      <c r="F78" s="293"/>
      <c r="G78" s="294"/>
      <c r="H78" s="328" t="str">
        <f>Sheet1!H81</f>
        <v>PROPRIETOR</v>
      </c>
      <c r="I78" s="329"/>
    </row>
    <row r="81" spans="5:5" x14ac:dyDescent="0.2">
      <c r="E81" s="78"/>
    </row>
  </sheetData>
  <mergeCells count="73">
    <mergeCell ref="H78:I78"/>
    <mergeCell ref="G19:I19"/>
    <mergeCell ref="B42:F42"/>
    <mergeCell ref="C43:D43"/>
    <mergeCell ref="C44:D44"/>
    <mergeCell ref="C46:D46"/>
    <mergeCell ref="B29:F29"/>
    <mergeCell ref="C45:D45"/>
    <mergeCell ref="A16:C16"/>
    <mergeCell ref="E16:F16"/>
    <mergeCell ref="G16:I16"/>
    <mergeCell ref="A17:C17"/>
    <mergeCell ref="E17:F17"/>
    <mergeCell ref="G17:I17"/>
    <mergeCell ref="E18:F18"/>
    <mergeCell ref="A18:C18"/>
    <mergeCell ref="A19:C19"/>
    <mergeCell ref="E19:F19"/>
    <mergeCell ref="A73:E78"/>
    <mergeCell ref="F78:G78"/>
    <mergeCell ref="A15:D15"/>
    <mergeCell ref="F73:I73"/>
    <mergeCell ref="F74:I77"/>
    <mergeCell ref="A20:C20"/>
    <mergeCell ref="E20:F20"/>
    <mergeCell ref="G20:I20"/>
    <mergeCell ref="A21:C21"/>
    <mergeCell ref="E21:F21"/>
    <mergeCell ref="G21:I21"/>
    <mergeCell ref="B25:E25"/>
    <mergeCell ref="F25:G25"/>
    <mergeCell ref="B22:F22"/>
    <mergeCell ref="H22:I22"/>
    <mergeCell ref="B23:F23"/>
    <mergeCell ref="B24:F24"/>
    <mergeCell ref="E15:F15"/>
    <mergeCell ref="H13:I13"/>
    <mergeCell ref="A14:D14"/>
    <mergeCell ref="E14:G14"/>
    <mergeCell ref="H14:I14"/>
    <mergeCell ref="A1:G1"/>
    <mergeCell ref="H1:I1"/>
    <mergeCell ref="A2:D3"/>
    <mergeCell ref="E2:F2"/>
    <mergeCell ref="A5:D5"/>
    <mergeCell ref="E5:F5"/>
    <mergeCell ref="E8:I8"/>
    <mergeCell ref="G2:I2"/>
    <mergeCell ref="E3:F3"/>
    <mergeCell ref="G3:I3"/>
    <mergeCell ref="A4:D4"/>
    <mergeCell ref="E4:F4"/>
    <mergeCell ref="G15:I15"/>
    <mergeCell ref="G18:I18"/>
    <mergeCell ref="A7:D7"/>
    <mergeCell ref="E7:F7"/>
    <mergeCell ref="G7:I7"/>
    <mergeCell ref="E12:I12"/>
    <mergeCell ref="A9:D9"/>
    <mergeCell ref="E9:I9"/>
    <mergeCell ref="A10:D10"/>
    <mergeCell ref="E10:I10"/>
    <mergeCell ref="A11:D11"/>
    <mergeCell ref="E11:I11"/>
    <mergeCell ref="A12:D12"/>
    <mergeCell ref="A13:D13"/>
    <mergeCell ref="E13:G13"/>
    <mergeCell ref="A8:C8"/>
    <mergeCell ref="G4:I4"/>
    <mergeCell ref="G5:I5"/>
    <mergeCell ref="A6:D6"/>
    <mergeCell ref="E6:F6"/>
    <mergeCell ref="G6:I6"/>
  </mergeCells>
  <pageMargins left="0.39370078740157483" right="0.39370078740157483" top="0.39370078740157483" bottom="0.39370078740157483" header="0" footer="0"/>
  <pageSetup paperSize="9" scale="8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J57"/>
  <sheetViews>
    <sheetView workbookViewId="0">
      <selection sqref="A1:J1"/>
    </sheetView>
  </sheetViews>
  <sheetFormatPr defaultColWidth="10.6640625" defaultRowHeight="12.75" x14ac:dyDescent="0.2"/>
  <cols>
    <col min="1" max="1" width="15.6640625" style="92" bestFit="1" customWidth="1"/>
    <col min="2" max="2" width="14.6640625" style="92" customWidth="1"/>
    <col min="3" max="3" width="15.6640625" style="92" customWidth="1"/>
    <col min="4" max="4" width="9" style="92" bestFit="1" customWidth="1"/>
    <col min="5" max="5" width="10" style="92" bestFit="1" customWidth="1"/>
    <col min="6" max="6" width="7" style="92" bestFit="1" customWidth="1"/>
    <col min="7" max="7" width="7.1640625" style="92" bestFit="1" customWidth="1"/>
    <col min="8" max="8" width="29.33203125" style="92" customWidth="1"/>
    <col min="9" max="10" width="10.6640625" style="92" customWidth="1"/>
    <col min="11" max="16384" width="10.6640625" style="92"/>
  </cols>
  <sheetData>
    <row r="1" spans="1:10" x14ac:dyDescent="0.2">
      <c r="A1" s="338" t="s">
        <v>176</v>
      </c>
      <c r="B1" s="338"/>
      <c r="C1" s="338"/>
      <c r="D1" s="338"/>
      <c r="E1" s="338"/>
      <c r="F1" s="338"/>
      <c r="G1" s="338"/>
      <c r="H1" s="338"/>
      <c r="I1" s="338"/>
      <c r="J1" s="338"/>
    </row>
    <row r="2" spans="1:10" ht="12.75" customHeight="1" x14ac:dyDescent="0.2">
      <c r="A2" s="93" t="s">
        <v>177</v>
      </c>
      <c r="B2" s="94" t="s">
        <v>178</v>
      </c>
      <c r="C2" s="339" t="s">
        <v>179</v>
      </c>
      <c r="D2" s="95" t="s">
        <v>180</v>
      </c>
      <c r="E2" s="95" t="s">
        <v>181</v>
      </c>
      <c r="F2" s="340" t="s">
        <v>182</v>
      </c>
      <c r="G2" s="341"/>
      <c r="H2" s="342" t="s">
        <v>183</v>
      </c>
      <c r="I2" s="340" t="s">
        <v>184</v>
      </c>
      <c r="J2" s="341"/>
    </row>
    <row r="3" spans="1:10" x14ac:dyDescent="0.2">
      <c r="A3" s="96" t="s">
        <v>185</v>
      </c>
      <c r="B3" s="97" t="s">
        <v>185</v>
      </c>
      <c r="C3" s="339"/>
      <c r="D3" s="95" t="s">
        <v>186</v>
      </c>
      <c r="E3" s="95" t="s">
        <v>187</v>
      </c>
      <c r="F3" s="95" t="s">
        <v>188</v>
      </c>
      <c r="G3" s="95" t="s">
        <v>189</v>
      </c>
      <c r="H3" s="343"/>
      <c r="I3" s="95" t="s">
        <v>190</v>
      </c>
      <c r="J3" s="95" t="s">
        <v>189</v>
      </c>
    </row>
    <row r="4" spans="1:10" s="105" customFormat="1" ht="25.5" x14ac:dyDescent="0.2">
      <c r="A4" s="99" t="s">
        <v>54</v>
      </c>
      <c r="B4" s="100" t="s">
        <v>54</v>
      </c>
      <c r="C4" s="101" t="s">
        <v>191</v>
      </c>
      <c r="D4" s="102">
        <v>15</v>
      </c>
      <c r="E4" s="103">
        <v>225</v>
      </c>
      <c r="F4" s="103">
        <v>10</v>
      </c>
      <c r="G4" s="103">
        <v>400</v>
      </c>
      <c r="H4" s="104" t="s">
        <v>192</v>
      </c>
      <c r="I4" s="98">
        <v>6000</v>
      </c>
      <c r="J4" s="98">
        <f t="shared" ref="J4:J11" si="0">$I4/$G4</f>
        <v>15</v>
      </c>
    </row>
    <row r="5" spans="1:10" ht="25.5" x14ac:dyDescent="0.2">
      <c r="A5" s="107" t="s">
        <v>57</v>
      </c>
      <c r="B5" s="108" t="s">
        <v>57</v>
      </c>
      <c r="C5" s="109" t="s">
        <v>191</v>
      </c>
      <c r="D5" s="110">
        <v>15</v>
      </c>
      <c r="E5" s="111">
        <v>457</v>
      </c>
      <c r="F5" s="111">
        <v>10</v>
      </c>
      <c r="G5" s="111">
        <v>200</v>
      </c>
      <c r="H5" s="112" t="s">
        <v>193</v>
      </c>
      <c r="I5" s="106">
        <v>7200</v>
      </c>
      <c r="J5" s="106">
        <f t="shared" si="0"/>
        <v>36</v>
      </c>
    </row>
    <row r="6" spans="1:10" ht="25.5" x14ac:dyDescent="0.2">
      <c r="A6" s="113">
        <v>90441400</v>
      </c>
      <c r="B6" s="114" t="s">
        <v>194</v>
      </c>
      <c r="C6" s="95" t="s">
        <v>191</v>
      </c>
      <c r="D6" s="110" t="s">
        <v>58</v>
      </c>
      <c r="E6" s="111">
        <v>450</v>
      </c>
      <c r="F6" s="111">
        <v>10</v>
      </c>
      <c r="G6" s="111">
        <v>200</v>
      </c>
      <c r="H6" s="112" t="s">
        <v>195</v>
      </c>
      <c r="I6" s="106">
        <v>2600</v>
      </c>
      <c r="J6" s="106">
        <f t="shared" si="0"/>
        <v>13</v>
      </c>
    </row>
    <row r="7" spans="1:10" ht="25.5" x14ac:dyDescent="0.2">
      <c r="A7" s="107" t="s">
        <v>110</v>
      </c>
      <c r="B7" s="108" t="s">
        <v>110</v>
      </c>
      <c r="C7" s="109" t="s">
        <v>191</v>
      </c>
      <c r="D7" s="110">
        <v>15</v>
      </c>
      <c r="E7" s="111">
        <v>610</v>
      </c>
      <c r="F7" s="111">
        <v>10</v>
      </c>
      <c r="G7" s="111">
        <v>100</v>
      </c>
      <c r="H7" s="112" t="s">
        <v>196</v>
      </c>
      <c r="I7" s="106">
        <v>2300</v>
      </c>
      <c r="J7" s="106">
        <f t="shared" si="0"/>
        <v>23</v>
      </c>
    </row>
    <row r="8" spans="1:10" ht="25.5" x14ac:dyDescent="0.2">
      <c r="A8" s="113">
        <v>90441600</v>
      </c>
      <c r="B8" s="114" t="s">
        <v>197</v>
      </c>
      <c r="C8" s="95" t="s">
        <v>191</v>
      </c>
      <c r="D8" s="110" t="s">
        <v>58</v>
      </c>
      <c r="E8" s="111">
        <v>600</v>
      </c>
      <c r="F8" s="111">
        <v>10</v>
      </c>
      <c r="G8" s="111">
        <v>100</v>
      </c>
      <c r="H8" s="112" t="s">
        <v>198</v>
      </c>
      <c r="I8" s="106">
        <v>1600</v>
      </c>
      <c r="J8" s="106">
        <f t="shared" si="0"/>
        <v>16</v>
      </c>
    </row>
    <row r="9" spans="1:10" ht="25.5" x14ac:dyDescent="0.2">
      <c r="A9" s="107" t="s">
        <v>62</v>
      </c>
      <c r="B9" s="108" t="s">
        <v>62</v>
      </c>
      <c r="C9" s="109" t="s">
        <v>199</v>
      </c>
      <c r="D9" s="110">
        <v>15</v>
      </c>
      <c r="E9" s="111">
        <v>915</v>
      </c>
      <c r="F9" s="111">
        <v>10</v>
      </c>
      <c r="G9" s="111">
        <v>100</v>
      </c>
      <c r="H9" s="112" t="s">
        <v>200</v>
      </c>
      <c r="I9" s="106">
        <v>1000</v>
      </c>
      <c r="J9" s="106">
        <f t="shared" si="0"/>
        <v>10</v>
      </c>
    </row>
    <row r="10" spans="1:10" ht="25.5" x14ac:dyDescent="0.2">
      <c r="A10" s="115">
        <v>90441800</v>
      </c>
      <c r="B10" s="112" t="s">
        <v>201</v>
      </c>
      <c r="C10" s="116" t="s">
        <v>199</v>
      </c>
      <c r="D10" s="110" t="s">
        <v>58</v>
      </c>
      <c r="E10" s="111">
        <v>900</v>
      </c>
      <c r="F10" s="111">
        <v>10</v>
      </c>
      <c r="G10" s="111">
        <v>100</v>
      </c>
      <c r="H10" s="112" t="s">
        <v>202</v>
      </c>
      <c r="I10" s="106">
        <v>700</v>
      </c>
      <c r="J10" s="106">
        <f t="shared" si="0"/>
        <v>7</v>
      </c>
    </row>
    <row r="11" spans="1:10" ht="25.5" x14ac:dyDescent="0.2">
      <c r="A11" s="107" t="s">
        <v>59</v>
      </c>
      <c r="B11" s="108" t="s">
        <v>59</v>
      </c>
      <c r="C11" s="109" t="s">
        <v>199</v>
      </c>
      <c r="D11" s="110">
        <v>15</v>
      </c>
      <c r="E11" s="111">
        <v>1220</v>
      </c>
      <c r="F11" s="111">
        <v>10</v>
      </c>
      <c r="G11" s="111">
        <v>50</v>
      </c>
      <c r="H11" s="112" t="s">
        <v>203</v>
      </c>
      <c r="I11" s="106">
        <v>50</v>
      </c>
      <c r="J11" s="106">
        <f t="shared" si="0"/>
        <v>1</v>
      </c>
    </row>
    <row r="12" spans="1:10" ht="15" x14ac:dyDescent="0.2">
      <c r="A12" s="117" t="s">
        <v>204</v>
      </c>
      <c r="B12" s="118" t="s">
        <v>204</v>
      </c>
      <c r="C12" s="119"/>
      <c r="D12" s="120"/>
      <c r="E12" s="111"/>
      <c r="F12" s="111"/>
      <c r="G12" s="111"/>
      <c r="H12" s="121"/>
      <c r="I12" s="106"/>
      <c r="J12" s="106"/>
    </row>
    <row r="13" spans="1:10" ht="25.5" x14ac:dyDescent="0.2">
      <c r="A13" s="107" t="s">
        <v>111</v>
      </c>
      <c r="B13" s="122" t="s">
        <v>111</v>
      </c>
      <c r="C13" s="109" t="s">
        <v>191</v>
      </c>
      <c r="D13" s="110">
        <v>20</v>
      </c>
      <c r="E13" s="111">
        <v>100</v>
      </c>
      <c r="F13" s="111">
        <v>10</v>
      </c>
      <c r="G13" s="111">
        <v>500</v>
      </c>
      <c r="H13" s="112" t="s">
        <v>205</v>
      </c>
      <c r="I13" s="106">
        <v>500</v>
      </c>
      <c r="J13" s="106">
        <f t="shared" ref="J13:J18" si="1">$I13/$G13</f>
        <v>1</v>
      </c>
    </row>
    <row r="14" spans="1:10" ht="25.5" x14ac:dyDescent="0.2">
      <c r="A14" s="113">
        <v>90447000</v>
      </c>
      <c r="B14" s="114" t="s">
        <v>206</v>
      </c>
      <c r="C14" s="95" t="s">
        <v>191</v>
      </c>
      <c r="D14" s="110" t="s">
        <v>43</v>
      </c>
      <c r="E14" s="111">
        <v>240</v>
      </c>
      <c r="F14" s="111">
        <v>10</v>
      </c>
      <c r="G14" s="111">
        <v>250</v>
      </c>
      <c r="H14" s="112" t="s">
        <v>207</v>
      </c>
      <c r="I14" s="106">
        <v>4000</v>
      </c>
      <c r="J14" s="106">
        <f t="shared" si="1"/>
        <v>16</v>
      </c>
    </row>
    <row r="15" spans="1:10" ht="25.5" x14ac:dyDescent="0.2">
      <c r="A15" s="107" t="s">
        <v>112</v>
      </c>
      <c r="B15" s="108" t="s">
        <v>112</v>
      </c>
      <c r="C15" s="109" t="s">
        <v>199</v>
      </c>
      <c r="D15" s="110">
        <v>20</v>
      </c>
      <c r="E15" s="111">
        <v>457</v>
      </c>
      <c r="F15" s="111">
        <v>10</v>
      </c>
      <c r="G15" s="111">
        <v>100</v>
      </c>
      <c r="H15" s="112" t="s">
        <v>208</v>
      </c>
      <c r="I15" s="106">
        <v>400</v>
      </c>
      <c r="J15" s="106">
        <f t="shared" si="1"/>
        <v>4</v>
      </c>
    </row>
    <row r="16" spans="1:10" ht="25.5" x14ac:dyDescent="0.2">
      <c r="A16" s="113">
        <v>90442400</v>
      </c>
      <c r="B16" s="114" t="s">
        <v>209</v>
      </c>
      <c r="C16" s="95" t="s">
        <v>199</v>
      </c>
      <c r="D16" s="110" t="s">
        <v>43</v>
      </c>
      <c r="E16" s="111">
        <v>450</v>
      </c>
      <c r="F16" s="111">
        <v>10</v>
      </c>
      <c r="G16" s="111">
        <v>100</v>
      </c>
      <c r="H16" s="112" t="s">
        <v>210</v>
      </c>
      <c r="I16" s="106">
        <v>1600</v>
      </c>
      <c r="J16" s="106">
        <f t="shared" si="1"/>
        <v>16</v>
      </c>
    </row>
    <row r="17" spans="1:10" ht="25.5" x14ac:dyDescent="0.2">
      <c r="A17" s="107" t="s">
        <v>113</v>
      </c>
      <c r="B17" s="108" t="s">
        <v>113</v>
      </c>
      <c r="C17" s="109" t="s">
        <v>199</v>
      </c>
      <c r="D17" s="110">
        <v>20</v>
      </c>
      <c r="E17" s="111">
        <v>610</v>
      </c>
      <c r="F17" s="111">
        <v>10</v>
      </c>
      <c r="G17" s="111">
        <v>100</v>
      </c>
      <c r="H17" s="112" t="s">
        <v>211</v>
      </c>
      <c r="I17" s="106">
        <v>1000</v>
      </c>
      <c r="J17" s="106">
        <f t="shared" si="1"/>
        <v>10</v>
      </c>
    </row>
    <row r="18" spans="1:10" ht="25.5" x14ac:dyDescent="0.2">
      <c r="A18" s="113">
        <v>90442700</v>
      </c>
      <c r="B18" s="114" t="s">
        <v>212</v>
      </c>
      <c r="C18" s="95" t="s">
        <v>199</v>
      </c>
      <c r="D18" s="110" t="s">
        <v>43</v>
      </c>
      <c r="E18" s="111">
        <v>750</v>
      </c>
      <c r="F18" s="111">
        <v>10</v>
      </c>
      <c r="G18" s="111">
        <v>100</v>
      </c>
      <c r="H18" s="112" t="s">
        <v>213</v>
      </c>
      <c r="I18" s="106">
        <v>500</v>
      </c>
      <c r="J18" s="106">
        <f t="shared" si="1"/>
        <v>5</v>
      </c>
    </row>
    <row r="19" spans="1:10" ht="15" x14ac:dyDescent="0.2">
      <c r="A19" s="117" t="s">
        <v>214</v>
      </c>
      <c r="B19" s="118" t="s">
        <v>214</v>
      </c>
      <c r="C19" s="119"/>
      <c r="D19" s="120"/>
      <c r="E19" s="123"/>
      <c r="F19" s="95"/>
      <c r="G19" s="95"/>
      <c r="H19" s="124"/>
      <c r="I19" s="106"/>
      <c r="J19" s="106"/>
    </row>
    <row r="20" spans="1:10" ht="25.5" x14ac:dyDescent="0.2">
      <c r="A20" s="107" t="s">
        <v>114</v>
      </c>
      <c r="B20" s="122" t="s">
        <v>114</v>
      </c>
      <c r="C20" s="109" t="s">
        <v>191</v>
      </c>
      <c r="D20" s="110">
        <v>25</v>
      </c>
      <c r="E20" s="111">
        <v>200</v>
      </c>
      <c r="F20" s="111">
        <v>10</v>
      </c>
      <c r="G20" s="111">
        <v>150</v>
      </c>
      <c r="H20" s="112" t="s">
        <v>215</v>
      </c>
      <c r="I20" s="106">
        <v>600</v>
      </c>
      <c r="J20" s="106">
        <f t="shared" ref="J20:J28" si="2">$I20/$G20</f>
        <v>4</v>
      </c>
    </row>
    <row r="21" spans="1:10" ht="25.5" x14ac:dyDescent="0.2">
      <c r="A21" s="113">
        <v>90448000</v>
      </c>
      <c r="B21" s="114" t="s">
        <v>216</v>
      </c>
      <c r="C21" s="95" t="s">
        <v>199</v>
      </c>
      <c r="D21" s="110" t="s">
        <v>44</v>
      </c>
      <c r="E21" s="111">
        <v>270</v>
      </c>
      <c r="F21" s="111">
        <v>10</v>
      </c>
      <c r="G21" s="111">
        <v>100</v>
      </c>
      <c r="H21" s="112" t="s">
        <v>217</v>
      </c>
      <c r="I21" s="106">
        <v>500</v>
      </c>
      <c r="J21" s="106">
        <f t="shared" si="2"/>
        <v>5</v>
      </c>
    </row>
    <row r="22" spans="1:10" ht="25.5" x14ac:dyDescent="0.2">
      <c r="A22" s="107" t="s">
        <v>115</v>
      </c>
      <c r="B22" s="108" t="s">
        <v>115</v>
      </c>
      <c r="C22" s="109" t="s">
        <v>199</v>
      </c>
      <c r="D22" s="110">
        <v>25</v>
      </c>
      <c r="E22" s="111">
        <v>375</v>
      </c>
      <c r="F22" s="111">
        <v>10</v>
      </c>
      <c r="G22" s="111">
        <v>100</v>
      </c>
      <c r="H22" s="112" t="s">
        <v>218</v>
      </c>
      <c r="I22" s="106">
        <v>1000</v>
      </c>
      <c r="J22" s="106">
        <f t="shared" si="2"/>
        <v>10</v>
      </c>
    </row>
    <row r="23" spans="1:10" ht="25.5" x14ac:dyDescent="0.2">
      <c r="A23" s="107" t="s">
        <v>55</v>
      </c>
      <c r="B23" s="108" t="s">
        <v>55</v>
      </c>
      <c r="C23" s="109" t="s">
        <v>199</v>
      </c>
      <c r="D23" s="110">
        <v>25</v>
      </c>
      <c r="E23" s="111">
        <v>457</v>
      </c>
      <c r="F23" s="111">
        <v>10</v>
      </c>
      <c r="G23" s="111">
        <v>100</v>
      </c>
      <c r="H23" s="112" t="s">
        <v>219</v>
      </c>
      <c r="I23" s="106">
        <v>2300</v>
      </c>
      <c r="J23" s="106">
        <f t="shared" si="2"/>
        <v>23</v>
      </c>
    </row>
    <row r="24" spans="1:10" ht="25.5" x14ac:dyDescent="0.2">
      <c r="A24" s="113">
        <v>90443400</v>
      </c>
      <c r="B24" s="114" t="s">
        <v>220</v>
      </c>
      <c r="C24" s="95" t="s">
        <v>199</v>
      </c>
      <c r="D24" s="110" t="s">
        <v>44</v>
      </c>
      <c r="E24" s="111">
        <v>450</v>
      </c>
      <c r="F24" s="111">
        <v>10</v>
      </c>
      <c r="G24" s="111">
        <v>100</v>
      </c>
      <c r="H24" s="112" t="s">
        <v>221</v>
      </c>
      <c r="I24" s="106">
        <v>800</v>
      </c>
      <c r="J24" s="106">
        <f t="shared" si="2"/>
        <v>8</v>
      </c>
    </row>
    <row r="25" spans="1:10" ht="25.5" x14ac:dyDescent="0.2">
      <c r="A25" s="107" t="s">
        <v>116</v>
      </c>
      <c r="B25" s="108" t="s">
        <v>116</v>
      </c>
      <c r="C25" s="109" t="s">
        <v>199</v>
      </c>
      <c r="D25" s="110">
        <v>25</v>
      </c>
      <c r="E25" s="111">
        <v>610</v>
      </c>
      <c r="F25" s="111">
        <v>10</v>
      </c>
      <c r="G25" s="111">
        <v>50</v>
      </c>
      <c r="H25" s="112" t="s">
        <v>222</v>
      </c>
      <c r="I25" s="106">
        <v>400</v>
      </c>
      <c r="J25" s="106">
        <f t="shared" si="2"/>
        <v>8</v>
      </c>
    </row>
    <row r="26" spans="1:10" ht="25.5" x14ac:dyDescent="0.2">
      <c r="A26" s="113">
        <v>90443600</v>
      </c>
      <c r="B26" s="114" t="s">
        <v>223</v>
      </c>
      <c r="C26" s="95" t="s">
        <v>199</v>
      </c>
      <c r="D26" s="110" t="s">
        <v>44</v>
      </c>
      <c r="E26" s="111">
        <v>600</v>
      </c>
      <c r="F26" s="111">
        <v>10</v>
      </c>
      <c r="G26" s="111">
        <v>50</v>
      </c>
      <c r="H26" s="112" t="s">
        <v>224</v>
      </c>
      <c r="I26" s="106">
        <v>500</v>
      </c>
      <c r="J26" s="106">
        <f t="shared" si="2"/>
        <v>10</v>
      </c>
    </row>
    <row r="27" spans="1:10" ht="25.5" x14ac:dyDescent="0.2">
      <c r="A27" s="113">
        <v>90443700</v>
      </c>
      <c r="B27" s="114" t="s">
        <v>225</v>
      </c>
      <c r="C27" s="95" t="s">
        <v>199</v>
      </c>
      <c r="D27" s="110" t="s">
        <v>44</v>
      </c>
      <c r="E27" s="111">
        <v>750</v>
      </c>
      <c r="F27" s="111">
        <v>10</v>
      </c>
      <c r="G27" s="111">
        <v>50</v>
      </c>
      <c r="H27" s="112" t="s">
        <v>226</v>
      </c>
      <c r="I27" s="106">
        <v>500</v>
      </c>
      <c r="J27" s="106">
        <f t="shared" si="2"/>
        <v>10</v>
      </c>
    </row>
    <row r="28" spans="1:10" ht="25.5" customHeight="1" x14ac:dyDescent="0.2">
      <c r="A28" s="113">
        <v>90443900</v>
      </c>
      <c r="B28" s="114" t="s">
        <v>227</v>
      </c>
      <c r="C28" s="95" t="s">
        <v>199</v>
      </c>
      <c r="D28" s="110" t="s">
        <v>44</v>
      </c>
      <c r="E28" s="110">
        <v>1800</v>
      </c>
      <c r="F28" s="110">
        <v>10</v>
      </c>
      <c r="G28" s="110">
        <v>50</v>
      </c>
      <c r="H28" s="112" t="s">
        <v>228</v>
      </c>
      <c r="I28" s="106">
        <v>200</v>
      </c>
      <c r="J28" s="106">
        <f t="shared" si="2"/>
        <v>4</v>
      </c>
    </row>
    <row r="29" spans="1:10" x14ac:dyDescent="0.2">
      <c r="A29" s="125" t="s">
        <v>229</v>
      </c>
      <c r="B29" s="126" t="s">
        <v>229</v>
      </c>
      <c r="C29" s="127"/>
      <c r="D29" s="128"/>
      <c r="E29" s="95"/>
      <c r="F29" s="111"/>
      <c r="G29" s="111"/>
      <c r="H29" s="106"/>
      <c r="I29" s="106"/>
      <c r="J29" s="106"/>
    </row>
    <row r="30" spans="1:10" ht="25.5" x14ac:dyDescent="0.2">
      <c r="A30" s="107" t="s">
        <v>117</v>
      </c>
      <c r="B30" s="108" t="s">
        <v>117</v>
      </c>
      <c r="C30" s="109" t="s">
        <v>199</v>
      </c>
      <c r="D30" s="110">
        <v>32</v>
      </c>
      <c r="E30" s="110">
        <v>150</v>
      </c>
      <c r="F30" s="110">
        <v>10</v>
      </c>
      <c r="G30" s="110">
        <v>300</v>
      </c>
      <c r="H30" s="112" t="s">
        <v>230</v>
      </c>
      <c r="I30" s="106">
        <v>600</v>
      </c>
      <c r="J30" s="106">
        <f t="shared" ref="J30:J37" si="3">$I30/$G30</f>
        <v>2</v>
      </c>
    </row>
    <row r="31" spans="1:10" ht="25.5" x14ac:dyDescent="0.2">
      <c r="A31" s="113">
        <v>90446200</v>
      </c>
      <c r="B31" s="114" t="s">
        <v>231</v>
      </c>
      <c r="C31" s="95" t="s">
        <v>199</v>
      </c>
      <c r="D31" s="110" t="s">
        <v>124</v>
      </c>
      <c r="E31" s="110">
        <v>150</v>
      </c>
      <c r="F31" s="110">
        <v>10</v>
      </c>
      <c r="G31" s="110">
        <v>300</v>
      </c>
      <c r="H31" s="112" t="s">
        <v>232</v>
      </c>
      <c r="I31" s="106">
        <v>300</v>
      </c>
      <c r="J31" s="106">
        <f t="shared" si="3"/>
        <v>1</v>
      </c>
    </row>
    <row r="32" spans="1:10" ht="25.5" x14ac:dyDescent="0.2">
      <c r="A32" s="107" t="s">
        <v>118</v>
      </c>
      <c r="B32" s="108" t="s">
        <v>118</v>
      </c>
      <c r="C32" s="109" t="s">
        <v>199</v>
      </c>
      <c r="D32" s="110">
        <v>32</v>
      </c>
      <c r="E32" s="110">
        <v>450</v>
      </c>
      <c r="F32" s="110">
        <v>10</v>
      </c>
      <c r="G32" s="110">
        <v>100</v>
      </c>
      <c r="H32" s="112" t="s">
        <v>233</v>
      </c>
      <c r="I32" s="106">
        <v>100</v>
      </c>
      <c r="J32" s="106">
        <f t="shared" si="3"/>
        <v>1</v>
      </c>
    </row>
    <row r="33" spans="1:10" s="130" customFormat="1" ht="25.5" x14ac:dyDescent="0.2">
      <c r="A33" s="113">
        <v>90446400</v>
      </c>
      <c r="B33" s="114" t="s">
        <v>234</v>
      </c>
      <c r="C33" s="95" t="s">
        <v>199</v>
      </c>
      <c r="D33" s="110" t="s">
        <v>124</v>
      </c>
      <c r="E33" s="110">
        <v>450</v>
      </c>
      <c r="F33" s="110">
        <v>10</v>
      </c>
      <c r="G33" s="110">
        <v>100</v>
      </c>
      <c r="H33" s="112" t="s">
        <v>235</v>
      </c>
      <c r="I33" s="129">
        <v>100</v>
      </c>
      <c r="J33" s="129">
        <f t="shared" si="3"/>
        <v>1</v>
      </c>
    </row>
    <row r="34" spans="1:10" s="130" customFormat="1" ht="25.5" x14ac:dyDescent="0.2">
      <c r="A34" s="113">
        <v>90446600</v>
      </c>
      <c r="B34" s="114" t="s">
        <v>236</v>
      </c>
      <c r="C34" s="95" t="s">
        <v>199</v>
      </c>
      <c r="D34" s="110" t="s">
        <v>124</v>
      </c>
      <c r="E34" s="110">
        <v>600</v>
      </c>
      <c r="F34" s="110">
        <v>10</v>
      </c>
      <c r="G34" s="110">
        <v>100</v>
      </c>
      <c r="H34" s="112" t="s">
        <v>237</v>
      </c>
      <c r="I34" s="129">
        <v>200</v>
      </c>
      <c r="J34" s="129">
        <f t="shared" si="3"/>
        <v>2</v>
      </c>
    </row>
    <row r="35" spans="1:10" ht="25.5" x14ac:dyDescent="0.2">
      <c r="A35" s="107" t="s">
        <v>119</v>
      </c>
      <c r="B35" s="108" t="s">
        <v>119</v>
      </c>
      <c r="C35" s="109" t="s">
        <v>199</v>
      </c>
      <c r="D35" s="110">
        <v>32</v>
      </c>
      <c r="E35" s="110">
        <v>750</v>
      </c>
      <c r="F35" s="110">
        <v>10</v>
      </c>
      <c r="G35" s="110">
        <v>60</v>
      </c>
      <c r="H35" s="112" t="s">
        <v>238</v>
      </c>
      <c r="I35" s="106">
        <v>60</v>
      </c>
      <c r="J35" s="106">
        <f t="shared" si="3"/>
        <v>1</v>
      </c>
    </row>
    <row r="36" spans="1:10" ht="25.5" x14ac:dyDescent="0.2">
      <c r="A36" s="113">
        <v>90446700</v>
      </c>
      <c r="B36" s="114" t="s">
        <v>239</v>
      </c>
      <c r="C36" s="95" t="s">
        <v>199</v>
      </c>
      <c r="D36" s="110" t="s">
        <v>124</v>
      </c>
      <c r="E36" s="110">
        <v>900</v>
      </c>
      <c r="F36" s="110">
        <v>10</v>
      </c>
      <c r="G36" s="110">
        <v>50</v>
      </c>
      <c r="H36" s="112" t="s">
        <v>240</v>
      </c>
      <c r="I36" s="106">
        <v>100</v>
      </c>
      <c r="J36" s="106">
        <f t="shared" si="3"/>
        <v>2</v>
      </c>
    </row>
    <row r="37" spans="1:10" ht="25.5" x14ac:dyDescent="0.2">
      <c r="A37" s="113">
        <v>90446800</v>
      </c>
      <c r="B37" s="114" t="s">
        <v>241</v>
      </c>
      <c r="C37" s="95" t="s">
        <v>199</v>
      </c>
      <c r="D37" s="110" t="s">
        <v>124</v>
      </c>
      <c r="E37" s="110">
        <v>1800</v>
      </c>
      <c r="F37" s="110">
        <v>5</v>
      </c>
      <c r="G37" s="110">
        <v>25</v>
      </c>
      <c r="H37" s="112" t="s">
        <v>242</v>
      </c>
      <c r="I37" s="106">
        <v>50</v>
      </c>
      <c r="J37" s="106">
        <f t="shared" si="3"/>
        <v>2</v>
      </c>
    </row>
    <row r="38" spans="1:10" x14ac:dyDescent="0.2">
      <c r="A38" s="125" t="s">
        <v>243</v>
      </c>
      <c r="B38" s="126" t="s">
        <v>243</v>
      </c>
      <c r="C38" s="127"/>
      <c r="D38" s="128"/>
      <c r="E38" s="95"/>
      <c r="F38" s="110"/>
      <c r="G38" s="110"/>
      <c r="H38" s="94"/>
      <c r="I38" s="106"/>
      <c r="J38" s="106"/>
    </row>
    <row r="39" spans="1:10" ht="25.5" x14ac:dyDescent="0.2">
      <c r="A39" s="113">
        <v>90447200</v>
      </c>
      <c r="B39" s="114" t="s">
        <v>244</v>
      </c>
      <c r="C39" s="95" t="s">
        <v>199</v>
      </c>
      <c r="D39" s="110" t="s">
        <v>125</v>
      </c>
      <c r="E39" s="110">
        <v>150</v>
      </c>
      <c r="F39" s="110">
        <v>10</v>
      </c>
      <c r="G39" s="110">
        <v>300</v>
      </c>
      <c r="H39" s="112" t="s">
        <v>245</v>
      </c>
      <c r="I39" s="106">
        <v>300</v>
      </c>
      <c r="J39" s="106">
        <f>$I39/$G39</f>
        <v>1</v>
      </c>
    </row>
    <row r="40" spans="1:10" ht="25.5" x14ac:dyDescent="0.2">
      <c r="A40" s="107" t="s">
        <v>120</v>
      </c>
      <c r="B40" s="108" t="s">
        <v>120</v>
      </c>
      <c r="C40" s="109" t="s">
        <v>199</v>
      </c>
      <c r="D40" s="110">
        <v>40</v>
      </c>
      <c r="E40" s="110">
        <v>200</v>
      </c>
      <c r="F40" s="110">
        <v>10</v>
      </c>
      <c r="G40" s="110">
        <v>150</v>
      </c>
      <c r="H40" s="112" t="s">
        <v>246</v>
      </c>
      <c r="I40" s="106">
        <v>150</v>
      </c>
      <c r="J40" s="106">
        <f>$I40/$G40</f>
        <v>1</v>
      </c>
    </row>
    <row r="41" spans="1:10" ht="25.5" x14ac:dyDescent="0.2">
      <c r="A41" s="107" t="s">
        <v>121</v>
      </c>
      <c r="B41" s="108" t="s">
        <v>121</v>
      </c>
      <c r="C41" s="109" t="s">
        <v>199</v>
      </c>
      <c r="D41" s="110">
        <v>40</v>
      </c>
      <c r="E41" s="110">
        <v>450</v>
      </c>
      <c r="F41" s="110">
        <v>10</v>
      </c>
      <c r="G41" s="110">
        <v>100</v>
      </c>
      <c r="H41" s="112" t="s">
        <v>247</v>
      </c>
      <c r="I41" s="106">
        <v>100</v>
      </c>
      <c r="J41" s="106">
        <f>$I41/$G41</f>
        <v>1</v>
      </c>
    </row>
    <row r="42" spans="1:10" s="130" customFormat="1" ht="25.5" x14ac:dyDescent="0.2">
      <c r="A42" s="113">
        <v>90447400</v>
      </c>
      <c r="B42" s="114" t="s">
        <v>248</v>
      </c>
      <c r="C42" s="95" t="s">
        <v>199</v>
      </c>
      <c r="D42" s="110" t="s">
        <v>125</v>
      </c>
      <c r="E42" s="110">
        <v>450</v>
      </c>
      <c r="F42" s="110">
        <v>10</v>
      </c>
      <c r="G42" s="110">
        <v>100</v>
      </c>
      <c r="H42" s="112" t="s">
        <v>249</v>
      </c>
      <c r="I42" s="129">
        <v>200</v>
      </c>
      <c r="J42" s="129">
        <f>$I42/$G42</f>
        <v>2</v>
      </c>
    </row>
    <row r="43" spans="1:10" x14ac:dyDescent="0.2">
      <c r="A43" s="131" t="s">
        <v>250</v>
      </c>
      <c r="B43" s="132" t="s">
        <v>250</v>
      </c>
      <c r="C43" s="128"/>
      <c r="D43" s="111"/>
      <c r="E43" s="110"/>
      <c r="F43" s="110"/>
      <c r="G43" s="110"/>
      <c r="H43" s="94"/>
      <c r="I43" s="106"/>
      <c r="J43" s="106"/>
    </row>
    <row r="44" spans="1:10" ht="25.5" x14ac:dyDescent="0.2">
      <c r="A44" s="107" t="s">
        <v>122</v>
      </c>
      <c r="B44" s="108" t="s">
        <v>122</v>
      </c>
      <c r="C44" s="109" t="s">
        <v>199</v>
      </c>
      <c r="D44" s="110">
        <v>50</v>
      </c>
      <c r="E44" s="110">
        <v>150</v>
      </c>
      <c r="F44" s="110">
        <v>10</v>
      </c>
      <c r="G44" s="110">
        <v>150</v>
      </c>
      <c r="H44" s="112" t="s">
        <v>251</v>
      </c>
      <c r="I44" s="106">
        <v>150</v>
      </c>
      <c r="J44" s="106">
        <f t="shared" ref="J44:J50" si="4">$I44/$G44</f>
        <v>1</v>
      </c>
    </row>
    <row r="45" spans="1:10" ht="25.5" x14ac:dyDescent="0.2">
      <c r="A45" s="113">
        <v>90448200</v>
      </c>
      <c r="B45" s="114" t="s">
        <v>252</v>
      </c>
      <c r="C45" s="95" t="s">
        <v>199</v>
      </c>
      <c r="D45" s="110" t="s">
        <v>56</v>
      </c>
      <c r="E45" s="110">
        <v>150</v>
      </c>
      <c r="F45" s="110">
        <v>10</v>
      </c>
      <c r="G45" s="110">
        <v>150</v>
      </c>
      <c r="H45" s="112" t="s">
        <v>253</v>
      </c>
      <c r="I45" s="106">
        <v>150</v>
      </c>
      <c r="J45" s="106">
        <f t="shared" si="4"/>
        <v>1</v>
      </c>
    </row>
    <row r="46" spans="1:10" ht="25.5" x14ac:dyDescent="0.2">
      <c r="A46" s="113">
        <v>90448300</v>
      </c>
      <c r="B46" s="114" t="s">
        <v>254</v>
      </c>
      <c r="C46" s="95" t="s">
        <v>199</v>
      </c>
      <c r="D46" s="110" t="s">
        <v>56</v>
      </c>
      <c r="E46" s="110">
        <v>300</v>
      </c>
      <c r="F46" s="110">
        <v>10</v>
      </c>
      <c r="G46" s="110">
        <v>75</v>
      </c>
      <c r="H46" s="112" t="s">
        <v>255</v>
      </c>
      <c r="I46" s="106">
        <v>75</v>
      </c>
      <c r="J46" s="106">
        <f t="shared" si="4"/>
        <v>1</v>
      </c>
    </row>
    <row r="47" spans="1:10" ht="25.5" x14ac:dyDescent="0.2">
      <c r="A47" s="107" t="s">
        <v>123</v>
      </c>
      <c r="B47" s="108" t="s">
        <v>123</v>
      </c>
      <c r="C47" s="109" t="s">
        <v>199</v>
      </c>
      <c r="D47" s="110">
        <v>50</v>
      </c>
      <c r="E47" s="110">
        <v>450</v>
      </c>
      <c r="F47" s="110">
        <v>10</v>
      </c>
      <c r="G47" s="110">
        <v>50</v>
      </c>
      <c r="H47" s="112" t="s">
        <v>256</v>
      </c>
      <c r="I47" s="106">
        <v>100</v>
      </c>
      <c r="J47" s="106">
        <f t="shared" si="4"/>
        <v>2</v>
      </c>
    </row>
    <row r="48" spans="1:10" ht="25.5" x14ac:dyDescent="0.2">
      <c r="A48" s="113">
        <v>90448400</v>
      </c>
      <c r="B48" s="114" t="s">
        <v>257</v>
      </c>
      <c r="C48" s="95" t="s">
        <v>199</v>
      </c>
      <c r="D48" s="110" t="s">
        <v>56</v>
      </c>
      <c r="E48" s="110">
        <v>450</v>
      </c>
      <c r="F48" s="110">
        <v>10</v>
      </c>
      <c r="G48" s="110">
        <v>50</v>
      </c>
      <c r="H48" s="112" t="s">
        <v>258</v>
      </c>
      <c r="I48" s="106">
        <v>100</v>
      </c>
      <c r="J48" s="106">
        <f t="shared" si="4"/>
        <v>2</v>
      </c>
    </row>
    <row r="49" spans="1:10" ht="25.5" x14ac:dyDescent="0.2">
      <c r="A49" s="113">
        <v>90448800</v>
      </c>
      <c r="B49" s="114" t="s">
        <v>259</v>
      </c>
      <c r="C49" s="95" t="s">
        <v>199</v>
      </c>
      <c r="D49" s="110" t="s">
        <v>56</v>
      </c>
      <c r="E49" s="110">
        <v>1200</v>
      </c>
      <c r="F49" s="110">
        <v>5</v>
      </c>
      <c r="G49" s="110">
        <v>25</v>
      </c>
      <c r="H49" s="112" t="s">
        <v>260</v>
      </c>
      <c r="I49" s="106">
        <v>50</v>
      </c>
      <c r="J49" s="106">
        <f t="shared" si="4"/>
        <v>2</v>
      </c>
    </row>
    <row r="50" spans="1:10" ht="25.5" x14ac:dyDescent="0.2">
      <c r="A50" s="113">
        <v>90448820</v>
      </c>
      <c r="B50" s="114" t="s">
        <v>261</v>
      </c>
      <c r="C50" s="95" t="s">
        <v>199</v>
      </c>
      <c r="D50" s="110" t="s">
        <v>56</v>
      </c>
      <c r="E50" s="110">
        <v>1800</v>
      </c>
      <c r="F50" s="110">
        <v>5</v>
      </c>
      <c r="G50" s="110">
        <v>20</v>
      </c>
      <c r="H50" s="112" t="s">
        <v>262</v>
      </c>
      <c r="I50" s="106">
        <v>60</v>
      </c>
      <c r="J50" s="106">
        <f t="shared" si="4"/>
        <v>3</v>
      </c>
    </row>
    <row r="51" spans="1:10" x14ac:dyDescent="0.2">
      <c r="A51" s="133" t="s">
        <v>263</v>
      </c>
      <c r="B51" s="94"/>
      <c r="C51" s="127"/>
      <c r="D51" s="128"/>
      <c r="E51" s="111"/>
      <c r="F51" s="111"/>
      <c r="G51" s="111"/>
      <c r="H51" s="114"/>
      <c r="I51" s="106"/>
      <c r="J51" s="106"/>
    </row>
    <row r="52" spans="1:10" ht="25.5" x14ac:dyDescent="0.2">
      <c r="A52" s="107" t="s">
        <v>131</v>
      </c>
      <c r="B52" s="108" t="s">
        <v>131</v>
      </c>
      <c r="C52" s="109" t="s">
        <v>199</v>
      </c>
      <c r="D52" s="110">
        <v>25</v>
      </c>
      <c r="E52" s="111">
        <v>600</v>
      </c>
      <c r="F52" s="111">
        <v>10</v>
      </c>
      <c r="G52" s="111">
        <v>50</v>
      </c>
      <c r="H52" s="112" t="s">
        <v>264</v>
      </c>
      <c r="I52" s="106">
        <v>100</v>
      </c>
      <c r="J52" s="106">
        <f>$I52/$G52</f>
        <v>2</v>
      </c>
    </row>
    <row r="53" spans="1:10" ht="25.5" x14ac:dyDescent="0.2">
      <c r="A53" s="113">
        <v>90445600</v>
      </c>
      <c r="B53" s="114" t="s">
        <v>265</v>
      </c>
      <c r="C53" s="95" t="s">
        <v>199</v>
      </c>
      <c r="D53" s="110" t="s">
        <v>44</v>
      </c>
      <c r="E53" s="111">
        <v>600</v>
      </c>
      <c r="F53" s="111">
        <v>10</v>
      </c>
      <c r="G53" s="111">
        <v>50</v>
      </c>
      <c r="H53" s="112" t="s">
        <v>266</v>
      </c>
      <c r="I53" s="106">
        <v>500</v>
      </c>
      <c r="J53" s="106">
        <f>$I53/$G53</f>
        <v>10</v>
      </c>
    </row>
    <row r="54" spans="1:10" ht="25.5" x14ac:dyDescent="0.2">
      <c r="A54" s="113">
        <v>90445700</v>
      </c>
      <c r="B54" s="114" t="s">
        <v>267</v>
      </c>
      <c r="C54" s="95" t="s">
        <v>199</v>
      </c>
      <c r="D54" s="110" t="s">
        <v>44</v>
      </c>
      <c r="E54" s="111">
        <v>750</v>
      </c>
      <c r="F54" s="111">
        <v>10</v>
      </c>
      <c r="G54" s="111">
        <v>50</v>
      </c>
      <c r="H54" s="112" t="s">
        <v>268</v>
      </c>
      <c r="I54" s="106">
        <v>200</v>
      </c>
      <c r="J54" s="106">
        <f>$I54/$G54</f>
        <v>4</v>
      </c>
    </row>
    <row r="55" spans="1:10" ht="25.5" x14ac:dyDescent="0.2">
      <c r="A55" s="107" t="s">
        <v>132</v>
      </c>
      <c r="B55" s="108" t="s">
        <v>132</v>
      </c>
      <c r="C55" s="109" t="s">
        <v>199</v>
      </c>
      <c r="D55" s="110">
        <v>25</v>
      </c>
      <c r="E55" s="111">
        <v>900</v>
      </c>
      <c r="F55" s="111">
        <v>10</v>
      </c>
      <c r="G55" s="111">
        <v>50</v>
      </c>
      <c r="H55" s="112" t="s">
        <v>269</v>
      </c>
      <c r="I55" s="106">
        <v>200</v>
      </c>
      <c r="J55" s="106">
        <f>$I55/$G55</f>
        <v>4</v>
      </c>
    </row>
    <row r="56" spans="1:10" ht="25.5" x14ac:dyDescent="0.2">
      <c r="A56" s="113">
        <v>90445800</v>
      </c>
      <c r="B56" s="114" t="s">
        <v>270</v>
      </c>
      <c r="C56" s="95" t="s">
        <v>199</v>
      </c>
      <c r="D56" s="110" t="s">
        <v>44</v>
      </c>
      <c r="E56" s="111">
        <v>900</v>
      </c>
      <c r="F56" s="111">
        <v>10</v>
      </c>
      <c r="G56" s="111">
        <v>50</v>
      </c>
      <c r="H56" s="112" t="s">
        <v>271</v>
      </c>
      <c r="I56" s="106">
        <v>200</v>
      </c>
      <c r="J56" s="106">
        <f>$I56/$G56</f>
        <v>4</v>
      </c>
    </row>
    <row r="57" spans="1:10" x14ac:dyDescent="0.2">
      <c r="A57" s="134"/>
      <c r="B57" s="135"/>
      <c r="C57" s="134"/>
      <c r="D57" s="136"/>
      <c r="E57" s="136"/>
      <c r="F57" s="136"/>
      <c r="G57" s="136"/>
      <c r="H57" s="137"/>
      <c r="I57" s="94">
        <f>SUBTOTAL(9,I4:I56)</f>
        <v>40395</v>
      </c>
      <c r="J57" s="94">
        <f>SUBTOTAL(9,J4:J56)</f>
        <v>308</v>
      </c>
    </row>
  </sheetData>
  <mergeCells count="5">
    <mergeCell ref="A1:J1"/>
    <mergeCell ref="C2:C3"/>
    <mergeCell ref="F2:G2"/>
    <mergeCell ref="H2:H3"/>
    <mergeCell ref="I2:J2"/>
  </mergeCells>
  <pageMargins left="0.39370078740157499" right="0.39370078740157499" top="0.39370078740157499" bottom="0.39370078740157499" header="0" footer="0"/>
  <pageSetup paperSize="9" scale="74" fitToHeight="0" orientation="landscape" horizontalDpi="4294967295" verticalDpi="18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6"/>
  <sheetViews>
    <sheetView workbookViewId="0">
      <selection sqref="A1:I1"/>
    </sheetView>
  </sheetViews>
  <sheetFormatPr defaultColWidth="10.6640625" defaultRowHeight="12.75" x14ac:dyDescent="0.2"/>
  <cols>
    <col min="1" max="1" width="15.6640625" style="105" bestFit="1" customWidth="1"/>
    <col min="2" max="2" width="15.6640625" style="105" customWidth="1"/>
    <col min="3" max="3" width="6" style="105" bestFit="1" customWidth="1"/>
    <col min="4" max="4" width="10" style="105" bestFit="1" customWidth="1"/>
    <col min="5" max="5" width="7" style="145" bestFit="1" customWidth="1"/>
    <col min="6" max="6" width="7.33203125" style="145" bestFit="1" customWidth="1"/>
    <col min="7" max="7" width="38.1640625" style="105" bestFit="1" customWidth="1"/>
    <col min="8" max="8" width="8.1640625" style="105" customWidth="1"/>
    <col min="9" max="9" width="8.5" style="105" customWidth="1"/>
    <col min="10" max="16384" width="10.6640625" style="105"/>
  </cols>
  <sheetData>
    <row r="1" spans="1:9" x14ac:dyDescent="0.2">
      <c r="A1" s="346" t="s">
        <v>272</v>
      </c>
      <c r="B1" s="346"/>
      <c r="C1" s="346"/>
      <c r="D1" s="346"/>
      <c r="E1" s="346"/>
      <c r="F1" s="346"/>
      <c r="G1" s="346"/>
      <c r="H1" s="346"/>
      <c r="I1" s="346"/>
    </row>
    <row r="2" spans="1:9" ht="19.5" customHeight="1" x14ac:dyDescent="0.2">
      <c r="A2" s="139" t="s">
        <v>29</v>
      </c>
      <c r="B2" s="151" t="s">
        <v>179</v>
      </c>
      <c r="C2" s="139" t="s">
        <v>273</v>
      </c>
      <c r="D2" s="139" t="s">
        <v>181</v>
      </c>
      <c r="E2" s="344" t="s">
        <v>274</v>
      </c>
      <c r="F2" s="345"/>
      <c r="G2" s="139" t="s">
        <v>183</v>
      </c>
      <c r="H2" s="344" t="s">
        <v>20</v>
      </c>
      <c r="I2" s="345"/>
    </row>
    <row r="3" spans="1:9" ht="19.5" customHeight="1" x14ac:dyDescent="0.2">
      <c r="A3" s="98"/>
      <c r="B3" s="152"/>
      <c r="C3" s="139" t="s">
        <v>187</v>
      </c>
      <c r="D3" s="139" t="s">
        <v>187</v>
      </c>
      <c r="E3" s="139" t="s">
        <v>275</v>
      </c>
      <c r="F3" s="139" t="s">
        <v>189</v>
      </c>
      <c r="G3" s="140"/>
      <c r="H3" s="139" t="s">
        <v>276</v>
      </c>
      <c r="I3" s="139" t="s">
        <v>277</v>
      </c>
    </row>
    <row r="4" spans="1:9" ht="25.5" x14ac:dyDescent="0.2">
      <c r="A4" s="141" t="s">
        <v>136</v>
      </c>
      <c r="B4" s="153" t="s">
        <v>191</v>
      </c>
      <c r="C4" s="139">
        <v>15</v>
      </c>
      <c r="D4" s="139">
        <v>300</v>
      </c>
      <c r="E4" s="103">
        <v>10</v>
      </c>
      <c r="F4" s="103">
        <v>300</v>
      </c>
      <c r="G4" s="142" t="s">
        <v>278</v>
      </c>
      <c r="H4" s="98">
        <v>300</v>
      </c>
      <c r="I4" s="98">
        <f>H4/F4</f>
        <v>1</v>
      </c>
    </row>
    <row r="5" spans="1:9" ht="25.5" x14ac:dyDescent="0.2">
      <c r="A5" s="141" t="s">
        <v>137</v>
      </c>
      <c r="B5" s="153" t="s">
        <v>191</v>
      </c>
      <c r="C5" s="139">
        <v>15</v>
      </c>
      <c r="D5" s="139">
        <v>25</v>
      </c>
      <c r="E5" s="103">
        <v>5</v>
      </c>
      <c r="F5" s="103">
        <v>2000</v>
      </c>
      <c r="G5" s="143" t="s">
        <v>279</v>
      </c>
      <c r="H5" s="144">
        <v>4000</v>
      </c>
      <c r="I5" s="98">
        <f>H5/F5</f>
        <v>2</v>
      </c>
    </row>
    <row r="6" spans="1:9" x14ac:dyDescent="0.2">
      <c r="H6" s="138">
        <f>SUBTOTAL(9,H4:H5)</f>
        <v>4300</v>
      </c>
      <c r="I6" s="138">
        <f>SUBTOTAL(9,I4:I5)</f>
        <v>3</v>
      </c>
    </row>
  </sheetData>
  <mergeCells count="3">
    <mergeCell ref="E2:F2"/>
    <mergeCell ref="H2:I2"/>
    <mergeCell ref="A1:I1"/>
  </mergeCells>
  <pageMargins left="0.5" right="0.5" top="0.5" bottom="0.5" header="0" footer="0"/>
  <pageSetup paperSize="9" scale="9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17"/>
  <sheetViews>
    <sheetView zoomScaleNormal="100" workbookViewId="0">
      <selection sqref="A1:H1"/>
    </sheetView>
  </sheetViews>
  <sheetFormatPr defaultColWidth="10.6640625" defaultRowHeight="12.75" x14ac:dyDescent="0.2"/>
  <cols>
    <col min="1" max="2" width="14.6640625" style="92" customWidth="1"/>
    <col min="3" max="3" width="6.5" style="92" bestFit="1" customWidth="1"/>
    <col min="4" max="4" width="6" style="92" bestFit="1" customWidth="1"/>
    <col min="5" max="5" width="7.1640625" style="92" bestFit="1" customWidth="1"/>
    <col min="6" max="6" width="29.33203125" style="92" bestFit="1" customWidth="1"/>
    <col min="7" max="8" width="10.6640625" style="92" customWidth="1"/>
    <col min="9" max="16384" width="10.6640625" style="92"/>
  </cols>
  <sheetData>
    <row r="1" spans="1:8" ht="30" customHeight="1" x14ac:dyDescent="0.2">
      <c r="A1" s="347" t="s">
        <v>280</v>
      </c>
      <c r="B1" s="347"/>
      <c r="C1" s="347"/>
      <c r="D1" s="347"/>
      <c r="E1" s="347"/>
      <c r="F1" s="347"/>
      <c r="G1" s="347"/>
      <c r="H1" s="347"/>
    </row>
    <row r="2" spans="1:8" ht="27" customHeight="1" x14ac:dyDescent="0.2">
      <c r="A2" s="94" t="s">
        <v>178</v>
      </c>
      <c r="B2" s="154" t="s">
        <v>179</v>
      </c>
      <c r="C2" s="95" t="s">
        <v>180</v>
      </c>
      <c r="D2" s="340" t="s">
        <v>182</v>
      </c>
      <c r="E2" s="341"/>
      <c r="F2" s="94" t="s">
        <v>183</v>
      </c>
      <c r="G2" s="344" t="s">
        <v>184</v>
      </c>
      <c r="H2" s="345"/>
    </row>
    <row r="3" spans="1:8" ht="20.100000000000001" customHeight="1" x14ac:dyDescent="0.2">
      <c r="A3" s="97"/>
      <c r="B3" s="155"/>
      <c r="C3" s="95" t="s">
        <v>187</v>
      </c>
      <c r="D3" s="95" t="s">
        <v>188</v>
      </c>
      <c r="E3" s="95" t="s">
        <v>189</v>
      </c>
      <c r="F3" s="94"/>
      <c r="G3" s="139" t="s">
        <v>190</v>
      </c>
      <c r="H3" s="139" t="s">
        <v>189</v>
      </c>
    </row>
    <row r="4" spans="1:8" s="105" customFormat="1" x14ac:dyDescent="0.2">
      <c r="A4" s="147" t="s">
        <v>149</v>
      </c>
      <c r="B4" s="156" t="s">
        <v>199</v>
      </c>
      <c r="C4" s="103">
        <v>15</v>
      </c>
      <c r="D4" s="103">
        <v>10</v>
      </c>
      <c r="E4" s="103">
        <v>2500</v>
      </c>
      <c r="F4" s="142" t="s">
        <v>281</v>
      </c>
      <c r="G4" s="98">
        <v>10000</v>
      </c>
      <c r="H4" s="98">
        <f t="shared" ref="H4:H14" si="0">G4/E4</f>
        <v>4</v>
      </c>
    </row>
    <row r="5" spans="1:8" s="105" customFormat="1" x14ac:dyDescent="0.2">
      <c r="A5" s="147" t="s">
        <v>150</v>
      </c>
      <c r="B5" s="156" t="s">
        <v>199</v>
      </c>
      <c r="C5" s="103">
        <v>20</v>
      </c>
      <c r="D5" s="103">
        <v>10</v>
      </c>
      <c r="E5" s="103">
        <v>1500</v>
      </c>
      <c r="F5" s="142" t="s">
        <v>282</v>
      </c>
      <c r="G5" s="98">
        <v>3000</v>
      </c>
      <c r="H5" s="98">
        <f t="shared" si="0"/>
        <v>2</v>
      </c>
    </row>
    <row r="6" spans="1:8" s="105" customFormat="1" x14ac:dyDescent="0.2">
      <c r="A6" s="147" t="s">
        <v>151</v>
      </c>
      <c r="B6" s="156" t="s">
        <v>199</v>
      </c>
      <c r="C6" s="103">
        <v>25</v>
      </c>
      <c r="D6" s="103">
        <v>10</v>
      </c>
      <c r="E6" s="103">
        <v>900</v>
      </c>
      <c r="F6" s="142" t="s">
        <v>283</v>
      </c>
      <c r="G6" s="98">
        <v>900</v>
      </c>
      <c r="H6" s="98">
        <f t="shared" si="0"/>
        <v>1</v>
      </c>
    </row>
    <row r="7" spans="1:8" s="105" customFormat="1" x14ac:dyDescent="0.2">
      <c r="A7" s="147" t="s">
        <v>152</v>
      </c>
      <c r="B7" s="156" t="s">
        <v>199</v>
      </c>
      <c r="C7" s="102">
        <v>25</v>
      </c>
      <c r="D7" s="103">
        <v>10</v>
      </c>
      <c r="E7" s="103">
        <v>350</v>
      </c>
      <c r="F7" s="143" t="s">
        <v>284</v>
      </c>
      <c r="G7" s="98">
        <v>1400</v>
      </c>
      <c r="H7" s="98">
        <f t="shared" si="0"/>
        <v>4</v>
      </c>
    </row>
    <row r="8" spans="1:8" s="105" customFormat="1" x14ac:dyDescent="0.2">
      <c r="A8" s="147" t="s">
        <v>153</v>
      </c>
      <c r="B8" s="156" t="s">
        <v>199</v>
      </c>
      <c r="C8" s="103" t="s">
        <v>60</v>
      </c>
      <c r="D8" s="103">
        <v>10</v>
      </c>
      <c r="E8" s="103">
        <v>900</v>
      </c>
      <c r="F8" s="142" t="s">
        <v>285</v>
      </c>
      <c r="G8" s="98">
        <v>1800</v>
      </c>
      <c r="H8" s="98">
        <f t="shared" si="0"/>
        <v>2</v>
      </c>
    </row>
    <row r="9" spans="1:8" s="105" customFormat="1" x14ac:dyDescent="0.2">
      <c r="A9" s="147" t="s">
        <v>154</v>
      </c>
      <c r="B9" s="156" t="s">
        <v>199</v>
      </c>
      <c r="C9" s="103" t="s">
        <v>155</v>
      </c>
      <c r="D9" s="103">
        <v>10</v>
      </c>
      <c r="E9" s="103">
        <v>550</v>
      </c>
      <c r="F9" s="142" t="s">
        <v>286</v>
      </c>
      <c r="G9" s="98">
        <v>1650</v>
      </c>
      <c r="H9" s="98">
        <f t="shared" si="0"/>
        <v>3</v>
      </c>
    </row>
    <row r="10" spans="1:8" s="105" customFormat="1" x14ac:dyDescent="0.2">
      <c r="A10" s="147" t="s">
        <v>156</v>
      </c>
      <c r="B10" s="156" t="s">
        <v>199</v>
      </c>
      <c r="C10" s="103">
        <v>25</v>
      </c>
      <c r="D10" s="103">
        <v>10</v>
      </c>
      <c r="E10" s="103">
        <v>500</v>
      </c>
      <c r="F10" s="142" t="s">
        <v>287</v>
      </c>
      <c r="G10" s="98">
        <v>500</v>
      </c>
      <c r="H10" s="98">
        <f t="shared" si="0"/>
        <v>1</v>
      </c>
    </row>
    <row r="11" spans="1:8" s="105" customFormat="1" x14ac:dyDescent="0.2">
      <c r="A11" s="147" t="s">
        <v>157</v>
      </c>
      <c r="B11" s="156" t="s">
        <v>199</v>
      </c>
      <c r="C11" s="103">
        <v>15</v>
      </c>
      <c r="D11" s="103">
        <v>10</v>
      </c>
      <c r="E11" s="103">
        <v>540</v>
      </c>
      <c r="F11" s="142" t="s">
        <v>288</v>
      </c>
      <c r="G11" s="98">
        <v>2160</v>
      </c>
      <c r="H11" s="98">
        <f t="shared" si="0"/>
        <v>4</v>
      </c>
    </row>
    <row r="12" spans="1:8" s="105" customFormat="1" x14ac:dyDescent="0.2">
      <c r="A12" s="147" t="s">
        <v>158</v>
      </c>
      <c r="B12" s="156" t="s">
        <v>199</v>
      </c>
      <c r="C12" s="102">
        <v>20</v>
      </c>
      <c r="D12" s="103">
        <v>10</v>
      </c>
      <c r="E12" s="103">
        <v>350</v>
      </c>
      <c r="F12" s="143" t="s">
        <v>289</v>
      </c>
      <c r="G12" s="98">
        <v>700</v>
      </c>
      <c r="H12" s="98">
        <f t="shared" si="0"/>
        <v>2</v>
      </c>
    </row>
    <row r="13" spans="1:8" s="105" customFormat="1" x14ac:dyDescent="0.2">
      <c r="A13" s="147" t="s">
        <v>159</v>
      </c>
      <c r="B13" s="156" t="s">
        <v>199</v>
      </c>
      <c r="C13" s="103">
        <v>25</v>
      </c>
      <c r="D13" s="103">
        <v>10</v>
      </c>
      <c r="E13" s="103">
        <v>220</v>
      </c>
      <c r="F13" s="142" t="s">
        <v>290</v>
      </c>
      <c r="G13" s="98">
        <v>1760</v>
      </c>
      <c r="H13" s="98">
        <f t="shared" si="0"/>
        <v>8</v>
      </c>
    </row>
    <row r="14" spans="1:8" s="105" customFormat="1" x14ac:dyDescent="0.2">
      <c r="A14" s="147" t="s">
        <v>160</v>
      </c>
      <c r="B14" s="156" t="s">
        <v>199</v>
      </c>
      <c r="C14" s="103">
        <v>32</v>
      </c>
      <c r="D14" s="103">
        <v>10</v>
      </c>
      <c r="E14" s="103">
        <v>100</v>
      </c>
      <c r="F14" s="142" t="s">
        <v>291</v>
      </c>
      <c r="G14" s="98">
        <v>1000</v>
      </c>
      <c r="H14" s="98">
        <f t="shared" si="0"/>
        <v>10</v>
      </c>
    </row>
    <row r="15" spans="1:8" s="105" customFormat="1" x14ac:dyDescent="0.2">
      <c r="A15" s="135"/>
      <c r="B15" s="135"/>
      <c r="C15" s="136"/>
      <c r="D15" s="136"/>
      <c r="E15" s="136"/>
      <c r="F15" s="137"/>
      <c r="G15" s="94">
        <f>SUBTOTAL(9,G4:G14)</f>
        <v>24870</v>
      </c>
      <c r="H15" s="94">
        <f>SUBTOTAL(9,H4:H14)</f>
        <v>41</v>
      </c>
    </row>
    <row r="17" spans="1:8" s="105" customFormat="1" x14ac:dyDescent="0.2">
      <c r="A17" s="148"/>
      <c r="B17" s="148"/>
      <c r="C17" s="92"/>
      <c r="D17" s="92"/>
      <c r="E17" s="92"/>
      <c r="F17" s="92"/>
      <c r="G17" s="92"/>
      <c r="H17" s="92"/>
    </row>
  </sheetData>
  <mergeCells count="3">
    <mergeCell ref="D2:E2"/>
    <mergeCell ref="G2:H2"/>
    <mergeCell ref="A1:H1"/>
  </mergeCells>
  <pageMargins left="0.39370078740157483" right="0.39370078740157483" top="0.39370078740157483" bottom="0.39370078740157483" header="0" footer="0"/>
  <pageSetup paperSize="9" scale="9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H7"/>
  <sheetViews>
    <sheetView workbookViewId="0">
      <selection sqref="A1:H1"/>
    </sheetView>
  </sheetViews>
  <sheetFormatPr defaultColWidth="10.6640625" defaultRowHeight="12.75" x14ac:dyDescent="0.2"/>
  <cols>
    <col min="1" max="1" width="23.33203125" style="92" bestFit="1" customWidth="1"/>
    <col min="2" max="2" width="6.5" style="92" bestFit="1" customWidth="1"/>
    <col min="3" max="3" width="9.6640625" style="92" bestFit="1" customWidth="1"/>
    <col min="4" max="4" width="4.83203125" style="92" bestFit="1" customWidth="1"/>
    <col min="5" max="5" width="11" style="92" bestFit="1" customWidth="1"/>
    <col min="6" max="6" width="29.33203125" style="92" bestFit="1" customWidth="1"/>
    <col min="7" max="16384" width="10.6640625" style="92"/>
  </cols>
  <sheetData>
    <row r="1" spans="1:8" x14ac:dyDescent="0.2">
      <c r="A1" s="338" t="s">
        <v>292</v>
      </c>
      <c r="B1" s="338"/>
      <c r="C1" s="338"/>
      <c r="D1" s="338"/>
      <c r="E1" s="338"/>
      <c r="F1" s="338"/>
      <c r="G1" s="338"/>
      <c r="H1" s="338"/>
    </row>
    <row r="2" spans="1:8" ht="12.75" customHeight="1" x14ac:dyDescent="0.2">
      <c r="A2" s="94" t="s">
        <v>29</v>
      </c>
      <c r="B2" s="340" t="s">
        <v>180</v>
      </c>
      <c r="C2" s="348"/>
      <c r="D2" s="341"/>
      <c r="E2" s="146" t="s">
        <v>274</v>
      </c>
      <c r="F2" s="95" t="s">
        <v>183</v>
      </c>
      <c r="G2" s="340" t="s">
        <v>184</v>
      </c>
      <c r="H2" s="341"/>
    </row>
    <row r="3" spans="1:8" x14ac:dyDescent="0.2">
      <c r="A3" s="97" t="s">
        <v>293</v>
      </c>
      <c r="B3" s="95" t="s">
        <v>187</v>
      </c>
      <c r="C3" s="95" t="s">
        <v>187</v>
      </c>
      <c r="D3" s="95" t="s">
        <v>187</v>
      </c>
      <c r="E3" s="95" t="s">
        <v>294</v>
      </c>
      <c r="F3" s="94"/>
      <c r="G3" s="95" t="s">
        <v>190</v>
      </c>
      <c r="H3" s="95" t="s">
        <v>295</v>
      </c>
    </row>
    <row r="4" spans="1:8" ht="25.5" x14ac:dyDescent="0.2">
      <c r="A4" s="114" t="s">
        <v>164</v>
      </c>
      <c r="B4" s="110">
        <v>570</v>
      </c>
      <c r="C4" s="111">
        <v>368</v>
      </c>
      <c r="D4" s="111">
        <v>178</v>
      </c>
      <c r="E4" s="111">
        <v>15</v>
      </c>
      <c r="F4" s="112" t="s">
        <v>296</v>
      </c>
      <c r="G4" s="106">
        <v>750</v>
      </c>
      <c r="H4" s="106">
        <f t="shared" ref="H4:H6" si="0">$G4/$E4</f>
        <v>50</v>
      </c>
    </row>
    <row r="5" spans="1:8" ht="25.5" x14ac:dyDescent="0.2">
      <c r="A5" s="114" t="s">
        <v>63</v>
      </c>
      <c r="B5" s="110">
        <v>570</v>
      </c>
      <c r="C5" s="111">
        <v>368</v>
      </c>
      <c r="D5" s="111">
        <v>267</v>
      </c>
      <c r="E5" s="111">
        <v>15</v>
      </c>
      <c r="F5" s="112" t="s">
        <v>296</v>
      </c>
      <c r="G5" s="106">
        <v>270</v>
      </c>
      <c r="H5" s="106">
        <f t="shared" si="0"/>
        <v>18</v>
      </c>
    </row>
    <row r="6" spans="1:8" ht="25.5" x14ac:dyDescent="0.2">
      <c r="A6" s="114" t="s">
        <v>63</v>
      </c>
      <c r="B6" s="110">
        <v>570</v>
      </c>
      <c r="C6" s="111">
        <v>368</v>
      </c>
      <c r="D6" s="111">
        <v>267</v>
      </c>
      <c r="E6" s="111">
        <v>7</v>
      </c>
      <c r="F6" s="112" t="s">
        <v>296</v>
      </c>
      <c r="G6" s="106">
        <v>7</v>
      </c>
      <c r="H6" s="106">
        <f t="shared" si="0"/>
        <v>1</v>
      </c>
    </row>
    <row r="7" spans="1:8" x14ac:dyDescent="0.2">
      <c r="A7" s="149"/>
      <c r="B7" s="150"/>
      <c r="C7" s="150"/>
      <c r="D7" s="150"/>
      <c r="E7" s="150"/>
      <c r="F7" s="149"/>
      <c r="G7" s="94">
        <f>SUBTOTAL(9,G4:G6)</f>
        <v>1027</v>
      </c>
      <c r="H7" s="94">
        <f>SUBTOTAL(9,H4:H6)</f>
        <v>69</v>
      </c>
    </row>
  </sheetData>
  <mergeCells count="3">
    <mergeCell ref="B2:D2"/>
    <mergeCell ref="G2:H2"/>
    <mergeCell ref="A1:H1"/>
  </mergeCells>
  <pageMargins left="0.25" right="0.25" top="0.75" bottom="0.75" header="0.3" footer="0.3"/>
  <pageSetup paperSize="9" scale="81" orientation="landscape" horizontalDpi="4294967295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Sheet2</vt:lpstr>
      <vt:lpstr>Risers</vt:lpstr>
      <vt:lpstr>PP Fittings</vt:lpstr>
      <vt:lpstr>Nylon Fittings</vt:lpstr>
      <vt:lpstr>Boxes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2026-04-27T12:59:29Z</cp:lastPrinted>
  <dcterms:created xsi:type="dcterms:W3CDTF">2011-01-22T07:57:03Z</dcterms:created>
  <dcterms:modified xsi:type="dcterms:W3CDTF">2026-05-23T09:00:26Z</dcterms:modified>
</cp:coreProperties>
</file>