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05" yWindow="-105" windowWidth="19425" windowHeight="10305"/>
  </bookViews>
  <sheets>
    <sheet name="VP" sheetId="1" r:id="rId1"/>
    <sheet name="HP" sheetId="2" r:id="rId2"/>
    <sheet name="KP" sheetId="6" r:id="rId3"/>
    <sheet name="OSWIN" sheetId="3" r:id="rId4"/>
    <sheet name="PUSHPAM" sheetId="5" r:id="rId5"/>
  </sheets>
  <calcPr calcId="152511"/>
</workbook>
</file>

<file path=xl/calcChain.xml><?xml version="1.0" encoding="utf-8"?>
<calcChain xmlns="http://schemas.openxmlformats.org/spreadsheetml/2006/main">
  <c r="K45" i="6" l="1"/>
  <c r="F18" i="6" s="1"/>
  <c r="G11" i="6"/>
  <c r="B11" i="6"/>
  <c r="F20" i="6" l="1"/>
  <c r="F22" i="6" s="1"/>
  <c r="K45" i="5"/>
  <c r="F18" i="5" s="1"/>
  <c r="F20" i="5" s="1"/>
  <c r="F22" i="5" l="1"/>
  <c r="G11" i="2"/>
  <c r="G11" i="5" s="1"/>
  <c r="B11" i="2"/>
  <c r="B11" i="3" s="1"/>
  <c r="F18" i="1"/>
  <c r="G11" i="3" l="1"/>
  <c r="B11" i="5"/>
  <c r="K45" i="2"/>
  <c r="F18" i="2" s="1"/>
  <c r="F20" i="2" s="1"/>
  <c r="K45" i="1"/>
  <c r="F20" i="1"/>
  <c r="F22" i="1" s="1"/>
  <c r="F22" i="2" l="1"/>
  <c r="K45" i="3"/>
  <c r="F18" i="3"/>
  <c r="F20" i="3" s="1"/>
  <c r="F22" i="3" l="1"/>
</calcChain>
</file>

<file path=xl/sharedStrings.xml><?xml version="1.0" encoding="utf-8"?>
<sst xmlns="http://schemas.openxmlformats.org/spreadsheetml/2006/main" count="308" uniqueCount="58">
  <si>
    <t>COST SHEET</t>
  </si>
  <si>
    <t>(For Certificate of Origin to be issued to Manufacturer Exporter or Merchant Exporter)</t>
  </si>
  <si>
    <t>Inv No</t>
  </si>
  <si>
    <t>Date</t>
  </si>
  <si>
    <t>Name of the Finished Product</t>
  </si>
  <si>
    <t>HS Code of the Product</t>
  </si>
  <si>
    <t>FOB Price / Ex-Work Price of Product</t>
  </si>
  <si>
    <t>1. Value of imported / undetermined : Origin</t>
  </si>
  <si>
    <t xml:space="preserve">    raw material</t>
  </si>
  <si>
    <t>2. Value of indigenous Raw Materials :</t>
  </si>
  <si>
    <t>3. Direct Cost of Processing</t>
  </si>
  <si>
    <t>4. Overhead &amp; Indirect Cost of Processing</t>
  </si>
  <si>
    <t xml:space="preserve">    Including Profit</t>
  </si>
  <si>
    <t>(A) Details of Raw Materials of Imported / Undetermined Origin</t>
  </si>
  <si>
    <t>No</t>
  </si>
  <si>
    <t>Name of Materials</t>
  </si>
  <si>
    <t>Used</t>
  </si>
  <si>
    <t>Country of</t>
  </si>
  <si>
    <t>Origin</t>
  </si>
  <si>
    <t>HS</t>
  </si>
  <si>
    <t>Code</t>
  </si>
  <si>
    <t>BE / invoice No</t>
  </si>
  <si>
    <t>&amp; Date</t>
  </si>
  <si>
    <t>Per Unit</t>
  </si>
  <si>
    <t>Quantity used</t>
  </si>
  <si>
    <t>in the Finished</t>
  </si>
  <si>
    <t>Product</t>
  </si>
  <si>
    <t>Value of material</t>
  </si>
  <si>
    <t>used in the</t>
  </si>
  <si>
    <t>Finished Product</t>
  </si>
  <si>
    <t>NOT APPLICABLE</t>
  </si>
  <si>
    <t>TOTAL</t>
  </si>
  <si>
    <t>(B) Details of Raw Materials of Indian Origin</t>
  </si>
  <si>
    <t>Calculation of RVC/QVC/AIFTA Content as per the requirment of FTA / PTA / CEPA :</t>
  </si>
  <si>
    <t>PLASTIC (PP) &amp; (PA) MOULDED FITTINGS</t>
  </si>
  <si>
    <t>3917.4000</t>
  </si>
  <si>
    <t>NIL</t>
  </si>
  <si>
    <t>POLYPROPYLENE</t>
  </si>
  <si>
    <t>INDIA</t>
  </si>
  <si>
    <t>PCS</t>
  </si>
  <si>
    <t>PLASTIC (PP) EXTRUDED PIPES</t>
  </si>
  <si>
    <t>3917.2200</t>
  </si>
  <si>
    <t>4819.1010</t>
  </si>
  <si>
    <t>PP SUNPAC SHEETS</t>
  </si>
  <si>
    <t>CORRUGATED BOXES</t>
  </si>
  <si>
    <t>PLASTIC (PP) MOULDED FITTINGS</t>
  </si>
  <si>
    <t>003/26-27</t>
  </si>
  <si>
    <t>DT 09.04.2026</t>
  </si>
  <si>
    <t>005 - DT 10.04.2026</t>
  </si>
  <si>
    <t>JG/26-27/6002</t>
  </si>
  <si>
    <t>04.05.2026</t>
  </si>
  <si>
    <t>BH/19/26-27</t>
  </si>
  <si>
    <t>DT 02.05.2026</t>
  </si>
  <si>
    <t>DN-00259</t>
  </si>
  <si>
    <t>04-05-2026</t>
  </si>
  <si>
    <t>PC/0191/26-27</t>
  </si>
  <si>
    <t>Seal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</si>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</sst>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2" x14ac:knownFonts="1">
    <font>
      <sz val="10"/>
      <name val="A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0" borderId="0" xfId="0" applyNumberFormat="1" applyFont="1"/>
    <xf numFmtId="0" fontId="1" fillId="2" borderId="0" xfId="0" applyFont="1" applyFill="1"/>
    <xf numFmtId="0" fontId="1" fillId="0" borderId="0" xfId="0" applyFont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1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0" borderId="1" xfId="0" applyNumberFormat="1" applyFont="1" applyFill="1" applyBorder="1" applyAlignment="1">
      <alignment horizontal="left"/>
    </xf>
    <xf numFmtId="0" fontId="1" fillId="0" borderId="0" xfId="0" applyFont="1" applyFill="1"/>
    <xf numFmtId="14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2" borderId="2" xfId="0" applyFont="1" applyFill="1" applyBorder="1"/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left"/>
    </xf>
    <xf numFmtId="164" fontId="1" fillId="2" borderId="12" xfId="0" applyNumberFormat="1" applyFont="1" applyFill="1" applyBorder="1" applyAlignment="1">
      <alignment horizontal="left"/>
    </xf>
    <xf numFmtId="164" fontId="1" fillId="2" borderId="4" xfId="0" applyNumberFormat="1" applyFont="1" applyFill="1" applyBorder="1" applyAlignment="1">
      <alignment horizontal="left"/>
    </xf>
    <xf numFmtId="164" fontId="1" fillId="2" borderId="13" xfId="0" applyNumberFormat="1" applyFont="1" applyFill="1" applyBorder="1" applyAlignment="1">
      <alignment horizontal="left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4" xfId="0" applyFont="1" applyFill="1" applyBorder="1"/>
    <xf numFmtId="0" fontId="1" fillId="2" borderId="11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8" xfId="0" quotePrefix="1" applyFont="1" applyFill="1" applyBorder="1"/>
    <xf numFmtId="0" fontId="1" fillId="0" borderId="9" xfId="0" applyFont="1" applyFill="1" applyBorder="1"/>
    <xf numFmtId="9" fontId="1" fillId="2" borderId="8" xfId="0" applyNumberFormat="1" applyFont="1" applyFill="1" applyBorder="1" applyAlignment="1">
      <alignment horizontal="center"/>
    </xf>
    <xf numFmtId="164" fontId="1" fillId="0" borderId="8" xfId="0" applyNumberFormat="1" applyFont="1" applyFill="1" applyBorder="1" applyAlignment="1">
      <alignment horizontal="left"/>
    </xf>
    <xf numFmtId="164" fontId="1" fillId="0" borderId="9" xfId="0" applyNumberFormat="1" applyFont="1" applyFill="1" applyBorder="1" applyAlignment="1">
      <alignment horizontal="left"/>
    </xf>
    <xf numFmtId="0" fontId="1" fillId="0" borderId="0" xfId="0" applyFont="1"/>
    <xf numFmtId="164" fontId="1" fillId="2" borderId="11" xfId="0" applyNumberFormat="1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14" fontId="1" fillId="0" borderId="8" xfId="0" applyNumberFormat="1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164" fontId="1" fillId="2" borderId="8" xfId="0" applyNumberFormat="1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left"/>
    </xf>
    <xf numFmtId="0" fontId="1" fillId="0" borderId="8" xfId="0" applyFont="1" applyFill="1" applyBorder="1"/>
    <xf numFmtId="0" fontId="1" fillId="2" borderId="1" xfId="0" applyFont="1" applyFill="1" applyBorder="1" applyAlignment="1">
      <alignment shrinkToFit="1"/>
    </xf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0" borderId="8" xfId="0" quotePrefix="1" applyNumberFormat="1" applyFont="1" applyFill="1" applyBorder="1" applyAlignment="1">
      <alignment horizontal="left"/>
    </xf>
    <xf numFmtId="0" fontId="1" fillId="2" borderId="8" xfId="0" quotePrefix="1" applyFont="1" applyFill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</xdr:colOff>
      <xdr:row>0</xdr:row>
      <xdr:rowOff>95250</xdr:rowOff>
    </xdr:from>
    <xdr:to>
      <xdr:col>8</xdr:col>
      <xdr:colOff>12700</xdr:colOff>
      <xdr:row>6</xdr:row>
      <xdr:rowOff>38100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xmlns="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66675" y="95250"/>
          <a:ext cx="4752975" cy="108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200" b="0" i="0" strike="noStrike">
              <a:solidFill>
                <a:srgbClr val="FF0000"/>
              </a:solidFill>
              <a:latin typeface="Centaur" panose="02030504050205020304" pitchFamily="18" charset="0"/>
            </a:rPr>
            <a:t>J a i k v i n  G l o b a l</a:t>
          </a:r>
          <a:endParaRPr lang="en-US" sz="1000" b="0" i="0" strike="noStrike">
            <a:solidFill>
              <a:srgbClr val="000000"/>
            </a:solidFill>
            <a:latin typeface="Centaur" panose="02030504050205020304" pitchFamily="18" charset="0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Merchant Exporters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A-101,</a:t>
          </a:r>
          <a:r>
            <a:rPr lang="en-US" sz="1000" b="0" i="0" strike="noStrike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Rajshree Royale, Navroji Lane, Karani Lane, Ghatkopar (W)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Mumbai-400086. Tel: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91-9987122600.</a:t>
          </a:r>
          <a:r>
            <a:rPr lang="en-US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E-Mail: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aalok.shah@jaikvinglobal.com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GSTIN: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27AVIPS4808H1Z8</a:t>
          </a:r>
          <a:r>
            <a:rPr lang="en-US" sz="1000" b="0" i="0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PAN</a:t>
          </a:r>
          <a:r>
            <a:rPr lang="en-US" sz="1000" b="0" i="0">
              <a:solidFill>
                <a:srgbClr val="0070C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US" sz="1000" b="0" i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AVIPS4808H</a:t>
          </a:r>
          <a:endParaRPr lang="en-US" sz="1000" b="0" i="0" strike="noStrike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41275</xdr:colOff>
      <xdr:row>0</xdr:row>
      <xdr:rowOff>85725</xdr:rowOff>
    </xdr:from>
    <xdr:to>
      <xdr:col>9</xdr:col>
      <xdr:colOff>587375</xdr:colOff>
      <xdr:row>6</xdr:row>
      <xdr:rowOff>38100</xdr:rowOff>
    </xdr:to>
    <xdr:sp macro="" textlink="">
      <xdr:nvSpPr>
        <xdr:cNvPr id="1033" name="Text Box 2">
          <a:extLst>
            <a:ext uri="{FF2B5EF4-FFF2-40B4-BE49-F238E27FC236}">
              <a16:creationId xmlns:a16="http://schemas.microsoft.com/office/drawing/2014/main" xmlns="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4848225" y="85725"/>
          <a:ext cx="1171575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161925</xdr:colOff>
      <xdr:row>0</xdr:row>
      <xdr:rowOff>171450</xdr:rowOff>
    </xdr:from>
    <xdr:to>
      <xdr:col>9</xdr:col>
      <xdr:colOff>447675</xdr:colOff>
      <xdr:row>5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71450"/>
          <a:ext cx="895350" cy="895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</xdr:colOff>
      <xdr:row>0</xdr:row>
      <xdr:rowOff>95250</xdr:rowOff>
    </xdr:from>
    <xdr:to>
      <xdr:col>8</xdr:col>
      <xdr:colOff>12700</xdr:colOff>
      <xdr:row>6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DDFD811B-4FD1-4AE0-86E5-12E6D798D183}"/>
            </a:ext>
          </a:extLst>
        </xdr:cNvPr>
        <xdr:cNvSpPr txBox="1">
          <a:spLocks noChangeArrowheads="1"/>
        </xdr:cNvSpPr>
      </xdr:nvSpPr>
      <xdr:spPr bwMode="auto">
        <a:xfrm>
          <a:off x="66675" y="95250"/>
          <a:ext cx="4981575" cy="1047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200" b="0" i="0" strike="noStrike">
              <a:solidFill>
                <a:srgbClr val="FF0000"/>
              </a:solidFill>
              <a:latin typeface="Centaur" panose="02030504050205020304" pitchFamily="18" charset="0"/>
            </a:rPr>
            <a:t>J a i k v i n  G l o b a l</a:t>
          </a:r>
          <a:endParaRPr lang="en-US" sz="1000" b="0" i="0" strike="noStrike">
            <a:solidFill>
              <a:srgbClr val="000000"/>
            </a:solidFill>
            <a:latin typeface="Centaur" panose="02030504050205020304" pitchFamily="18" charset="0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Merchant Exporters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A-101,</a:t>
          </a:r>
          <a:r>
            <a:rPr lang="en-US" sz="1000" b="0" i="0" strike="noStrike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Rajshree Royale, Navroji Lane, Karani Lane, Ghatkopar (W)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Mumbai-400086. Tel: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91-9987122600.</a:t>
          </a:r>
          <a:r>
            <a:rPr lang="en-US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E-Mail: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aalok.shah@jaikvinglobal.com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GSTIN: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27AVIPS4808H1Z8</a:t>
          </a:r>
          <a:r>
            <a:rPr lang="en-US" sz="1000" b="0" i="0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PAN</a:t>
          </a:r>
          <a:r>
            <a:rPr lang="en-US" sz="1000" b="0" i="0">
              <a:solidFill>
                <a:srgbClr val="0070C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US" sz="1000" b="0" i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AVIPS4808H</a:t>
          </a:r>
          <a:endParaRPr lang="en-US" sz="1000" b="0" i="0" strike="noStrike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41275</xdr:colOff>
      <xdr:row>0</xdr:row>
      <xdr:rowOff>85725</xdr:rowOff>
    </xdr:from>
    <xdr:to>
      <xdr:col>9</xdr:col>
      <xdr:colOff>587375</xdr:colOff>
      <xdr:row>6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E0357550-4554-4E31-9E40-7AC59E8A8914}"/>
            </a:ext>
          </a:extLst>
        </xdr:cNvPr>
        <xdr:cNvSpPr txBox="1">
          <a:spLocks noChangeArrowheads="1"/>
        </xdr:cNvSpPr>
      </xdr:nvSpPr>
      <xdr:spPr bwMode="auto">
        <a:xfrm>
          <a:off x="5076825" y="85725"/>
          <a:ext cx="1187450" cy="1057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161925</xdr:colOff>
      <xdr:row>0</xdr:row>
      <xdr:rowOff>171450</xdr:rowOff>
    </xdr:from>
    <xdr:to>
      <xdr:col>9</xdr:col>
      <xdr:colOff>447675</xdr:colOff>
      <xdr:row>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E048A4-2B29-49C9-BD3C-C478AEA4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7475" y="171450"/>
          <a:ext cx="927100" cy="863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</xdr:colOff>
      <xdr:row>0</xdr:row>
      <xdr:rowOff>95250</xdr:rowOff>
    </xdr:from>
    <xdr:to>
      <xdr:col>8</xdr:col>
      <xdr:colOff>12700</xdr:colOff>
      <xdr:row>6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DDFD811B-4FD1-4AE0-86E5-12E6D798D183}"/>
            </a:ext>
          </a:extLst>
        </xdr:cNvPr>
        <xdr:cNvSpPr txBox="1">
          <a:spLocks noChangeArrowheads="1"/>
        </xdr:cNvSpPr>
      </xdr:nvSpPr>
      <xdr:spPr bwMode="auto">
        <a:xfrm>
          <a:off x="66675" y="95250"/>
          <a:ext cx="4737100" cy="108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200" b="0" i="0" strike="noStrike">
              <a:solidFill>
                <a:srgbClr val="FF0000"/>
              </a:solidFill>
              <a:latin typeface="Centaur" panose="02030504050205020304" pitchFamily="18" charset="0"/>
            </a:rPr>
            <a:t>J a i k v i n  G l o b a l</a:t>
          </a:r>
          <a:endParaRPr lang="en-US" sz="1000" b="0" i="0" strike="noStrike">
            <a:solidFill>
              <a:srgbClr val="000000"/>
            </a:solidFill>
            <a:latin typeface="Centaur" panose="02030504050205020304" pitchFamily="18" charset="0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Merchant Exporters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A-101,</a:t>
          </a:r>
          <a:r>
            <a:rPr lang="en-US" sz="1000" b="0" i="0" strike="noStrike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Rajshree Royale, Navroji Lane, Karani Lane, Ghatkopar (W)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Mumbai-400086. Tel: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91-9987122600.</a:t>
          </a:r>
          <a:r>
            <a:rPr lang="en-US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E-Mail: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aalok.shah@jaikvinglobal.com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GSTIN: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27AVIPS4808H1Z8</a:t>
          </a:r>
          <a:r>
            <a:rPr lang="en-US" sz="1000" b="0" i="0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PAN</a:t>
          </a:r>
          <a:r>
            <a:rPr lang="en-US" sz="1000" b="0" i="0">
              <a:solidFill>
                <a:srgbClr val="0070C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US" sz="1000" b="0" i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AVIPS4808H</a:t>
          </a:r>
          <a:endParaRPr lang="en-US" sz="1000" b="0" i="0" strike="noStrike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41275</xdr:colOff>
      <xdr:row>0</xdr:row>
      <xdr:rowOff>85725</xdr:rowOff>
    </xdr:from>
    <xdr:to>
      <xdr:col>9</xdr:col>
      <xdr:colOff>587375</xdr:colOff>
      <xdr:row>6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E0357550-4554-4E31-9E40-7AC59E8A8914}"/>
            </a:ext>
          </a:extLst>
        </xdr:cNvPr>
        <xdr:cNvSpPr txBox="1">
          <a:spLocks noChangeArrowheads="1"/>
        </xdr:cNvSpPr>
      </xdr:nvSpPr>
      <xdr:spPr bwMode="auto">
        <a:xfrm>
          <a:off x="4832350" y="85725"/>
          <a:ext cx="1155700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161925</xdr:colOff>
      <xdr:row>0</xdr:row>
      <xdr:rowOff>171450</xdr:rowOff>
    </xdr:from>
    <xdr:to>
      <xdr:col>9</xdr:col>
      <xdr:colOff>447675</xdr:colOff>
      <xdr:row>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E048A4-2B29-49C9-BD3C-C478AEA4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71450"/>
          <a:ext cx="895350" cy="895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</xdr:colOff>
      <xdr:row>0</xdr:row>
      <xdr:rowOff>95250</xdr:rowOff>
    </xdr:from>
    <xdr:to>
      <xdr:col>8</xdr:col>
      <xdr:colOff>12700</xdr:colOff>
      <xdr:row>6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9AFEBF4E-B8E9-4BE9-AC5D-B855719CC575}"/>
            </a:ext>
          </a:extLst>
        </xdr:cNvPr>
        <xdr:cNvSpPr txBox="1">
          <a:spLocks noChangeArrowheads="1"/>
        </xdr:cNvSpPr>
      </xdr:nvSpPr>
      <xdr:spPr bwMode="auto">
        <a:xfrm>
          <a:off x="66675" y="95250"/>
          <a:ext cx="4981575" cy="1047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200" b="0" i="0" strike="noStrike">
              <a:solidFill>
                <a:srgbClr val="FF0000"/>
              </a:solidFill>
              <a:latin typeface="Centaur" panose="02030504050205020304" pitchFamily="18" charset="0"/>
            </a:rPr>
            <a:t>J a i k v i n  G l o b a l</a:t>
          </a:r>
          <a:endParaRPr lang="en-US" sz="1000" b="0" i="0" strike="noStrike">
            <a:solidFill>
              <a:srgbClr val="000000"/>
            </a:solidFill>
            <a:latin typeface="Centaur" panose="02030504050205020304" pitchFamily="18" charset="0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Merchant Exporters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A-101,</a:t>
          </a:r>
          <a:r>
            <a:rPr lang="en-US" sz="1000" b="0" i="0" strike="noStrike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Rajshree Royale, Navroji Lane, Karani Lane, Ghatkopar (W)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Mumbai-400086. Tel: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91-9987122600.</a:t>
          </a:r>
          <a:r>
            <a:rPr lang="en-US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E-Mail: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aalok.shah@jaikvinglobal.com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GSTIN: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27AVIPS4808H1Z8</a:t>
          </a:r>
          <a:r>
            <a:rPr lang="en-US" sz="1000" b="0" i="0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PAN</a:t>
          </a:r>
          <a:r>
            <a:rPr lang="en-US" sz="1000" b="0" i="0">
              <a:solidFill>
                <a:srgbClr val="0070C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US" sz="1000" b="0" i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AVIPS4808H</a:t>
          </a:r>
          <a:endParaRPr lang="en-US" sz="1000" b="0" i="0" strike="noStrike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41275</xdr:colOff>
      <xdr:row>0</xdr:row>
      <xdr:rowOff>85725</xdr:rowOff>
    </xdr:from>
    <xdr:to>
      <xdr:col>9</xdr:col>
      <xdr:colOff>587375</xdr:colOff>
      <xdr:row>6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5287AC0B-A23F-4A33-A369-B2AED4DF8B19}"/>
            </a:ext>
          </a:extLst>
        </xdr:cNvPr>
        <xdr:cNvSpPr txBox="1">
          <a:spLocks noChangeArrowheads="1"/>
        </xdr:cNvSpPr>
      </xdr:nvSpPr>
      <xdr:spPr bwMode="auto">
        <a:xfrm>
          <a:off x="5076825" y="85725"/>
          <a:ext cx="1187450" cy="1057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161925</xdr:colOff>
      <xdr:row>0</xdr:row>
      <xdr:rowOff>171450</xdr:rowOff>
    </xdr:from>
    <xdr:to>
      <xdr:col>9</xdr:col>
      <xdr:colOff>447675</xdr:colOff>
      <xdr:row>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9282973E-C232-4A21-8940-E9FCF33F3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7475" y="171450"/>
          <a:ext cx="927100" cy="863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</xdr:colOff>
      <xdr:row>0</xdr:row>
      <xdr:rowOff>95250</xdr:rowOff>
    </xdr:from>
    <xdr:to>
      <xdr:col>8</xdr:col>
      <xdr:colOff>12700</xdr:colOff>
      <xdr:row>6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9AFEBF4E-B8E9-4BE9-AC5D-B855719CC575}"/>
            </a:ext>
          </a:extLst>
        </xdr:cNvPr>
        <xdr:cNvSpPr txBox="1">
          <a:spLocks noChangeArrowheads="1"/>
        </xdr:cNvSpPr>
      </xdr:nvSpPr>
      <xdr:spPr bwMode="auto">
        <a:xfrm>
          <a:off x="66675" y="95250"/>
          <a:ext cx="4737100" cy="108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200" b="0" i="0" strike="noStrike">
              <a:solidFill>
                <a:srgbClr val="FF0000"/>
              </a:solidFill>
              <a:latin typeface="Centaur" panose="02030504050205020304" pitchFamily="18" charset="0"/>
            </a:rPr>
            <a:t>J a i k v i n  G l o b a l</a:t>
          </a:r>
          <a:endParaRPr lang="en-US" sz="1000" b="0" i="0" strike="noStrike">
            <a:solidFill>
              <a:srgbClr val="000000"/>
            </a:solidFill>
            <a:latin typeface="Centaur" panose="02030504050205020304" pitchFamily="18" charset="0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Merchant Exporters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A-101,</a:t>
          </a:r>
          <a:r>
            <a:rPr lang="en-US" sz="1000" b="0" i="0" strike="noStrike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Rajshree Royale, Navroji Lane, Karani Lane, Ghatkopar (W)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Mumbai-400086. Tel: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91-9987122600.</a:t>
          </a:r>
          <a:r>
            <a:rPr lang="en-US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E-Mail: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aalok.shah@jaikvinglobal.com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GSTIN: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27AVIPS4808H1Z8</a:t>
          </a:r>
          <a:r>
            <a:rPr lang="en-US" sz="1000" b="0" i="0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PAN</a:t>
          </a:r>
          <a:r>
            <a:rPr lang="en-US" sz="1000" b="0" i="0">
              <a:solidFill>
                <a:srgbClr val="0070C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US" sz="1000" b="0" i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AVIPS4808H</a:t>
          </a:r>
          <a:endParaRPr lang="en-US" sz="1000" b="0" i="0" strike="noStrike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41275</xdr:colOff>
      <xdr:row>0</xdr:row>
      <xdr:rowOff>85725</xdr:rowOff>
    </xdr:from>
    <xdr:to>
      <xdr:col>9</xdr:col>
      <xdr:colOff>587375</xdr:colOff>
      <xdr:row>6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5287AC0B-A23F-4A33-A369-B2AED4DF8B19}"/>
            </a:ext>
          </a:extLst>
        </xdr:cNvPr>
        <xdr:cNvSpPr txBox="1">
          <a:spLocks noChangeArrowheads="1"/>
        </xdr:cNvSpPr>
      </xdr:nvSpPr>
      <xdr:spPr bwMode="auto">
        <a:xfrm>
          <a:off x="4832350" y="85725"/>
          <a:ext cx="1155700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161925</xdr:colOff>
      <xdr:row>0</xdr:row>
      <xdr:rowOff>171450</xdr:rowOff>
    </xdr:from>
    <xdr:to>
      <xdr:col>9</xdr:col>
      <xdr:colOff>447675</xdr:colOff>
      <xdr:row>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9282973E-C232-4A21-8940-E9FCF33F3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71450"/>
          <a:ext cx="89535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tabSelected="1" zoomScaleNormal="100" workbookViewId="0">
      <selection sqref="A1:J1"/>
    </sheetView>
  </sheetViews>
  <sheetFormatPr defaultColWidth="9.140625" defaultRowHeight="15" x14ac:dyDescent="0.25"/>
  <cols>
    <col min="1" max="1" width="6.7109375" style="1" bestFit="1" customWidth="1"/>
    <col min="2" max="3" width="9.140625" style="1" customWidth="1"/>
    <col min="4" max="4" width="10.28515625" style="1" bestFit="1" customWidth="1"/>
    <col min="5" max="10" width="9.140625" style="1" customWidth="1"/>
    <col min="11" max="11" width="10.28515625" style="1" bestFit="1" customWidth="1"/>
    <col min="12" max="16384" width="9.140625" style="1"/>
  </cols>
  <sheetData>
    <row r="1" spans="1:1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3"/>
      <c r="L1" s="3"/>
    </row>
    <row r="2" spans="1:12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3"/>
      <c r="L2" s="3"/>
    </row>
    <row r="3" spans="1:1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3"/>
      <c r="L3" s="3"/>
    </row>
    <row r="4" spans="1:12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3"/>
      <c r="L4" s="3"/>
    </row>
    <row r="5" spans="1:1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3"/>
      <c r="L5" s="3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3"/>
      <c r="L6" s="3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3"/>
      <c r="L7" s="3"/>
    </row>
    <row r="8" spans="1:1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3"/>
      <c r="L8" s="3"/>
    </row>
    <row r="9" spans="1:12" x14ac:dyDescent="0.25">
      <c r="A9" s="18" t="s">
        <v>1</v>
      </c>
      <c r="B9" s="18"/>
      <c r="C9" s="18"/>
      <c r="D9" s="18"/>
      <c r="E9" s="18"/>
      <c r="F9" s="18"/>
      <c r="G9" s="18"/>
      <c r="H9" s="18"/>
      <c r="I9" s="18"/>
      <c r="J9" s="18"/>
      <c r="K9" s="3"/>
      <c r="L9" s="3"/>
    </row>
    <row r="10" spans="1:12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3"/>
      <c r="L10" s="3"/>
    </row>
    <row r="11" spans="1:12" x14ac:dyDescent="0.25">
      <c r="A11" s="3" t="s">
        <v>2</v>
      </c>
      <c r="B11" s="23" t="s">
        <v>49</v>
      </c>
      <c r="C11" s="23"/>
      <c r="D11" s="23"/>
      <c r="E11" s="23"/>
      <c r="F11" s="3" t="s">
        <v>3</v>
      </c>
      <c r="G11" s="24" t="s">
        <v>50</v>
      </c>
      <c r="H11" s="25"/>
      <c r="I11" s="25"/>
      <c r="J11" s="25"/>
      <c r="K11" s="3"/>
      <c r="L11" s="3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3"/>
      <c r="L12" s="3"/>
    </row>
    <row r="13" spans="1:12" x14ac:dyDescent="0.25">
      <c r="A13" s="19" t="s">
        <v>4</v>
      </c>
      <c r="B13" s="19"/>
      <c r="C13" s="19"/>
      <c r="D13" s="19"/>
      <c r="E13" s="19"/>
      <c r="F13" s="19" t="s">
        <v>34</v>
      </c>
      <c r="G13" s="19"/>
      <c r="H13" s="19"/>
      <c r="I13" s="19"/>
      <c r="J13" s="19"/>
      <c r="K13" s="3"/>
      <c r="L13" s="3"/>
    </row>
    <row r="14" spans="1:12" x14ac:dyDescent="0.25">
      <c r="A14" s="19" t="s">
        <v>5</v>
      </c>
      <c r="B14" s="19"/>
      <c r="C14" s="19"/>
      <c r="D14" s="19"/>
      <c r="E14" s="19"/>
      <c r="F14" s="20" t="s">
        <v>35</v>
      </c>
      <c r="G14" s="21"/>
      <c r="H14" s="21"/>
      <c r="I14" s="21"/>
      <c r="J14" s="21"/>
      <c r="K14" s="3"/>
      <c r="L14" s="3"/>
    </row>
    <row r="15" spans="1:12" x14ac:dyDescent="0.25">
      <c r="A15" s="19" t="s">
        <v>6</v>
      </c>
      <c r="B15" s="19"/>
      <c r="C15" s="19"/>
      <c r="D15" s="19"/>
      <c r="E15" s="19"/>
      <c r="F15" s="22">
        <v>1034752.71</v>
      </c>
      <c r="G15" s="22"/>
      <c r="H15" s="22"/>
      <c r="I15" s="22"/>
      <c r="J15" s="22"/>
      <c r="K15" s="3"/>
      <c r="L15" s="3"/>
    </row>
    <row r="16" spans="1:12" x14ac:dyDescent="0.25">
      <c r="A16" s="26" t="s">
        <v>7</v>
      </c>
      <c r="B16" s="26"/>
      <c r="C16" s="26"/>
      <c r="D16" s="26"/>
      <c r="E16" s="26"/>
      <c r="F16" s="28" t="s">
        <v>36</v>
      </c>
      <c r="G16" s="28"/>
      <c r="H16" s="28"/>
      <c r="I16" s="28"/>
      <c r="J16" s="28"/>
      <c r="K16" s="3"/>
      <c r="L16" s="3"/>
    </row>
    <row r="17" spans="1:12" x14ac:dyDescent="0.25">
      <c r="A17" s="29" t="s">
        <v>8</v>
      </c>
      <c r="B17" s="29"/>
      <c r="C17" s="29"/>
      <c r="D17" s="29"/>
      <c r="E17" s="29"/>
      <c r="F17" s="30"/>
      <c r="G17" s="30"/>
      <c r="H17" s="30"/>
      <c r="I17" s="30"/>
      <c r="J17" s="30"/>
      <c r="K17" s="3"/>
      <c r="L17" s="3"/>
    </row>
    <row r="18" spans="1:12" x14ac:dyDescent="0.25">
      <c r="A18" s="26" t="s">
        <v>9</v>
      </c>
      <c r="B18" s="26"/>
      <c r="C18" s="26"/>
      <c r="D18" s="26"/>
      <c r="E18" s="26"/>
      <c r="F18" s="31">
        <f>K41</f>
        <v>759268</v>
      </c>
      <c r="G18" s="32"/>
      <c r="H18" s="32"/>
      <c r="I18" s="32"/>
      <c r="J18" s="33"/>
      <c r="K18" s="4"/>
      <c r="L18" s="3"/>
    </row>
    <row r="19" spans="1:12" x14ac:dyDescent="0.25">
      <c r="A19" s="29"/>
      <c r="B19" s="29"/>
      <c r="C19" s="29"/>
      <c r="D19" s="29"/>
      <c r="E19" s="29"/>
      <c r="F19" s="30"/>
      <c r="G19" s="30"/>
      <c r="H19" s="30"/>
      <c r="I19" s="30"/>
      <c r="J19" s="30"/>
      <c r="K19" s="3"/>
      <c r="L19" s="3"/>
    </row>
    <row r="20" spans="1:12" x14ac:dyDescent="0.25">
      <c r="A20" s="26" t="s">
        <v>10</v>
      </c>
      <c r="B20" s="26"/>
      <c r="C20" s="26"/>
      <c r="D20" s="26"/>
      <c r="E20" s="26"/>
      <c r="F20" s="27">
        <f>F18*8/100</f>
        <v>60741.440000000002</v>
      </c>
      <c r="G20" s="28"/>
      <c r="H20" s="28"/>
      <c r="I20" s="28"/>
      <c r="J20" s="28"/>
      <c r="K20" s="3"/>
      <c r="L20" s="3"/>
    </row>
    <row r="21" spans="1:12" x14ac:dyDescent="0.25">
      <c r="A21" s="29"/>
      <c r="B21" s="29"/>
      <c r="C21" s="29"/>
      <c r="D21" s="29"/>
      <c r="E21" s="29"/>
      <c r="F21" s="30"/>
      <c r="G21" s="30"/>
      <c r="H21" s="30"/>
      <c r="I21" s="30"/>
      <c r="J21" s="30"/>
      <c r="K21" s="3"/>
      <c r="L21" s="3"/>
    </row>
    <row r="22" spans="1:12" x14ac:dyDescent="0.25">
      <c r="A22" s="26" t="s">
        <v>11</v>
      </c>
      <c r="B22" s="26"/>
      <c r="C22" s="26"/>
      <c r="D22" s="26"/>
      <c r="E22" s="26"/>
      <c r="F22" s="27">
        <f>F15-F18-F20</f>
        <v>214743.26999999996</v>
      </c>
      <c r="G22" s="28"/>
      <c r="H22" s="28"/>
      <c r="I22" s="28"/>
      <c r="J22" s="28"/>
      <c r="K22" s="3"/>
      <c r="L22" s="3"/>
    </row>
    <row r="23" spans="1:12" x14ac:dyDescent="0.25">
      <c r="A23" s="29" t="s">
        <v>12</v>
      </c>
      <c r="B23" s="29"/>
      <c r="C23" s="29"/>
      <c r="D23" s="29"/>
      <c r="E23" s="29"/>
      <c r="F23" s="30"/>
      <c r="G23" s="30"/>
      <c r="H23" s="30"/>
      <c r="I23" s="30"/>
      <c r="J23" s="30"/>
      <c r="K23" s="3"/>
      <c r="L23" s="3"/>
    </row>
    <row r="24" spans="1:12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"/>
      <c r="L24" s="3"/>
    </row>
    <row r="25" spans="1:12" x14ac:dyDescent="0.25">
      <c r="A25" s="17" t="s">
        <v>13</v>
      </c>
      <c r="B25" s="17"/>
      <c r="C25" s="17"/>
      <c r="D25" s="17"/>
      <c r="E25" s="17"/>
      <c r="F25" s="17"/>
      <c r="G25" s="17"/>
      <c r="H25" s="17"/>
      <c r="I25" s="17"/>
      <c r="J25" s="17"/>
      <c r="K25" s="3"/>
      <c r="L25" s="3"/>
    </row>
    <row r="26" spans="1:12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3"/>
      <c r="L26" s="3"/>
    </row>
    <row r="27" spans="1:12" x14ac:dyDescent="0.25">
      <c r="A27" s="5" t="s">
        <v>14</v>
      </c>
      <c r="B27" s="26" t="s">
        <v>15</v>
      </c>
      <c r="C27" s="26"/>
      <c r="D27" s="5" t="s">
        <v>17</v>
      </c>
      <c r="E27" s="5" t="s">
        <v>19</v>
      </c>
      <c r="F27" s="26" t="s">
        <v>21</v>
      </c>
      <c r="G27" s="26"/>
      <c r="H27" s="5" t="s">
        <v>23</v>
      </c>
      <c r="I27" s="26" t="s">
        <v>24</v>
      </c>
      <c r="J27" s="26"/>
      <c r="K27" s="26" t="s">
        <v>27</v>
      </c>
      <c r="L27" s="26"/>
    </row>
    <row r="28" spans="1:12" x14ac:dyDescent="0.25">
      <c r="A28" s="6"/>
      <c r="B28" s="34" t="s">
        <v>16</v>
      </c>
      <c r="C28" s="34"/>
      <c r="D28" s="6" t="s">
        <v>18</v>
      </c>
      <c r="E28" s="6" t="s">
        <v>20</v>
      </c>
      <c r="F28" s="34" t="s">
        <v>22</v>
      </c>
      <c r="G28" s="34"/>
      <c r="H28" s="6"/>
      <c r="I28" s="34" t="s">
        <v>25</v>
      </c>
      <c r="J28" s="34"/>
      <c r="K28" s="34" t="s">
        <v>28</v>
      </c>
      <c r="L28" s="34"/>
    </row>
    <row r="29" spans="1:12" x14ac:dyDescent="0.25">
      <c r="A29" s="7"/>
      <c r="B29" s="29"/>
      <c r="C29" s="29"/>
      <c r="D29" s="7"/>
      <c r="E29" s="7"/>
      <c r="F29" s="35"/>
      <c r="G29" s="36"/>
      <c r="H29" s="7"/>
      <c r="I29" s="29" t="s">
        <v>26</v>
      </c>
      <c r="J29" s="29"/>
      <c r="K29" s="29" t="s">
        <v>29</v>
      </c>
      <c r="L29" s="29"/>
    </row>
    <row r="30" spans="1:12" x14ac:dyDescent="0.25">
      <c r="A30" s="8"/>
      <c r="B30" s="39"/>
      <c r="C30" s="40"/>
      <c r="D30" s="8"/>
      <c r="E30" s="8"/>
      <c r="F30" s="39"/>
      <c r="G30" s="40"/>
      <c r="H30" s="8"/>
      <c r="I30" s="39"/>
      <c r="J30" s="40"/>
      <c r="K30" s="39"/>
      <c r="L30" s="40"/>
    </row>
    <row r="31" spans="1:12" x14ac:dyDescent="0.25">
      <c r="A31" s="8"/>
      <c r="B31" s="41" t="s">
        <v>30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x14ac:dyDescent="0.25">
      <c r="A32" s="8"/>
      <c r="B32" s="39"/>
      <c r="C32" s="40"/>
      <c r="D32" s="8"/>
      <c r="E32" s="8"/>
      <c r="F32" s="39"/>
      <c r="G32" s="40"/>
      <c r="H32" s="8"/>
      <c r="I32" s="39"/>
      <c r="J32" s="40"/>
      <c r="K32" s="39"/>
      <c r="L32" s="40"/>
    </row>
    <row r="33" spans="1:12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1:12" x14ac:dyDescent="0.25">
      <c r="A34" s="17"/>
      <c r="B34" s="17"/>
      <c r="C34" s="17"/>
      <c r="D34" s="17"/>
      <c r="E34" s="17"/>
      <c r="F34" s="17"/>
      <c r="G34" s="17"/>
      <c r="H34" s="17"/>
      <c r="I34" s="17" t="s">
        <v>31</v>
      </c>
      <c r="J34" s="17"/>
      <c r="K34" s="38"/>
      <c r="L34" s="38"/>
    </row>
    <row r="35" spans="1:12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25">
      <c r="A36" s="17" t="s">
        <v>32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 spans="1:12" x14ac:dyDescent="0.25">
      <c r="A38" s="5" t="s">
        <v>14</v>
      </c>
      <c r="B38" s="26" t="s">
        <v>15</v>
      </c>
      <c r="C38" s="26"/>
      <c r="D38" s="5" t="s">
        <v>17</v>
      </c>
      <c r="E38" s="5" t="s">
        <v>19</v>
      </c>
      <c r="F38" s="26" t="s">
        <v>21</v>
      </c>
      <c r="G38" s="26"/>
      <c r="H38" s="5" t="s">
        <v>23</v>
      </c>
      <c r="I38" s="26" t="s">
        <v>24</v>
      </c>
      <c r="J38" s="26"/>
      <c r="K38" s="26" t="s">
        <v>27</v>
      </c>
      <c r="L38" s="26"/>
    </row>
    <row r="39" spans="1:12" x14ac:dyDescent="0.25">
      <c r="A39" s="6"/>
      <c r="B39" s="34" t="s">
        <v>16</v>
      </c>
      <c r="C39" s="34"/>
      <c r="D39" s="6" t="s">
        <v>18</v>
      </c>
      <c r="E39" s="6" t="s">
        <v>20</v>
      </c>
      <c r="F39" s="34" t="s">
        <v>22</v>
      </c>
      <c r="G39" s="34"/>
      <c r="H39" s="6"/>
      <c r="I39" s="34" t="s">
        <v>25</v>
      </c>
      <c r="J39" s="34"/>
      <c r="K39" s="34" t="s">
        <v>28</v>
      </c>
      <c r="L39" s="34"/>
    </row>
    <row r="40" spans="1:12" x14ac:dyDescent="0.25">
      <c r="A40" s="7"/>
      <c r="B40" s="29"/>
      <c r="C40" s="29"/>
      <c r="D40" s="7"/>
      <c r="E40" s="7"/>
      <c r="F40" s="35"/>
      <c r="G40" s="36"/>
      <c r="H40" s="7"/>
      <c r="I40" s="29" t="s">
        <v>26</v>
      </c>
      <c r="J40" s="29"/>
      <c r="K40" s="29" t="s">
        <v>29</v>
      </c>
      <c r="L40" s="29"/>
    </row>
    <row r="41" spans="1:12" x14ac:dyDescent="0.25">
      <c r="A41" s="9">
        <v>1</v>
      </c>
      <c r="B41" s="39" t="s">
        <v>37</v>
      </c>
      <c r="C41" s="40"/>
      <c r="D41" s="8" t="s">
        <v>38</v>
      </c>
      <c r="E41" s="9">
        <v>3902</v>
      </c>
      <c r="F41" s="44" t="s">
        <v>48</v>
      </c>
      <c r="G41" s="45"/>
      <c r="H41" s="8" t="s">
        <v>39</v>
      </c>
      <c r="I41" s="46">
        <v>1</v>
      </c>
      <c r="J41" s="43"/>
      <c r="K41" s="47">
        <v>759268</v>
      </c>
      <c r="L41" s="48"/>
    </row>
    <row r="42" spans="1:12" x14ac:dyDescent="0.25">
      <c r="A42" s="8"/>
      <c r="B42" s="39"/>
      <c r="C42" s="40"/>
      <c r="D42" s="8"/>
      <c r="E42" s="8"/>
      <c r="F42" s="39"/>
      <c r="G42" s="40"/>
      <c r="H42" s="8"/>
      <c r="I42" s="39"/>
      <c r="J42" s="40"/>
      <c r="K42" s="39"/>
      <c r="L42" s="40"/>
    </row>
    <row r="43" spans="1:12" x14ac:dyDescent="0.25">
      <c r="A43" s="8"/>
      <c r="B43" s="39"/>
      <c r="C43" s="40"/>
      <c r="D43" s="8"/>
      <c r="E43" s="8"/>
      <c r="F43" s="39"/>
      <c r="G43" s="40"/>
      <c r="H43" s="8"/>
      <c r="I43" s="39"/>
      <c r="J43" s="40"/>
      <c r="K43" s="39"/>
      <c r="L43" s="40"/>
    </row>
    <row r="44" spans="1:12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2" x14ac:dyDescent="0.25">
      <c r="A45" s="17"/>
      <c r="B45" s="17"/>
      <c r="C45" s="17"/>
      <c r="D45" s="17"/>
      <c r="E45" s="17"/>
      <c r="F45" s="17"/>
      <c r="G45" s="17"/>
      <c r="H45" s="17"/>
      <c r="I45" s="17" t="s">
        <v>31</v>
      </c>
      <c r="J45" s="17"/>
      <c r="K45" s="50">
        <f>SUM(K41:L43)</f>
        <v>759268</v>
      </c>
      <c r="L45" s="51"/>
    </row>
    <row r="46" spans="1:12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x14ac:dyDescent="0.25">
      <c r="A47" s="17" t="s">
        <v>33</v>
      </c>
      <c r="B47" s="17"/>
      <c r="C47" s="17"/>
      <c r="D47" s="17"/>
      <c r="E47" s="17"/>
      <c r="F47" s="17"/>
      <c r="G47" s="17"/>
      <c r="H47" s="17"/>
      <c r="I47" s="17"/>
      <c r="J47" s="38"/>
      <c r="K47" s="38"/>
      <c r="L47" s="38"/>
    </row>
    <row r="48" spans="1:12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62" t="s">
        <v>56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2" x14ac:dyDescent="0.25">
      <c r="A50" s="62" t="s">
        <v>57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101">
    <mergeCell ref="A46:L46"/>
    <mergeCell ref="A48:L48"/>
    <mergeCell ref="A49:L49"/>
    <mergeCell ref="A50:L50"/>
    <mergeCell ref="A51:L51"/>
    <mergeCell ref="A47:I47"/>
    <mergeCell ref="J47:L47"/>
    <mergeCell ref="A45:H45"/>
    <mergeCell ref="I45:J45"/>
    <mergeCell ref="K45:L45"/>
    <mergeCell ref="A37:L37"/>
    <mergeCell ref="B42:C42"/>
    <mergeCell ref="F42:G42"/>
    <mergeCell ref="I42:J42"/>
    <mergeCell ref="K42:L42"/>
    <mergeCell ref="B43:C43"/>
    <mergeCell ref="F43:G43"/>
    <mergeCell ref="I43:J43"/>
    <mergeCell ref="K43:L43"/>
    <mergeCell ref="B38:C38"/>
    <mergeCell ref="F38:G38"/>
    <mergeCell ref="I38:J38"/>
    <mergeCell ref="K38:L38"/>
    <mergeCell ref="B39:C39"/>
    <mergeCell ref="F39:G39"/>
    <mergeCell ref="I39:J39"/>
    <mergeCell ref="K39:L39"/>
    <mergeCell ref="A44:L44"/>
    <mergeCell ref="B40:C40"/>
    <mergeCell ref="F40:G40"/>
    <mergeCell ref="I40:J40"/>
    <mergeCell ref="K40:L40"/>
    <mergeCell ref="B41:C41"/>
    <mergeCell ref="F41:G41"/>
    <mergeCell ref="I41:J41"/>
    <mergeCell ref="K41:L41"/>
    <mergeCell ref="A33:L33"/>
    <mergeCell ref="A34:H34"/>
    <mergeCell ref="I34:J34"/>
    <mergeCell ref="K34:L34"/>
    <mergeCell ref="A35:L35"/>
    <mergeCell ref="A36:L36"/>
    <mergeCell ref="I30:J30"/>
    <mergeCell ref="I32:J32"/>
    <mergeCell ref="K30:L30"/>
    <mergeCell ref="K32:L32"/>
    <mergeCell ref="B31:L31"/>
    <mergeCell ref="B30:C30"/>
    <mergeCell ref="B32:C32"/>
    <mergeCell ref="F32:G32"/>
    <mergeCell ref="F30:G30"/>
    <mergeCell ref="I29:J29"/>
    <mergeCell ref="K27:L27"/>
    <mergeCell ref="K28:L28"/>
    <mergeCell ref="K29:L29"/>
    <mergeCell ref="B29:C29"/>
    <mergeCell ref="F29:G29"/>
    <mergeCell ref="A24:J24"/>
    <mergeCell ref="A25:J25"/>
    <mergeCell ref="A26:J26"/>
    <mergeCell ref="B27:C27"/>
    <mergeCell ref="B28:C28"/>
    <mergeCell ref="F27:G27"/>
    <mergeCell ref="F28:G28"/>
    <mergeCell ref="I27:J27"/>
    <mergeCell ref="I28:J28"/>
    <mergeCell ref="A20:E20"/>
    <mergeCell ref="F20:J20"/>
    <mergeCell ref="A21:E21"/>
    <mergeCell ref="F21:J21"/>
    <mergeCell ref="A22:E22"/>
    <mergeCell ref="A23:E23"/>
    <mergeCell ref="F22:J22"/>
    <mergeCell ref="F23:J23"/>
    <mergeCell ref="A16:E16"/>
    <mergeCell ref="F16:J16"/>
    <mergeCell ref="A17:E17"/>
    <mergeCell ref="F17:J17"/>
    <mergeCell ref="F18:J18"/>
    <mergeCell ref="F19:J19"/>
    <mergeCell ref="A19:E19"/>
    <mergeCell ref="A18:E18"/>
    <mergeCell ref="A14:E14"/>
    <mergeCell ref="F14:J14"/>
    <mergeCell ref="A15:E15"/>
    <mergeCell ref="F15:J15"/>
    <mergeCell ref="A7:J7"/>
    <mergeCell ref="A8:J8"/>
    <mergeCell ref="A9:J9"/>
    <mergeCell ref="A10:J10"/>
    <mergeCell ref="B11:E11"/>
    <mergeCell ref="G11:J11"/>
    <mergeCell ref="A1:J1"/>
    <mergeCell ref="A2:J2"/>
    <mergeCell ref="A3:J3"/>
    <mergeCell ref="A4:J4"/>
    <mergeCell ref="A5:J5"/>
    <mergeCell ref="A6:J6"/>
    <mergeCell ref="A12:J12"/>
    <mergeCell ref="A13:E13"/>
    <mergeCell ref="F13:J13"/>
  </mergeCells>
  <phoneticPr fontId="0" type="noConversion"/>
  <pageMargins left="0.74803149606299213" right="0.51181102362204722" top="0.51181102362204722" bottom="0.51181102362204722" header="0" footer="0"/>
  <pageSetup paperSize="9" scale="83" fitToHeight="0" orientation="portrait" blackAndWhite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zoomScaleNormal="100" workbookViewId="0">
      <selection sqref="A1:J1"/>
    </sheetView>
  </sheetViews>
  <sheetFormatPr defaultColWidth="9.140625" defaultRowHeight="15" x14ac:dyDescent="0.25"/>
  <cols>
    <col min="1" max="1" width="6.7109375" style="1" bestFit="1" customWidth="1"/>
    <col min="2" max="3" width="9.140625" style="1" customWidth="1"/>
    <col min="4" max="4" width="10.28515625" style="1" bestFit="1" customWidth="1"/>
    <col min="5" max="10" width="9.140625" style="1" customWidth="1"/>
    <col min="11" max="11" width="10.28515625" style="1" bestFit="1" customWidth="1"/>
    <col min="12" max="16384" width="9.140625" style="1"/>
  </cols>
  <sheetData>
    <row r="1" spans="1:1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3"/>
      <c r="L1" s="3"/>
    </row>
    <row r="2" spans="1:12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3"/>
      <c r="L2" s="3"/>
    </row>
    <row r="3" spans="1:1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3"/>
      <c r="L3" s="3"/>
    </row>
    <row r="4" spans="1:12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3"/>
      <c r="L4" s="3"/>
    </row>
    <row r="5" spans="1:1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3"/>
      <c r="L5" s="3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3"/>
      <c r="L6" s="3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3"/>
      <c r="L7" s="3"/>
    </row>
    <row r="8" spans="1:1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3"/>
      <c r="L8" s="3"/>
    </row>
    <row r="9" spans="1:12" x14ac:dyDescent="0.25">
      <c r="A9" s="18" t="s">
        <v>1</v>
      </c>
      <c r="B9" s="18"/>
      <c r="C9" s="18"/>
      <c r="D9" s="18"/>
      <c r="E9" s="18"/>
      <c r="F9" s="18"/>
      <c r="G9" s="18"/>
      <c r="H9" s="18"/>
      <c r="I9" s="18"/>
      <c r="J9" s="18"/>
      <c r="K9" s="3"/>
      <c r="L9" s="3"/>
    </row>
    <row r="10" spans="1:12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3"/>
      <c r="L10" s="3"/>
    </row>
    <row r="11" spans="1:12" x14ac:dyDescent="0.25">
      <c r="A11" s="3" t="s">
        <v>2</v>
      </c>
      <c r="B11" s="17" t="str">
        <f>VP!B11:E11</f>
        <v>JG/26-27/6002</v>
      </c>
      <c r="C11" s="17"/>
      <c r="D11" s="17"/>
      <c r="E11" s="17"/>
      <c r="F11" s="3" t="s">
        <v>3</v>
      </c>
      <c r="G11" s="58" t="str">
        <f>VP!G11:J11</f>
        <v>04.05.2026</v>
      </c>
      <c r="H11" s="59"/>
      <c r="I11" s="59"/>
      <c r="J11" s="59"/>
      <c r="K11" s="3"/>
      <c r="L11" s="3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3"/>
      <c r="L12" s="3"/>
    </row>
    <row r="13" spans="1:12" x14ac:dyDescent="0.25">
      <c r="A13" s="19" t="s">
        <v>4</v>
      </c>
      <c r="B13" s="19"/>
      <c r="C13" s="19"/>
      <c r="D13" s="19"/>
      <c r="E13" s="19"/>
      <c r="F13" s="57" t="s">
        <v>34</v>
      </c>
      <c r="G13" s="57"/>
      <c r="H13" s="57"/>
      <c r="I13" s="57"/>
      <c r="J13" s="57"/>
      <c r="K13" s="3"/>
      <c r="L13" s="3"/>
    </row>
    <row r="14" spans="1:12" x14ac:dyDescent="0.25">
      <c r="A14" s="19" t="s">
        <v>5</v>
      </c>
      <c r="B14" s="19"/>
      <c r="C14" s="19"/>
      <c r="D14" s="19"/>
      <c r="E14" s="19"/>
      <c r="F14" s="20" t="s">
        <v>35</v>
      </c>
      <c r="G14" s="21"/>
      <c r="H14" s="21"/>
      <c r="I14" s="21"/>
      <c r="J14" s="21"/>
      <c r="K14" s="3"/>
      <c r="L14" s="3"/>
    </row>
    <row r="15" spans="1:12" x14ac:dyDescent="0.25">
      <c r="A15" s="19" t="s">
        <v>6</v>
      </c>
      <c r="B15" s="19"/>
      <c r="C15" s="19"/>
      <c r="D15" s="19"/>
      <c r="E15" s="19"/>
      <c r="F15" s="22">
        <v>576756</v>
      </c>
      <c r="G15" s="22"/>
      <c r="H15" s="22"/>
      <c r="I15" s="22"/>
      <c r="J15" s="22"/>
      <c r="K15" s="3"/>
      <c r="L15" s="3"/>
    </row>
    <row r="16" spans="1:12" x14ac:dyDescent="0.25">
      <c r="A16" s="26" t="s">
        <v>7</v>
      </c>
      <c r="B16" s="26"/>
      <c r="C16" s="26"/>
      <c r="D16" s="26"/>
      <c r="E16" s="26"/>
      <c r="F16" s="28" t="s">
        <v>36</v>
      </c>
      <c r="G16" s="28"/>
      <c r="H16" s="28"/>
      <c r="I16" s="28"/>
      <c r="J16" s="28"/>
      <c r="K16" s="3"/>
      <c r="L16" s="3"/>
    </row>
    <row r="17" spans="1:12" x14ac:dyDescent="0.25">
      <c r="A17" s="29" t="s">
        <v>8</v>
      </c>
      <c r="B17" s="29"/>
      <c r="C17" s="29"/>
      <c r="D17" s="29"/>
      <c r="E17" s="29"/>
      <c r="F17" s="30"/>
      <c r="G17" s="30"/>
      <c r="H17" s="30"/>
      <c r="I17" s="30"/>
      <c r="J17" s="30"/>
      <c r="K17" s="3"/>
      <c r="L17" s="3"/>
    </row>
    <row r="18" spans="1:12" x14ac:dyDescent="0.25">
      <c r="A18" s="26" t="s">
        <v>9</v>
      </c>
      <c r="B18" s="26"/>
      <c r="C18" s="26"/>
      <c r="D18" s="26"/>
      <c r="E18" s="26"/>
      <c r="F18" s="31">
        <f>K45</f>
        <v>366943</v>
      </c>
      <c r="G18" s="32"/>
      <c r="H18" s="32"/>
      <c r="I18" s="32"/>
      <c r="J18" s="33"/>
      <c r="K18" s="4"/>
      <c r="L18" s="3"/>
    </row>
    <row r="19" spans="1:12" x14ac:dyDescent="0.25">
      <c r="A19" s="29"/>
      <c r="B19" s="29"/>
      <c r="C19" s="29"/>
      <c r="D19" s="29"/>
      <c r="E19" s="29"/>
      <c r="F19" s="30"/>
      <c r="G19" s="30"/>
      <c r="H19" s="30"/>
      <c r="I19" s="30"/>
      <c r="J19" s="30"/>
      <c r="K19" s="3"/>
      <c r="L19" s="3"/>
    </row>
    <row r="20" spans="1:12" x14ac:dyDescent="0.25">
      <c r="A20" s="26" t="s">
        <v>10</v>
      </c>
      <c r="B20" s="26"/>
      <c r="C20" s="26"/>
      <c r="D20" s="26"/>
      <c r="E20" s="26"/>
      <c r="F20" s="27">
        <f>F18*8/100</f>
        <v>29355.439999999999</v>
      </c>
      <c r="G20" s="28"/>
      <c r="H20" s="28"/>
      <c r="I20" s="28"/>
      <c r="J20" s="28"/>
      <c r="K20" s="3"/>
      <c r="L20" s="3"/>
    </row>
    <row r="21" spans="1:12" x14ac:dyDescent="0.25">
      <c r="A21" s="29"/>
      <c r="B21" s="29"/>
      <c r="C21" s="29"/>
      <c r="D21" s="29"/>
      <c r="E21" s="29"/>
      <c r="F21" s="30"/>
      <c r="G21" s="30"/>
      <c r="H21" s="30"/>
      <c r="I21" s="30"/>
      <c r="J21" s="30"/>
      <c r="K21" s="3"/>
      <c r="L21" s="3"/>
    </row>
    <row r="22" spans="1:12" x14ac:dyDescent="0.25">
      <c r="A22" s="26" t="s">
        <v>11</v>
      </c>
      <c r="B22" s="26"/>
      <c r="C22" s="26"/>
      <c r="D22" s="26"/>
      <c r="E22" s="26"/>
      <c r="F22" s="27">
        <f>F15-F18-F20</f>
        <v>180457.56</v>
      </c>
      <c r="G22" s="28"/>
      <c r="H22" s="28"/>
      <c r="I22" s="28"/>
      <c r="J22" s="28"/>
      <c r="K22" s="3"/>
      <c r="L22" s="3"/>
    </row>
    <row r="23" spans="1:12" x14ac:dyDescent="0.25">
      <c r="A23" s="29" t="s">
        <v>12</v>
      </c>
      <c r="B23" s="29"/>
      <c r="C23" s="29"/>
      <c r="D23" s="29"/>
      <c r="E23" s="29"/>
      <c r="F23" s="30"/>
      <c r="G23" s="30"/>
      <c r="H23" s="30"/>
      <c r="I23" s="30"/>
      <c r="J23" s="30"/>
      <c r="K23" s="3"/>
      <c r="L23" s="3"/>
    </row>
    <row r="24" spans="1:12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"/>
      <c r="L24" s="3"/>
    </row>
    <row r="25" spans="1:12" x14ac:dyDescent="0.25">
      <c r="A25" s="17" t="s">
        <v>13</v>
      </c>
      <c r="B25" s="17"/>
      <c r="C25" s="17"/>
      <c r="D25" s="17"/>
      <c r="E25" s="17"/>
      <c r="F25" s="17"/>
      <c r="G25" s="17"/>
      <c r="H25" s="17"/>
      <c r="I25" s="17"/>
      <c r="J25" s="17"/>
      <c r="K25" s="3"/>
      <c r="L25" s="3"/>
    </row>
    <row r="26" spans="1:12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3"/>
      <c r="L26" s="3"/>
    </row>
    <row r="27" spans="1:12" x14ac:dyDescent="0.25">
      <c r="A27" s="5" t="s">
        <v>14</v>
      </c>
      <c r="B27" s="26" t="s">
        <v>15</v>
      </c>
      <c r="C27" s="26"/>
      <c r="D27" s="5" t="s">
        <v>17</v>
      </c>
      <c r="E27" s="5" t="s">
        <v>19</v>
      </c>
      <c r="F27" s="26" t="s">
        <v>21</v>
      </c>
      <c r="G27" s="26"/>
      <c r="H27" s="5" t="s">
        <v>23</v>
      </c>
      <c r="I27" s="26" t="s">
        <v>24</v>
      </c>
      <c r="J27" s="26"/>
      <c r="K27" s="26" t="s">
        <v>27</v>
      </c>
      <c r="L27" s="26"/>
    </row>
    <row r="28" spans="1:12" x14ac:dyDescent="0.25">
      <c r="A28" s="6"/>
      <c r="B28" s="34" t="s">
        <v>16</v>
      </c>
      <c r="C28" s="34"/>
      <c r="D28" s="6" t="s">
        <v>18</v>
      </c>
      <c r="E28" s="6" t="s">
        <v>20</v>
      </c>
      <c r="F28" s="34" t="s">
        <v>22</v>
      </c>
      <c r="G28" s="34"/>
      <c r="H28" s="6"/>
      <c r="I28" s="34" t="s">
        <v>25</v>
      </c>
      <c r="J28" s="34"/>
      <c r="K28" s="34" t="s">
        <v>28</v>
      </c>
      <c r="L28" s="34"/>
    </row>
    <row r="29" spans="1:12" x14ac:dyDescent="0.25">
      <c r="A29" s="7"/>
      <c r="B29" s="29"/>
      <c r="C29" s="29"/>
      <c r="D29" s="7"/>
      <c r="E29" s="7"/>
      <c r="F29" s="35"/>
      <c r="G29" s="36"/>
      <c r="H29" s="7"/>
      <c r="I29" s="29" t="s">
        <v>26</v>
      </c>
      <c r="J29" s="29"/>
      <c r="K29" s="29" t="s">
        <v>29</v>
      </c>
      <c r="L29" s="29"/>
    </row>
    <row r="30" spans="1:12" x14ac:dyDescent="0.25">
      <c r="A30" s="8"/>
      <c r="B30" s="39"/>
      <c r="C30" s="40"/>
      <c r="D30" s="8"/>
      <c r="E30" s="8"/>
      <c r="F30" s="39"/>
      <c r="G30" s="40"/>
      <c r="H30" s="8"/>
      <c r="I30" s="39"/>
      <c r="J30" s="40"/>
      <c r="K30" s="39"/>
      <c r="L30" s="40"/>
    </row>
    <row r="31" spans="1:12" x14ac:dyDescent="0.25">
      <c r="A31" s="8"/>
      <c r="B31" s="41" t="s">
        <v>30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x14ac:dyDescent="0.25">
      <c r="A32" s="8"/>
      <c r="B32" s="39"/>
      <c r="C32" s="40"/>
      <c r="D32" s="8"/>
      <c r="E32" s="8"/>
      <c r="F32" s="39"/>
      <c r="G32" s="40"/>
      <c r="H32" s="8"/>
      <c r="I32" s="39"/>
      <c r="J32" s="40"/>
      <c r="K32" s="39"/>
      <c r="L32" s="40"/>
    </row>
    <row r="33" spans="1:12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1:12" x14ac:dyDescent="0.25">
      <c r="A34" s="17"/>
      <c r="B34" s="17"/>
      <c r="C34" s="17"/>
      <c r="D34" s="17"/>
      <c r="E34" s="17"/>
      <c r="F34" s="17"/>
      <c r="G34" s="17"/>
      <c r="H34" s="17"/>
      <c r="I34" s="17" t="s">
        <v>31</v>
      </c>
      <c r="J34" s="17"/>
      <c r="K34" s="38"/>
      <c r="L34" s="38"/>
    </row>
    <row r="35" spans="1:12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25">
      <c r="A36" s="17" t="s">
        <v>32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 spans="1:12" x14ac:dyDescent="0.25">
      <c r="A38" s="5" t="s">
        <v>14</v>
      </c>
      <c r="B38" s="26" t="s">
        <v>15</v>
      </c>
      <c r="C38" s="26"/>
      <c r="D38" s="5" t="s">
        <v>17</v>
      </c>
      <c r="E38" s="5" t="s">
        <v>19</v>
      </c>
      <c r="F38" s="26" t="s">
        <v>21</v>
      </c>
      <c r="G38" s="26"/>
      <c r="H38" s="5" t="s">
        <v>23</v>
      </c>
      <c r="I38" s="26" t="s">
        <v>24</v>
      </c>
      <c r="J38" s="26"/>
      <c r="K38" s="26" t="s">
        <v>27</v>
      </c>
      <c r="L38" s="26"/>
    </row>
    <row r="39" spans="1:12" x14ac:dyDescent="0.25">
      <c r="A39" s="6"/>
      <c r="B39" s="34" t="s">
        <v>16</v>
      </c>
      <c r="C39" s="34"/>
      <c r="D39" s="6" t="s">
        <v>18</v>
      </c>
      <c r="E39" s="6" t="s">
        <v>20</v>
      </c>
      <c r="F39" s="34" t="s">
        <v>22</v>
      </c>
      <c r="G39" s="34"/>
      <c r="H39" s="6"/>
      <c r="I39" s="34" t="s">
        <v>25</v>
      </c>
      <c r="J39" s="34"/>
      <c r="K39" s="34" t="s">
        <v>28</v>
      </c>
      <c r="L39" s="34"/>
    </row>
    <row r="40" spans="1:12" x14ac:dyDescent="0.25">
      <c r="A40" s="7"/>
      <c r="B40" s="29"/>
      <c r="C40" s="29"/>
      <c r="D40" s="7"/>
      <c r="E40" s="7"/>
      <c r="F40" s="35"/>
      <c r="G40" s="36"/>
      <c r="H40" s="7"/>
      <c r="I40" s="29" t="s">
        <v>26</v>
      </c>
      <c r="J40" s="29"/>
      <c r="K40" s="29" t="s">
        <v>29</v>
      </c>
      <c r="L40" s="29"/>
    </row>
    <row r="41" spans="1:12" x14ac:dyDescent="0.25">
      <c r="A41" s="9">
        <v>1</v>
      </c>
      <c r="B41" s="39" t="s">
        <v>37</v>
      </c>
      <c r="C41" s="40"/>
      <c r="D41" s="8" t="s">
        <v>38</v>
      </c>
      <c r="E41" s="9">
        <v>3902</v>
      </c>
      <c r="F41" s="56" t="s">
        <v>51</v>
      </c>
      <c r="G41" s="45"/>
      <c r="H41" s="8" t="s">
        <v>39</v>
      </c>
      <c r="I41" s="46">
        <v>1</v>
      </c>
      <c r="J41" s="43"/>
      <c r="K41" s="47">
        <v>366943</v>
      </c>
      <c r="L41" s="48"/>
    </row>
    <row r="42" spans="1:12" x14ac:dyDescent="0.25">
      <c r="A42" s="9"/>
      <c r="B42" s="39"/>
      <c r="C42" s="40"/>
      <c r="D42" s="8"/>
      <c r="E42" s="9"/>
      <c r="F42" s="52" t="s">
        <v>52</v>
      </c>
      <c r="G42" s="53"/>
      <c r="H42" s="8"/>
      <c r="I42" s="46"/>
      <c r="J42" s="43"/>
      <c r="K42" s="54"/>
      <c r="L42" s="55"/>
    </row>
    <row r="43" spans="1:12" x14ac:dyDescent="0.25">
      <c r="A43" s="8"/>
      <c r="B43" s="39"/>
      <c r="C43" s="40"/>
      <c r="D43" s="8"/>
      <c r="E43" s="8"/>
      <c r="F43" s="39"/>
      <c r="G43" s="40"/>
      <c r="H43" s="8"/>
      <c r="I43" s="39"/>
      <c r="J43" s="40"/>
      <c r="K43" s="39"/>
      <c r="L43" s="40"/>
    </row>
    <row r="44" spans="1:12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2" x14ac:dyDescent="0.25">
      <c r="A45" s="17"/>
      <c r="B45" s="17"/>
      <c r="C45" s="17"/>
      <c r="D45" s="17"/>
      <c r="E45" s="17"/>
      <c r="F45" s="17"/>
      <c r="G45" s="17"/>
      <c r="H45" s="17"/>
      <c r="I45" s="17" t="s">
        <v>31</v>
      </c>
      <c r="J45" s="17"/>
      <c r="K45" s="50">
        <f>SUM(K41:L43)</f>
        <v>366943</v>
      </c>
      <c r="L45" s="51"/>
    </row>
    <row r="46" spans="1:12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x14ac:dyDescent="0.25">
      <c r="A47" s="17" t="s">
        <v>33</v>
      </c>
      <c r="B47" s="17"/>
      <c r="C47" s="17"/>
      <c r="D47" s="17"/>
      <c r="E47" s="17"/>
      <c r="F47" s="17"/>
      <c r="G47" s="17"/>
      <c r="H47" s="17"/>
      <c r="I47" s="17"/>
      <c r="J47" s="38"/>
      <c r="K47" s="38"/>
      <c r="L47" s="38"/>
    </row>
    <row r="48" spans="1:12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62" t="s">
        <v>56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2" x14ac:dyDescent="0.25">
      <c r="A50" s="62" t="s">
        <v>57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spans="1:12" x14ac:dyDescent="0.25">
      <c r="A51" s="62" t="s">
        <v>56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</row>
    <row r="52" spans="1:12" x14ac:dyDescent="0.25">
      <c r="A52" s="62" t="s">
        <v>57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</row>
  </sheetData>
  <mergeCells count="102">
    <mergeCell ref="A52:L52"/>
    <mergeCell ref="A7:J7"/>
    <mergeCell ref="A8:J8"/>
    <mergeCell ref="A9:J9"/>
    <mergeCell ref="A10:J10"/>
    <mergeCell ref="B11:E11"/>
    <mergeCell ref="G11:J11"/>
    <mergeCell ref="A1:J1"/>
    <mergeCell ref="A2:J2"/>
    <mergeCell ref="A3:J3"/>
    <mergeCell ref="A4:J4"/>
    <mergeCell ref="A5:J5"/>
    <mergeCell ref="A6:J6"/>
    <mergeCell ref="A16:E16"/>
    <mergeCell ref="F16:J16"/>
    <mergeCell ref="A17:E17"/>
    <mergeCell ref="F17:J17"/>
    <mergeCell ref="A18:E18"/>
    <mergeCell ref="F18:J18"/>
    <mergeCell ref="A12:J12"/>
    <mergeCell ref="A13:E13"/>
    <mergeCell ref="F13:J13"/>
    <mergeCell ref="A14:E14"/>
    <mergeCell ref="F14:J14"/>
    <mergeCell ref="A15:E15"/>
    <mergeCell ref="F15:J15"/>
    <mergeCell ref="A22:E22"/>
    <mergeCell ref="F22:J22"/>
    <mergeCell ref="A23:E23"/>
    <mergeCell ref="F23:J23"/>
    <mergeCell ref="A24:J24"/>
    <mergeCell ref="A25:J25"/>
    <mergeCell ref="A19:E19"/>
    <mergeCell ref="F19:J19"/>
    <mergeCell ref="A20:E20"/>
    <mergeCell ref="F20:J20"/>
    <mergeCell ref="A21:E21"/>
    <mergeCell ref="F21:J21"/>
    <mergeCell ref="A26:J26"/>
    <mergeCell ref="B27:C27"/>
    <mergeCell ref="F27:G27"/>
    <mergeCell ref="I27:J27"/>
    <mergeCell ref="K27:L27"/>
    <mergeCell ref="B28:C28"/>
    <mergeCell ref="F28:G28"/>
    <mergeCell ref="I28:J28"/>
    <mergeCell ref="K28:L28"/>
    <mergeCell ref="B31:L31"/>
    <mergeCell ref="B32:C32"/>
    <mergeCell ref="F32:G32"/>
    <mergeCell ref="I32:J32"/>
    <mergeCell ref="K32:L32"/>
    <mergeCell ref="A33:L33"/>
    <mergeCell ref="B29:C29"/>
    <mergeCell ref="F29:G29"/>
    <mergeCell ref="I29:J29"/>
    <mergeCell ref="K29:L29"/>
    <mergeCell ref="B30:C30"/>
    <mergeCell ref="F30:G30"/>
    <mergeCell ref="I30:J30"/>
    <mergeCell ref="K30:L30"/>
    <mergeCell ref="B38:C38"/>
    <mergeCell ref="F38:G38"/>
    <mergeCell ref="I38:J38"/>
    <mergeCell ref="K38:L38"/>
    <mergeCell ref="B39:C39"/>
    <mergeCell ref="F39:G39"/>
    <mergeCell ref="I39:J39"/>
    <mergeCell ref="K39:L39"/>
    <mergeCell ref="A34:H34"/>
    <mergeCell ref="I34:J34"/>
    <mergeCell ref="K34:L34"/>
    <mergeCell ref="A35:L35"/>
    <mergeCell ref="A36:L36"/>
    <mergeCell ref="A37:L37"/>
    <mergeCell ref="B42:C42"/>
    <mergeCell ref="F42:G42"/>
    <mergeCell ref="I42:J42"/>
    <mergeCell ref="K42:L42"/>
    <mergeCell ref="B43:C43"/>
    <mergeCell ref="F43:G43"/>
    <mergeCell ref="I43:J43"/>
    <mergeCell ref="K43:L43"/>
    <mergeCell ref="B40:C40"/>
    <mergeCell ref="F40:G40"/>
    <mergeCell ref="I40:J40"/>
    <mergeCell ref="K40:L40"/>
    <mergeCell ref="B41:C41"/>
    <mergeCell ref="F41:G41"/>
    <mergeCell ref="I41:J41"/>
    <mergeCell ref="K41:L41"/>
    <mergeCell ref="A48:L48"/>
    <mergeCell ref="A49:L49"/>
    <mergeCell ref="A50:L50"/>
    <mergeCell ref="A51:L51"/>
    <mergeCell ref="A44:L44"/>
    <mergeCell ref="A45:H45"/>
    <mergeCell ref="I45:J45"/>
    <mergeCell ref="K45:L45"/>
    <mergeCell ref="A46:L46"/>
    <mergeCell ref="A47:I47"/>
    <mergeCell ref="J47:L47"/>
  </mergeCells>
  <pageMargins left="0.74803149606299213" right="0.51181102362204722" top="0.51181102362204722" bottom="0.51181102362204722" header="0" footer="0"/>
  <pageSetup paperSize="9" scale="83" fitToHeight="0"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zoomScaleNormal="100" workbookViewId="0">
      <selection sqref="A1:J1"/>
    </sheetView>
  </sheetViews>
  <sheetFormatPr defaultColWidth="9.140625" defaultRowHeight="15" x14ac:dyDescent="0.25"/>
  <cols>
    <col min="1" max="1" width="6.7109375" style="12" bestFit="1" customWidth="1"/>
    <col min="2" max="3" width="9.140625" style="12" customWidth="1"/>
    <col min="4" max="4" width="10.28515625" style="12" bestFit="1" customWidth="1"/>
    <col min="5" max="10" width="9.140625" style="12" customWidth="1"/>
    <col min="11" max="11" width="10.28515625" style="12" bestFit="1" customWidth="1"/>
    <col min="12" max="16384" width="9.140625" style="12"/>
  </cols>
  <sheetData>
    <row r="1" spans="1:1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1"/>
      <c r="L1" s="11"/>
    </row>
    <row r="2" spans="1:12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1"/>
      <c r="L2" s="11"/>
    </row>
    <row r="3" spans="1:1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1"/>
      <c r="L3" s="11"/>
    </row>
    <row r="4" spans="1:12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1"/>
      <c r="L4" s="11"/>
    </row>
    <row r="5" spans="1:1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1"/>
      <c r="L5" s="11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1"/>
      <c r="L6" s="11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1"/>
      <c r="L7" s="11"/>
    </row>
    <row r="8" spans="1:1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1"/>
      <c r="L8" s="11"/>
    </row>
    <row r="9" spans="1:12" x14ac:dyDescent="0.25">
      <c r="A9" s="18" t="s">
        <v>1</v>
      </c>
      <c r="B9" s="18"/>
      <c r="C9" s="18"/>
      <c r="D9" s="18"/>
      <c r="E9" s="18"/>
      <c r="F9" s="18"/>
      <c r="G9" s="18"/>
      <c r="H9" s="18"/>
      <c r="I9" s="18"/>
      <c r="J9" s="18"/>
      <c r="K9" s="11"/>
      <c r="L9" s="11"/>
    </row>
    <row r="10" spans="1:12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1"/>
      <c r="L10" s="11"/>
    </row>
    <row r="11" spans="1:12" x14ac:dyDescent="0.25">
      <c r="A11" s="11" t="s">
        <v>2</v>
      </c>
      <c r="B11" s="17" t="str">
        <f>VP!B11:E11</f>
        <v>JG/26-27/6002</v>
      </c>
      <c r="C11" s="17"/>
      <c r="D11" s="17"/>
      <c r="E11" s="17"/>
      <c r="F11" s="11" t="s">
        <v>3</v>
      </c>
      <c r="G11" s="58" t="str">
        <f>VP!G11:J11</f>
        <v>04.05.2026</v>
      </c>
      <c r="H11" s="59"/>
      <c r="I11" s="59"/>
      <c r="J11" s="59"/>
      <c r="K11" s="11"/>
      <c r="L11" s="11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1"/>
      <c r="L12" s="11"/>
    </row>
    <row r="13" spans="1:12" x14ac:dyDescent="0.25">
      <c r="A13" s="19" t="s">
        <v>4</v>
      </c>
      <c r="B13" s="19"/>
      <c r="C13" s="19"/>
      <c r="D13" s="19"/>
      <c r="E13" s="19"/>
      <c r="F13" s="57" t="s">
        <v>45</v>
      </c>
      <c r="G13" s="57"/>
      <c r="H13" s="57"/>
      <c r="I13" s="57"/>
      <c r="J13" s="57"/>
      <c r="K13" s="11"/>
      <c r="L13" s="11"/>
    </row>
    <row r="14" spans="1:12" x14ac:dyDescent="0.25">
      <c r="A14" s="19" t="s">
        <v>5</v>
      </c>
      <c r="B14" s="19"/>
      <c r="C14" s="19"/>
      <c r="D14" s="19"/>
      <c r="E14" s="19"/>
      <c r="F14" s="20" t="s">
        <v>35</v>
      </c>
      <c r="G14" s="21"/>
      <c r="H14" s="21"/>
      <c r="I14" s="21"/>
      <c r="J14" s="21"/>
      <c r="K14" s="11"/>
      <c r="L14" s="11"/>
    </row>
    <row r="15" spans="1:12" x14ac:dyDescent="0.25">
      <c r="A15" s="19" t="s">
        <v>6</v>
      </c>
      <c r="B15" s="19"/>
      <c r="C15" s="19"/>
      <c r="D15" s="19"/>
      <c r="E15" s="19"/>
      <c r="F15" s="22">
        <v>215928.45</v>
      </c>
      <c r="G15" s="22"/>
      <c r="H15" s="22"/>
      <c r="I15" s="22"/>
      <c r="J15" s="22"/>
      <c r="K15" s="11"/>
      <c r="L15" s="11"/>
    </row>
    <row r="16" spans="1:12" x14ac:dyDescent="0.25">
      <c r="A16" s="26" t="s">
        <v>7</v>
      </c>
      <c r="B16" s="26"/>
      <c r="C16" s="26"/>
      <c r="D16" s="26"/>
      <c r="E16" s="26"/>
      <c r="F16" s="28" t="s">
        <v>36</v>
      </c>
      <c r="G16" s="28"/>
      <c r="H16" s="28"/>
      <c r="I16" s="28"/>
      <c r="J16" s="28"/>
      <c r="K16" s="11"/>
      <c r="L16" s="11"/>
    </row>
    <row r="17" spans="1:12" x14ac:dyDescent="0.25">
      <c r="A17" s="29" t="s">
        <v>8</v>
      </c>
      <c r="B17" s="29"/>
      <c r="C17" s="29"/>
      <c r="D17" s="29"/>
      <c r="E17" s="29"/>
      <c r="F17" s="30"/>
      <c r="G17" s="30"/>
      <c r="H17" s="30"/>
      <c r="I17" s="30"/>
      <c r="J17" s="30"/>
      <c r="K17" s="11"/>
      <c r="L17" s="11"/>
    </row>
    <row r="18" spans="1:12" x14ac:dyDescent="0.25">
      <c r="A18" s="26" t="s">
        <v>9</v>
      </c>
      <c r="B18" s="26"/>
      <c r="C18" s="26"/>
      <c r="D18" s="26"/>
      <c r="E18" s="26"/>
      <c r="F18" s="31">
        <f>K45</f>
        <v>168363</v>
      </c>
      <c r="G18" s="32"/>
      <c r="H18" s="32"/>
      <c r="I18" s="32"/>
      <c r="J18" s="33"/>
      <c r="K18" s="4"/>
      <c r="L18" s="11"/>
    </row>
    <row r="19" spans="1:12" x14ac:dyDescent="0.25">
      <c r="A19" s="29"/>
      <c r="B19" s="29"/>
      <c r="C19" s="29"/>
      <c r="D19" s="29"/>
      <c r="E19" s="29"/>
      <c r="F19" s="30"/>
      <c r="G19" s="30"/>
      <c r="H19" s="30"/>
      <c r="I19" s="30"/>
      <c r="J19" s="30"/>
      <c r="K19" s="11"/>
      <c r="L19" s="11"/>
    </row>
    <row r="20" spans="1:12" x14ac:dyDescent="0.25">
      <c r="A20" s="26" t="s">
        <v>10</v>
      </c>
      <c r="B20" s="26"/>
      <c r="C20" s="26"/>
      <c r="D20" s="26"/>
      <c r="E20" s="26"/>
      <c r="F20" s="27">
        <f>F18*8/100</f>
        <v>13469.04</v>
      </c>
      <c r="G20" s="28"/>
      <c r="H20" s="28"/>
      <c r="I20" s="28"/>
      <c r="J20" s="28"/>
      <c r="K20" s="11"/>
      <c r="L20" s="11"/>
    </row>
    <row r="21" spans="1:12" x14ac:dyDescent="0.25">
      <c r="A21" s="29"/>
      <c r="B21" s="29"/>
      <c r="C21" s="29"/>
      <c r="D21" s="29"/>
      <c r="E21" s="29"/>
      <c r="F21" s="30"/>
      <c r="G21" s="30"/>
      <c r="H21" s="30"/>
      <c r="I21" s="30"/>
      <c r="J21" s="30"/>
      <c r="K21" s="11"/>
      <c r="L21" s="11"/>
    </row>
    <row r="22" spans="1:12" x14ac:dyDescent="0.25">
      <c r="A22" s="26" t="s">
        <v>11</v>
      </c>
      <c r="B22" s="26"/>
      <c r="C22" s="26"/>
      <c r="D22" s="26"/>
      <c r="E22" s="26"/>
      <c r="F22" s="27">
        <f>F15-F18-F20</f>
        <v>34096.410000000011</v>
      </c>
      <c r="G22" s="28"/>
      <c r="H22" s="28"/>
      <c r="I22" s="28"/>
      <c r="J22" s="28"/>
      <c r="K22" s="11"/>
      <c r="L22" s="11"/>
    </row>
    <row r="23" spans="1:12" x14ac:dyDescent="0.25">
      <c r="A23" s="29" t="s">
        <v>12</v>
      </c>
      <c r="B23" s="29"/>
      <c r="C23" s="29"/>
      <c r="D23" s="29"/>
      <c r="E23" s="29"/>
      <c r="F23" s="30"/>
      <c r="G23" s="30"/>
      <c r="H23" s="30"/>
      <c r="I23" s="30"/>
      <c r="J23" s="30"/>
      <c r="K23" s="11"/>
      <c r="L23" s="11"/>
    </row>
    <row r="24" spans="1:12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11"/>
      <c r="L24" s="11"/>
    </row>
    <row r="25" spans="1:12" x14ac:dyDescent="0.25">
      <c r="A25" s="17" t="s">
        <v>13</v>
      </c>
      <c r="B25" s="17"/>
      <c r="C25" s="17"/>
      <c r="D25" s="17"/>
      <c r="E25" s="17"/>
      <c r="F25" s="17"/>
      <c r="G25" s="17"/>
      <c r="H25" s="17"/>
      <c r="I25" s="17"/>
      <c r="J25" s="17"/>
      <c r="K25" s="11"/>
      <c r="L25" s="11"/>
    </row>
    <row r="26" spans="1:12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1"/>
      <c r="L26" s="11"/>
    </row>
    <row r="27" spans="1:12" x14ac:dyDescent="0.25">
      <c r="A27" s="13" t="s">
        <v>14</v>
      </c>
      <c r="B27" s="26" t="s">
        <v>15</v>
      </c>
      <c r="C27" s="26"/>
      <c r="D27" s="13" t="s">
        <v>17</v>
      </c>
      <c r="E27" s="13" t="s">
        <v>19</v>
      </c>
      <c r="F27" s="26" t="s">
        <v>21</v>
      </c>
      <c r="G27" s="26"/>
      <c r="H27" s="13" t="s">
        <v>23</v>
      </c>
      <c r="I27" s="26" t="s">
        <v>24</v>
      </c>
      <c r="J27" s="26"/>
      <c r="K27" s="26" t="s">
        <v>27</v>
      </c>
      <c r="L27" s="26"/>
    </row>
    <row r="28" spans="1:12" x14ac:dyDescent="0.25">
      <c r="A28" s="14"/>
      <c r="B28" s="34" t="s">
        <v>16</v>
      </c>
      <c r="C28" s="34"/>
      <c r="D28" s="14" t="s">
        <v>18</v>
      </c>
      <c r="E28" s="14" t="s">
        <v>20</v>
      </c>
      <c r="F28" s="34" t="s">
        <v>22</v>
      </c>
      <c r="G28" s="34"/>
      <c r="H28" s="14"/>
      <c r="I28" s="34" t="s">
        <v>25</v>
      </c>
      <c r="J28" s="34"/>
      <c r="K28" s="34" t="s">
        <v>28</v>
      </c>
      <c r="L28" s="34"/>
    </row>
    <row r="29" spans="1:12" x14ac:dyDescent="0.25">
      <c r="A29" s="15"/>
      <c r="B29" s="29"/>
      <c r="C29" s="29"/>
      <c r="D29" s="15"/>
      <c r="E29" s="15"/>
      <c r="F29" s="35"/>
      <c r="G29" s="36"/>
      <c r="H29" s="15"/>
      <c r="I29" s="29" t="s">
        <v>26</v>
      </c>
      <c r="J29" s="29"/>
      <c r="K29" s="29" t="s">
        <v>29</v>
      </c>
      <c r="L29" s="29"/>
    </row>
    <row r="30" spans="1:12" x14ac:dyDescent="0.25">
      <c r="A30" s="16"/>
      <c r="B30" s="39"/>
      <c r="C30" s="40"/>
      <c r="D30" s="16"/>
      <c r="E30" s="16"/>
      <c r="F30" s="39"/>
      <c r="G30" s="40"/>
      <c r="H30" s="16"/>
      <c r="I30" s="39"/>
      <c r="J30" s="40"/>
      <c r="K30" s="39"/>
      <c r="L30" s="40"/>
    </row>
    <row r="31" spans="1:12" x14ac:dyDescent="0.25">
      <c r="A31" s="16"/>
      <c r="B31" s="41" t="s">
        <v>30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x14ac:dyDescent="0.25">
      <c r="A32" s="16"/>
      <c r="B32" s="39"/>
      <c r="C32" s="40"/>
      <c r="D32" s="16"/>
      <c r="E32" s="16"/>
      <c r="F32" s="39"/>
      <c r="G32" s="40"/>
      <c r="H32" s="16"/>
      <c r="I32" s="39"/>
      <c r="J32" s="40"/>
      <c r="K32" s="39"/>
      <c r="L32" s="40"/>
    </row>
    <row r="33" spans="1:12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1:12" x14ac:dyDescent="0.25">
      <c r="A34" s="17"/>
      <c r="B34" s="17"/>
      <c r="C34" s="17"/>
      <c r="D34" s="17"/>
      <c r="E34" s="17"/>
      <c r="F34" s="17"/>
      <c r="G34" s="17"/>
      <c r="H34" s="17"/>
      <c r="I34" s="17" t="s">
        <v>31</v>
      </c>
      <c r="J34" s="17"/>
      <c r="K34" s="38"/>
      <c r="L34" s="38"/>
    </row>
    <row r="35" spans="1:12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25">
      <c r="A36" s="17" t="s">
        <v>32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 spans="1:12" x14ac:dyDescent="0.25">
      <c r="A38" s="13" t="s">
        <v>14</v>
      </c>
      <c r="B38" s="26" t="s">
        <v>15</v>
      </c>
      <c r="C38" s="26"/>
      <c r="D38" s="13" t="s">
        <v>17</v>
      </c>
      <c r="E38" s="13" t="s">
        <v>19</v>
      </c>
      <c r="F38" s="26" t="s">
        <v>21</v>
      </c>
      <c r="G38" s="26"/>
      <c r="H38" s="13" t="s">
        <v>23</v>
      </c>
      <c r="I38" s="26" t="s">
        <v>24</v>
      </c>
      <c r="J38" s="26"/>
      <c r="K38" s="26" t="s">
        <v>27</v>
      </c>
      <c r="L38" s="26"/>
    </row>
    <row r="39" spans="1:12" x14ac:dyDescent="0.25">
      <c r="A39" s="14"/>
      <c r="B39" s="34" t="s">
        <v>16</v>
      </c>
      <c r="C39" s="34"/>
      <c r="D39" s="14" t="s">
        <v>18</v>
      </c>
      <c r="E39" s="14" t="s">
        <v>20</v>
      </c>
      <c r="F39" s="34" t="s">
        <v>22</v>
      </c>
      <c r="G39" s="34"/>
      <c r="H39" s="14"/>
      <c r="I39" s="34" t="s">
        <v>25</v>
      </c>
      <c r="J39" s="34"/>
      <c r="K39" s="34" t="s">
        <v>28</v>
      </c>
      <c r="L39" s="34"/>
    </row>
    <row r="40" spans="1:12" x14ac:dyDescent="0.25">
      <c r="A40" s="15"/>
      <c r="B40" s="29"/>
      <c r="C40" s="29"/>
      <c r="D40" s="15"/>
      <c r="E40" s="15"/>
      <c r="F40" s="35"/>
      <c r="G40" s="36"/>
      <c r="H40" s="15"/>
      <c r="I40" s="29" t="s">
        <v>26</v>
      </c>
      <c r="J40" s="29"/>
      <c r="K40" s="29" t="s">
        <v>29</v>
      </c>
      <c r="L40" s="29"/>
    </row>
    <row r="41" spans="1:12" x14ac:dyDescent="0.25">
      <c r="A41" s="9">
        <v>1</v>
      </c>
      <c r="B41" s="39" t="s">
        <v>37</v>
      </c>
      <c r="C41" s="40"/>
      <c r="D41" s="16" t="s">
        <v>38</v>
      </c>
      <c r="E41" s="9">
        <v>3902</v>
      </c>
      <c r="F41" s="44" t="s">
        <v>46</v>
      </c>
      <c r="G41" s="45"/>
      <c r="H41" s="16" t="s">
        <v>39</v>
      </c>
      <c r="I41" s="46">
        <v>1</v>
      </c>
      <c r="J41" s="43"/>
      <c r="K41" s="47">
        <v>168363</v>
      </c>
      <c r="L41" s="48"/>
    </row>
    <row r="42" spans="1:12" x14ac:dyDescent="0.25">
      <c r="A42" s="9"/>
      <c r="B42" s="39"/>
      <c r="C42" s="40"/>
      <c r="D42" s="16"/>
      <c r="E42" s="9"/>
      <c r="F42" s="52" t="s">
        <v>47</v>
      </c>
      <c r="G42" s="53"/>
      <c r="H42" s="16"/>
      <c r="I42" s="46"/>
      <c r="J42" s="43"/>
      <c r="K42" s="54"/>
      <c r="L42" s="55"/>
    </row>
    <row r="43" spans="1:12" x14ac:dyDescent="0.25">
      <c r="A43" s="16"/>
      <c r="B43" s="39"/>
      <c r="C43" s="40"/>
      <c r="D43" s="16"/>
      <c r="E43" s="16"/>
      <c r="F43" s="39"/>
      <c r="G43" s="40"/>
      <c r="H43" s="16"/>
      <c r="I43" s="39"/>
      <c r="J43" s="40"/>
      <c r="K43" s="39"/>
      <c r="L43" s="40"/>
    </row>
    <row r="44" spans="1:12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2" x14ac:dyDescent="0.25">
      <c r="A45" s="17"/>
      <c r="B45" s="17"/>
      <c r="C45" s="17"/>
      <c r="D45" s="17"/>
      <c r="E45" s="17"/>
      <c r="F45" s="17"/>
      <c r="G45" s="17"/>
      <c r="H45" s="17"/>
      <c r="I45" s="17" t="s">
        <v>31</v>
      </c>
      <c r="J45" s="17"/>
      <c r="K45" s="50">
        <f>SUM(K41:L43)</f>
        <v>168363</v>
      </c>
      <c r="L45" s="51"/>
    </row>
    <row r="46" spans="1:12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x14ac:dyDescent="0.25">
      <c r="A47" s="17" t="s">
        <v>33</v>
      </c>
      <c r="B47" s="17"/>
      <c r="C47" s="17"/>
      <c r="D47" s="17"/>
      <c r="E47" s="17"/>
      <c r="F47" s="17"/>
      <c r="G47" s="17"/>
      <c r="H47" s="17"/>
      <c r="I47" s="17"/>
      <c r="J47" s="38"/>
      <c r="K47" s="38"/>
      <c r="L47" s="38"/>
    </row>
    <row r="48" spans="1:12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62" t="s">
        <v>56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2" x14ac:dyDescent="0.25">
      <c r="A50" s="62" t="s">
        <v>57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101">
    <mergeCell ref="A48:L48"/>
    <mergeCell ref="A49:L49"/>
    <mergeCell ref="A50:L50"/>
    <mergeCell ref="A51:L51"/>
    <mergeCell ref="A44:L44"/>
    <mergeCell ref="A45:H45"/>
    <mergeCell ref="I45:J45"/>
    <mergeCell ref="K45:L45"/>
    <mergeCell ref="A46:L46"/>
    <mergeCell ref="A47:I47"/>
    <mergeCell ref="J47:L47"/>
    <mergeCell ref="B42:C42"/>
    <mergeCell ref="F42:G42"/>
    <mergeCell ref="I42:J42"/>
    <mergeCell ref="K42:L42"/>
    <mergeCell ref="B43:C43"/>
    <mergeCell ref="F43:G43"/>
    <mergeCell ref="I43:J43"/>
    <mergeCell ref="K43:L43"/>
    <mergeCell ref="B40:C40"/>
    <mergeCell ref="F40:G40"/>
    <mergeCell ref="I40:J40"/>
    <mergeCell ref="K40:L40"/>
    <mergeCell ref="B41:C41"/>
    <mergeCell ref="F41:G41"/>
    <mergeCell ref="I41:J41"/>
    <mergeCell ref="K41:L41"/>
    <mergeCell ref="B38:C38"/>
    <mergeCell ref="F38:G38"/>
    <mergeCell ref="I38:J38"/>
    <mergeCell ref="K38:L38"/>
    <mergeCell ref="B39:C39"/>
    <mergeCell ref="F39:G39"/>
    <mergeCell ref="I39:J39"/>
    <mergeCell ref="K39:L39"/>
    <mergeCell ref="A34:H34"/>
    <mergeCell ref="I34:J34"/>
    <mergeCell ref="K34:L34"/>
    <mergeCell ref="A35:L35"/>
    <mergeCell ref="A36:L36"/>
    <mergeCell ref="A37:L37"/>
    <mergeCell ref="B31:L31"/>
    <mergeCell ref="B32:C32"/>
    <mergeCell ref="F32:G32"/>
    <mergeCell ref="I32:J32"/>
    <mergeCell ref="K32:L32"/>
    <mergeCell ref="A33:L33"/>
    <mergeCell ref="B29:C29"/>
    <mergeCell ref="F29:G29"/>
    <mergeCell ref="I29:J29"/>
    <mergeCell ref="K29:L29"/>
    <mergeCell ref="B30:C30"/>
    <mergeCell ref="F30:G30"/>
    <mergeCell ref="I30:J30"/>
    <mergeCell ref="K30:L30"/>
    <mergeCell ref="A26:J26"/>
    <mergeCell ref="B27:C27"/>
    <mergeCell ref="F27:G27"/>
    <mergeCell ref="I27:J27"/>
    <mergeCell ref="K27:L27"/>
    <mergeCell ref="B28:C28"/>
    <mergeCell ref="F28:G28"/>
    <mergeCell ref="I28:J28"/>
    <mergeCell ref="K28:L28"/>
    <mergeCell ref="A22:E22"/>
    <mergeCell ref="F22:J22"/>
    <mergeCell ref="A23:E23"/>
    <mergeCell ref="F23:J23"/>
    <mergeCell ref="A24:J24"/>
    <mergeCell ref="A25:J25"/>
    <mergeCell ref="A19:E19"/>
    <mergeCell ref="F19:J19"/>
    <mergeCell ref="A20:E20"/>
    <mergeCell ref="F20:J20"/>
    <mergeCell ref="A21:E21"/>
    <mergeCell ref="F21:J21"/>
    <mergeCell ref="A16:E16"/>
    <mergeCell ref="F16:J16"/>
    <mergeCell ref="A17:E17"/>
    <mergeCell ref="F17:J17"/>
    <mergeCell ref="A18:E18"/>
    <mergeCell ref="F18:J18"/>
    <mergeCell ref="A12:J12"/>
    <mergeCell ref="A13:E13"/>
    <mergeCell ref="F13:J13"/>
    <mergeCell ref="A14:E14"/>
    <mergeCell ref="F14:J14"/>
    <mergeCell ref="A15:E15"/>
    <mergeCell ref="F15:J15"/>
    <mergeCell ref="A7:J7"/>
    <mergeCell ref="A8:J8"/>
    <mergeCell ref="A9:J9"/>
    <mergeCell ref="A10:J10"/>
    <mergeCell ref="B11:E11"/>
    <mergeCell ref="G11:J11"/>
    <mergeCell ref="A1:J1"/>
    <mergeCell ref="A2:J2"/>
    <mergeCell ref="A3:J3"/>
    <mergeCell ref="A4:J4"/>
    <mergeCell ref="A5:J5"/>
    <mergeCell ref="A6:J6"/>
  </mergeCells>
  <pageMargins left="0.74803149606299213" right="0.51181102362204722" top="0.51181102362204722" bottom="0.51181102362204722" header="0" footer="0"/>
  <pageSetup paperSize="9" scale="83" fitToHeight="0" orientation="portrait" blackAndWhite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1"/>
  <sheetViews>
    <sheetView zoomScaleNormal="100" workbookViewId="0">
      <selection sqref="A1:J1"/>
    </sheetView>
  </sheetViews>
  <sheetFormatPr defaultColWidth="9.140625" defaultRowHeight="15" x14ac:dyDescent="0.25"/>
  <cols>
    <col min="1" max="1" width="6.7109375" style="1" bestFit="1" customWidth="1"/>
    <col min="2" max="3" width="9.140625" style="1" customWidth="1"/>
    <col min="4" max="4" width="10.28515625" style="1" bestFit="1" customWidth="1"/>
    <col min="5" max="10" width="9.140625" style="1" customWidth="1"/>
    <col min="11" max="11" width="10.28515625" style="1" bestFit="1" customWidth="1"/>
    <col min="12" max="12" width="9.140625" style="1"/>
    <col min="13" max="13" width="12.28515625" style="1" bestFit="1" customWidth="1"/>
    <col min="14" max="16384" width="9.140625" style="1"/>
  </cols>
  <sheetData>
    <row r="1" spans="1:13" x14ac:dyDescent="0.25">
      <c r="A1" s="17">
        <v>265</v>
      </c>
      <c r="B1" s="17"/>
      <c r="C1" s="17"/>
      <c r="D1" s="17"/>
      <c r="E1" s="17"/>
      <c r="F1" s="17"/>
      <c r="G1" s="17"/>
      <c r="H1" s="17"/>
      <c r="I1" s="17"/>
      <c r="J1" s="17"/>
      <c r="K1" s="3"/>
      <c r="L1" s="3"/>
    </row>
    <row r="2" spans="1:13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3"/>
      <c r="L2" s="3"/>
    </row>
    <row r="3" spans="1:13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3"/>
      <c r="L3" s="3"/>
    </row>
    <row r="4" spans="1:13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3"/>
      <c r="L4" s="3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3"/>
      <c r="L5" s="3"/>
    </row>
    <row r="6" spans="1:13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3"/>
      <c r="L6" s="3"/>
    </row>
    <row r="7" spans="1:13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3"/>
      <c r="L7" s="3"/>
    </row>
    <row r="8" spans="1:13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3"/>
      <c r="L8" s="3"/>
    </row>
    <row r="9" spans="1:13" x14ac:dyDescent="0.25">
      <c r="A9" s="18" t="s">
        <v>1</v>
      </c>
      <c r="B9" s="18"/>
      <c r="C9" s="18"/>
      <c r="D9" s="18"/>
      <c r="E9" s="18"/>
      <c r="F9" s="18"/>
      <c r="G9" s="18"/>
      <c r="H9" s="18"/>
      <c r="I9" s="18"/>
      <c r="J9" s="18"/>
      <c r="K9" s="3"/>
      <c r="L9" s="3"/>
    </row>
    <row r="10" spans="1:1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3"/>
      <c r="L10" s="3"/>
    </row>
    <row r="11" spans="1:13" x14ac:dyDescent="0.25">
      <c r="A11" s="3" t="s">
        <v>2</v>
      </c>
      <c r="B11" s="17" t="str">
        <f>HP!B11:E11</f>
        <v>JG/26-27/6002</v>
      </c>
      <c r="C11" s="17"/>
      <c r="D11" s="17"/>
      <c r="E11" s="17"/>
      <c r="F11" s="3" t="s">
        <v>3</v>
      </c>
      <c r="G11" s="58" t="str">
        <f>HP!G11:J11</f>
        <v>04.05.2026</v>
      </c>
      <c r="H11" s="59"/>
      <c r="I11" s="59"/>
      <c r="J11" s="59"/>
      <c r="K11" s="3"/>
      <c r="L11" s="3"/>
    </row>
    <row r="12" spans="1:13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3"/>
      <c r="L12" s="3"/>
    </row>
    <row r="13" spans="1:13" x14ac:dyDescent="0.25">
      <c r="A13" s="19" t="s">
        <v>4</v>
      </c>
      <c r="B13" s="19"/>
      <c r="C13" s="19"/>
      <c r="D13" s="19"/>
      <c r="E13" s="19"/>
      <c r="F13" s="19" t="s">
        <v>40</v>
      </c>
      <c r="G13" s="19"/>
      <c r="H13" s="19"/>
      <c r="I13" s="19"/>
      <c r="J13" s="19"/>
      <c r="K13" s="3"/>
      <c r="L13" s="3"/>
    </row>
    <row r="14" spans="1:13" x14ac:dyDescent="0.25">
      <c r="A14" s="19" t="s">
        <v>5</v>
      </c>
      <c r="B14" s="19"/>
      <c r="C14" s="19"/>
      <c r="D14" s="19"/>
      <c r="E14" s="19"/>
      <c r="F14" s="20" t="s">
        <v>41</v>
      </c>
      <c r="G14" s="21"/>
      <c r="H14" s="21"/>
      <c r="I14" s="21"/>
      <c r="J14" s="21"/>
      <c r="K14" s="3"/>
      <c r="L14" s="3"/>
    </row>
    <row r="15" spans="1:13" x14ac:dyDescent="0.25">
      <c r="A15" s="19" t="s">
        <v>6</v>
      </c>
      <c r="B15" s="19"/>
      <c r="C15" s="19"/>
      <c r="D15" s="19"/>
      <c r="E15" s="19"/>
      <c r="F15" s="22">
        <v>1231521.8799999999</v>
      </c>
      <c r="G15" s="22"/>
      <c r="H15" s="22"/>
      <c r="I15" s="22"/>
      <c r="J15" s="22"/>
      <c r="K15" s="3"/>
      <c r="L15" s="3"/>
      <c r="M15" s="10"/>
    </row>
    <row r="16" spans="1:13" x14ac:dyDescent="0.25">
      <c r="A16" s="26" t="s">
        <v>7</v>
      </c>
      <c r="B16" s="26"/>
      <c r="C16" s="26"/>
      <c r="D16" s="26"/>
      <c r="E16" s="26"/>
      <c r="F16" s="28" t="s">
        <v>36</v>
      </c>
      <c r="G16" s="28"/>
      <c r="H16" s="28"/>
      <c r="I16" s="28"/>
      <c r="J16" s="28"/>
      <c r="K16" s="3"/>
      <c r="L16" s="3"/>
    </row>
    <row r="17" spans="1:12" x14ac:dyDescent="0.25">
      <c r="A17" s="29" t="s">
        <v>8</v>
      </c>
      <c r="B17" s="29"/>
      <c r="C17" s="29"/>
      <c r="D17" s="29"/>
      <c r="E17" s="29"/>
      <c r="F17" s="30"/>
      <c r="G17" s="30"/>
      <c r="H17" s="30"/>
      <c r="I17" s="30"/>
      <c r="J17" s="30"/>
      <c r="K17" s="3"/>
      <c r="L17" s="3"/>
    </row>
    <row r="18" spans="1:12" x14ac:dyDescent="0.25">
      <c r="A18" s="26" t="s">
        <v>9</v>
      </c>
      <c r="B18" s="26"/>
      <c r="C18" s="26"/>
      <c r="D18" s="26"/>
      <c r="E18" s="26"/>
      <c r="F18" s="31">
        <f>K41</f>
        <v>943795</v>
      </c>
      <c r="G18" s="32"/>
      <c r="H18" s="32"/>
      <c r="I18" s="32"/>
      <c r="J18" s="33"/>
      <c r="K18" s="4"/>
      <c r="L18" s="3"/>
    </row>
    <row r="19" spans="1:12" x14ac:dyDescent="0.25">
      <c r="A19" s="29"/>
      <c r="B19" s="29"/>
      <c r="C19" s="29"/>
      <c r="D19" s="29"/>
      <c r="E19" s="29"/>
      <c r="F19" s="30"/>
      <c r="G19" s="30"/>
      <c r="H19" s="30"/>
      <c r="I19" s="30"/>
      <c r="J19" s="30"/>
      <c r="K19" s="3"/>
      <c r="L19" s="3"/>
    </row>
    <row r="20" spans="1:12" x14ac:dyDescent="0.25">
      <c r="A20" s="26" t="s">
        <v>10</v>
      </c>
      <c r="B20" s="26"/>
      <c r="C20" s="26"/>
      <c r="D20" s="26"/>
      <c r="E20" s="26"/>
      <c r="F20" s="27">
        <f>F18*10/100</f>
        <v>94379.5</v>
      </c>
      <c r="G20" s="28"/>
      <c r="H20" s="28"/>
      <c r="I20" s="28"/>
      <c r="J20" s="28"/>
      <c r="K20" s="3"/>
      <c r="L20" s="3"/>
    </row>
    <row r="21" spans="1:12" x14ac:dyDescent="0.25">
      <c r="A21" s="29"/>
      <c r="B21" s="29"/>
      <c r="C21" s="29"/>
      <c r="D21" s="29"/>
      <c r="E21" s="29"/>
      <c r="F21" s="30"/>
      <c r="G21" s="30"/>
      <c r="H21" s="30"/>
      <c r="I21" s="30"/>
      <c r="J21" s="30"/>
      <c r="K21" s="3"/>
      <c r="L21" s="3"/>
    </row>
    <row r="22" spans="1:12" x14ac:dyDescent="0.25">
      <c r="A22" s="26" t="s">
        <v>11</v>
      </c>
      <c r="B22" s="26"/>
      <c r="C22" s="26"/>
      <c r="D22" s="26"/>
      <c r="E22" s="26"/>
      <c r="F22" s="27">
        <f>F15-F18-F20</f>
        <v>193347.37999999989</v>
      </c>
      <c r="G22" s="28"/>
      <c r="H22" s="28"/>
      <c r="I22" s="28"/>
      <c r="J22" s="28"/>
      <c r="K22" s="3"/>
      <c r="L22" s="3"/>
    </row>
    <row r="23" spans="1:12" x14ac:dyDescent="0.25">
      <c r="A23" s="29" t="s">
        <v>12</v>
      </c>
      <c r="B23" s="29"/>
      <c r="C23" s="29"/>
      <c r="D23" s="29"/>
      <c r="E23" s="29"/>
      <c r="F23" s="30"/>
      <c r="G23" s="30"/>
      <c r="H23" s="30"/>
      <c r="I23" s="30"/>
      <c r="J23" s="30"/>
      <c r="K23" s="3"/>
      <c r="L23" s="3"/>
    </row>
    <row r="24" spans="1:12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"/>
      <c r="L24" s="3"/>
    </row>
    <row r="25" spans="1:12" x14ac:dyDescent="0.25">
      <c r="A25" s="17" t="s">
        <v>13</v>
      </c>
      <c r="B25" s="17"/>
      <c r="C25" s="17"/>
      <c r="D25" s="17"/>
      <c r="E25" s="17"/>
      <c r="F25" s="17"/>
      <c r="G25" s="17"/>
      <c r="H25" s="17"/>
      <c r="I25" s="17"/>
      <c r="J25" s="17"/>
      <c r="K25" s="3"/>
      <c r="L25" s="3"/>
    </row>
    <row r="26" spans="1:12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3"/>
      <c r="L26" s="3"/>
    </row>
    <row r="27" spans="1:12" x14ac:dyDescent="0.25">
      <c r="A27" s="5" t="s">
        <v>14</v>
      </c>
      <c r="B27" s="26" t="s">
        <v>15</v>
      </c>
      <c r="C27" s="26"/>
      <c r="D27" s="5" t="s">
        <v>17</v>
      </c>
      <c r="E27" s="5" t="s">
        <v>19</v>
      </c>
      <c r="F27" s="26" t="s">
        <v>21</v>
      </c>
      <c r="G27" s="26"/>
      <c r="H27" s="5" t="s">
        <v>23</v>
      </c>
      <c r="I27" s="26" t="s">
        <v>24</v>
      </c>
      <c r="J27" s="26"/>
      <c r="K27" s="26" t="s">
        <v>27</v>
      </c>
      <c r="L27" s="26"/>
    </row>
    <row r="28" spans="1:12" x14ac:dyDescent="0.25">
      <c r="A28" s="6"/>
      <c r="B28" s="34" t="s">
        <v>16</v>
      </c>
      <c r="C28" s="34"/>
      <c r="D28" s="6" t="s">
        <v>18</v>
      </c>
      <c r="E28" s="6" t="s">
        <v>20</v>
      </c>
      <c r="F28" s="34" t="s">
        <v>22</v>
      </c>
      <c r="G28" s="34"/>
      <c r="H28" s="6"/>
      <c r="I28" s="34" t="s">
        <v>25</v>
      </c>
      <c r="J28" s="34"/>
      <c r="K28" s="34" t="s">
        <v>28</v>
      </c>
      <c r="L28" s="34"/>
    </row>
    <row r="29" spans="1:12" x14ac:dyDescent="0.25">
      <c r="A29" s="7"/>
      <c r="B29" s="29"/>
      <c r="C29" s="29"/>
      <c r="D29" s="7"/>
      <c r="E29" s="7"/>
      <c r="F29" s="35"/>
      <c r="G29" s="36"/>
      <c r="H29" s="7"/>
      <c r="I29" s="29" t="s">
        <v>26</v>
      </c>
      <c r="J29" s="29"/>
      <c r="K29" s="29" t="s">
        <v>29</v>
      </c>
      <c r="L29" s="29"/>
    </row>
    <row r="30" spans="1:12" x14ac:dyDescent="0.25">
      <c r="A30" s="8"/>
      <c r="B30" s="39"/>
      <c r="C30" s="40"/>
      <c r="D30" s="8"/>
      <c r="E30" s="8"/>
      <c r="F30" s="39"/>
      <c r="G30" s="40"/>
      <c r="H30" s="8"/>
      <c r="I30" s="39"/>
      <c r="J30" s="40"/>
      <c r="K30" s="39"/>
      <c r="L30" s="40"/>
    </row>
    <row r="31" spans="1:12" x14ac:dyDescent="0.25">
      <c r="A31" s="8"/>
      <c r="B31" s="41" t="s">
        <v>30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x14ac:dyDescent="0.25">
      <c r="A32" s="8"/>
      <c r="B32" s="39"/>
      <c r="C32" s="40"/>
      <c r="D32" s="8"/>
      <c r="E32" s="8"/>
      <c r="F32" s="39"/>
      <c r="G32" s="40"/>
      <c r="H32" s="8"/>
      <c r="I32" s="39"/>
      <c r="J32" s="40"/>
      <c r="K32" s="39"/>
      <c r="L32" s="40"/>
    </row>
    <row r="33" spans="1:12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1:12" x14ac:dyDescent="0.25">
      <c r="A34" s="17"/>
      <c r="B34" s="17"/>
      <c r="C34" s="17"/>
      <c r="D34" s="17"/>
      <c r="E34" s="17"/>
      <c r="F34" s="17"/>
      <c r="G34" s="17"/>
      <c r="H34" s="17"/>
      <c r="I34" s="17" t="s">
        <v>31</v>
      </c>
      <c r="J34" s="17"/>
      <c r="K34" s="38"/>
      <c r="L34" s="38"/>
    </row>
    <row r="35" spans="1:12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25">
      <c r="A36" s="17" t="s">
        <v>32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 spans="1:12" x14ac:dyDescent="0.25">
      <c r="A38" s="5" t="s">
        <v>14</v>
      </c>
      <c r="B38" s="26" t="s">
        <v>15</v>
      </c>
      <c r="C38" s="26"/>
      <c r="D38" s="5" t="s">
        <v>17</v>
      </c>
      <c r="E38" s="5" t="s">
        <v>19</v>
      </c>
      <c r="F38" s="26" t="s">
        <v>21</v>
      </c>
      <c r="G38" s="26"/>
      <c r="H38" s="5" t="s">
        <v>23</v>
      </c>
      <c r="I38" s="26" t="s">
        <v>24</v>
      </c>
      <c r="J38" s="26"/>
      <c r="K38" s="26" t="s">
        <v>27</v>
      </c>
      <c r="L38" s="26"/>
    </row>
    <row r="39" spans="1:12" x14ac:dyDescent="0.25">
      <c r="A39" s="6"/>
      <c r="B39" s="34" t="s">
        <v>16</v>
      </c>
      <c r="C39" s="34"/>
      <c r="D39" s="6" t="s">
        <v>18</v>
      </c>
      <c r="E39" s="6" t="s">
        <v>20</v>
      </c>
      <c r="F39" s="34" t="s">
        <v>22</v>
      </c>
      <c r="G39" s="34"/>
      <c r="H39" s="6"/>
      <c r="I39" s="34" t="s">
        <v>25</v>
      </c>
      <c r="J39" s="34"/>
      <c r="K39" s="34" t="s">
        <v>28</v>
      </c>
      <c r="L39" s="34"/>
    </row>
    <row r="40" spans="1:12" x14ac:dyDescent="0.25">
      <c r="A40" s="7"/>
      <c r="B40" s="29"/>
      <c r="C40" s="29"/>
      <c r="D40" s="7"/>
      <c r="E40" s="7"/>
      <c r="F40" s="35"/>
      <c r="G40" s="36"/>
      <c r="H40" s="7"/>
      <c r="I40" s="29" t="s">
        <v>26</v>
      </c>
      <c r="J40" s="29"/>
      <c r="K40" s="29" t="s">
        <v>29</v>
      </c>
      <c r="L40" s="29"/>
    </row>
    <row r="41" spans="1:12" x14ac:dyDescent="0.25">
      <c r="A41" s="9">
        <v>1</v>
      </c>
      <c r="B41" s="39" t="s">
        <v>37</v>
      </c>
      <c r="C41" s="40"/>
      <c r="D41" s="8" t="s">
        <v>38</v>
      </c>
      <c r="E41" s="9">
        <v>3902</v>
      </c>
      <c r="F41" s="56" t="s">
        <v>53</v>
      </c>
      <c r="G41" s="45"/>
      <c r="H41" s="8" t="s">
        <v>39</v>
      </c>
      <c r="I41" s="46">
        <v>1</v>
      </c>
      <c r="J41" s="43"/>
      <c r="K41" s="47">
        <v>943795</v>
      </c>
      <c r="L41" s="48"/>
    </row>
    <row r="42" spans="1:12" x14ac:dyDescent="0.25">
      <c r="A42" s="8"/>
      <c r="B42" s="39"/>
      <c r="C42" s="40"/>
      <c r="D42" s="8"/>
      <c r="E42" s="8"/>
      <c r="F42" s="60" t="s">
        <v>54</v>
      </c>
      <c r="G42" s="53"/>
      <c r="H42" s="8"/>
      <c r="I42" s="39"/>
      <c r="J42" s="40"/>
      <c r="K42" s="39"/>
      <c r="L42" s="40"/>
    </row>
    <row r="43" spans="1:12" x14ac:dyDescent="0.25">
      <c r="A43" s="8"/>
      <c r="B43" s="39"/>
      <c r="C43" s="40"/>
      <c r="D43" s="8"/>
      <c r="E43" s="8"/>
      <c r="F43" s="39"/>
      <c r="G43" s="40"/>
      <c r="H43" s="8"/>
      <c r="I43" s="39"/>
      <c r="J43" s="40"/>
      <c r="K43" s="39"/>
      <c r="L43" s="40"/>
    </row>
    <row r="44" spans="1:12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2" x14ac:dyDescent="0.25">
      <c r="A45" s="17"/>
      <c r="B45" s="17"/>
      <c r="C45" s="17"/>
      <c r="D45" s="17"/>
      <c r="E45" s="17"/>
      <c r="F45" s="17"/>
      <c r="G45" s="17"/>
      <c r="H45" s="17"/>
      <c r="I45" s="17" t="s">
        <v>31</v>
      </c>
      <c r="J45" s="17"/>
      <c r="K45" s="50">
        <f>SUM(K41:L43)</f>
        <v>943795</v>
      </c>
      <c r="L45" s="51"/>
    </row>
    <row r="46" spans="1:12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x14ac:dyDescent="0.25">
      <c r="A47" s="17" t="s">
        <v>33</v>
      </c>
      <c r="B47" s="17"/>
      <c r="C47" s="17"/>
      <c r="D47" s="17"/>
      <c r="E47" s="17"/>
      <c r="F47" s="17"/>
      <c r="G47" s="17"/>
      <c r="H47" s="17"/>
      <c r="I47" s="17"/>
      <c r="J47" s="38"/>
      <c r="K47" s="38"/>
      <c r="L47" s="38"/>
    </row>
    <row r="48" spans="1:12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62" t="s">
        <v>56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2" x14ac:dyDescent="0.25">
      <c r="A50" s="62" t="s">
        <v>57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101">
    <mergeCell ref="A7:J7"/>
    <mergeCell ref="A8:J8"/>
    <mergeCell ref="A9:J9"/>
    <mergeCell ref="A10:J10"/>
    <mergeCell ref="B11:E11"/>
    <mergeCell ref="G11:J11"/>
    <mergeCell ref="A1:J1"/>
    <mergeCell ref="A2:J2"/>
    <mergeCell ref="A3:J3"/>
    <mergeCell ref="A4:J4"/>
    <mergeCell ref="A5:J5"/>
    <mergeCell ref="A6:J6"/>
    <mergeCell ref="A16:E16"/>
    <mergeCell ref="F16:J16"/>
    <mergeCell ref="A17:E17"/>
    <mergeCell ref="F17:J17"/>
    <mergeCell ref="A18:E18"/>
    <mergeCell ref="F18:J18"/>
    <mergeCell ref="A12:J12"/>
    <mergeCell ref="A13:E13"/>
    <mergeCell ref="F13:J13"/>
    <mergeCell ref="A14:E14"/>
    <mergeCell ref="F14:J14"/>
    <mergeCell ref="A15:E15"/>
    <mergeCell ref="F15:J15"/>
    <mergeCell ref="A22:E22"/>
    <mergeCell ref="F22:J22"/>
    <mergeCell ref="A23:E23"/>
    <mergeCell ref="F23:J23"/>
    <mergeCell ref="A24:J24"/>
    <mergeCell ref="A25:J25"/>
    <mergeCell ref="A19:E19"/>
    <mergeCell ref="F19:J19"/>
    <mergeCell ref="A20:E20"/>
    <mergeCell ref="F20:J20"/>
    <mergeCell ref="A21:E21"/>
    <mergeCell ref="F21:J21"/>
    <mergeCell ref="A26:J26"/>
    <mergeCell ref="B27:C27"/>
    <mergeCell ref="F27:G27"/>
    <mergeCell ref="I27:J27"/>
    <mergeCell ref="K27:L27"/>
    <mergeCell ref="B28:C28"/>
    <mergeCell ref="F28:G28"/>
    <mergeCell ref="I28:J28"/>
    <mergeCell ref="K28:L28"/>
    <mergeCell ref="B31:L31"/>
    <mergeCell ref="B32:C32"/>
    <mergeCell ref="F32:G32"/>
    <mergeCell ref="I32:J32"/>
    <mergeCell ref="K32:L32"/>
    <mergeCell ref="A33:L33"/>
    <mergeCell ref="B29:C29"/>
    <mergeCell ref="F29:G29"/>
    <mergeCell ref="I29:J29"/>
    <mergeCell ref="K29:L29"/>
    <mergeCell ref="B30:C30"/>
    <mergeCell ref="F30:G30"/>
    <mergeCell ref="I30:J30"/>
    <mergeCell ref="K30:L30"/>
    <mergeCell ref="B38:C38"/>
    <mergeCell ref="F38:G38"/>
    <mergeCell ref="I38:J38"/>
    <mergeCell ref="K38:L38"/>
    <mergeCell ref="B39:C39"/>
    <mergeCell ref="F39:G39"/>
    <mergeCell ref="I39:J39"/>
    <mergeCell ref="K39:L39"/>
    <mergeCell ref="A34:H34"/>
    <mergeCell ref="I34:J34"/>
    <mergeCell ref="K34:L34"/>
    <mergeCell ref="A35:L35"/>
    <mergeCell ref="A36:L36"/>
    <mergeCell ref="A37:L37"/>
    <mergeCell ref="B42:C42"/>
    <mergeCell ref="F42:G42"/>
    <mergeCell ref="I42:J42"/>
    <mergeCell ref="K42:L42"/>
    <mergeCell ref="B43:C43"/>
    <mergeCell ref="F43:G43"/>
    <mergeCell ref="I43:J43"/>
    <mergeCell ref="K43:L43"/>
    <mergeCell ref="B40:C40"/>
    <mergeCell ref="F40:G40"/>
    <mergeCell ref="I40:J40"/>
    <mergeCell ref="K40:L40"/>
    <mergeCell ref="B41:C41"/>
    <mergeCell ref="F41:G41"/>
    <mergeCell ref="I41:J41"/>
    <mergeCell ref="K41:L41"/>
    <mergeCell ref="A48:L48"/>
    <mergeCell ref="A49:L49"/>
    <mergeCell ref="A50:L50"/>
    <mergeCell ref="A51:L51"/>
    <mergeCell ref="A44:L44"/>
    <mergeCell ref="A45:H45"/>
    <mergeCell ref="I45:J45"/>
    <mergeCell ref="K45:L45"/>
    <mergeCell ref="A46:L46"/>
    <mergeCell ref="A47:I47"/>
    <mergeCell ref="J47:L47"/>
  </mergeCells>
  <pageMargins left="0.74803149606299213" right="0.51181102362204722" top="0.51181102362204722" bottom="0.51181102362204722" header="0" footer="0"/>
  <pageSetup paperSize="9" scale="83" fitToHeight="0" orientation="portrait" blackAndWhite="1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zoomScaleNormal="100" workbookViewId="0">
      <selection sqref="A1:J1"/>
    </sheetView>
  </sheetViews>
  <sheetFormatPr defaultColWidth="9.140625" defaultRowHeight="15" x14ac:dyDescent="0.25"/>
  <cols>
    <col min="1" max="1" width="6.7109375" style="2" bestFit="1" customWidth="1"/>
    <col min="2" max="3" width="9.140625" style="2" customWidth="1"/>
    <col min="4" max="4" width="10.28515625" style="2" bestFit="1" customWidth="1"/>
    <col min="5" max="10" width="9.140625" style="2" customWidth="1"/>
    <col min="11" max="11" width="10.28515625" style="2" bestFit="1" customWidth="1"/>
    <col min="12" max="16384" width="9.140625" style="2"/>
  </cols>
  <sheetData>
    <row r="1" spans="1:1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3"/>
      <c r="L1" s="3"/>
    </row>
    <row r="2" spans="1:12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3"/>
      <c r="L2" s="3"/>
    </row>
    <row r="3" spans="1:1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3"/>
      <c r="L3" s="3"/>
    </row>
    <row r="4" spans="1:12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3"/>
      <c r="L4" s="3"/>
    </row>
    <row r="5" spans="1:1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3"/>
      <c r="L5" s="3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3"/>
      <c r="L6" s="3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3"/>
      <c r="L7" s="3"/>
    </row>
    <row r="8" spans="1:1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3"/>
      <c r="L8" s="3"/>
    </row>
    <row r="9" spans="1:12" x14ac:dyDescent="0.25">
      <c r="A9" s="18" t="s">
        <v>1</v>
      </c>
      <c r="B9" s="18"/>
      <c r="C9" s="18"/>
      <c r="D9" s="18"/>
      <c r="E9" s="18"/>
      <c r="F9" s="18"/>
      <c r="G9" s="18"/>
      <c r="H9" s="18"/>
      <c r="I9" s="18"/>
      <c r="J9" s="18"/>
      <c r="K9" s="3"/>
      <c r="L9" s="3"/>
    </row>
    <row r="10" spans="1:12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3"/>
      <c r="L10" s="3"/>
    </row>
    <row r="11" spans="1:12" x14ac:dyDescent="0.25">
      <c r="A11" s="3" t="s">
        <v>2</v>
      </c>
      <c r="B11" s="17" t="str">
        <f>HP!B11:E11</f>
        <v>JG/26-27/6002</v>
      </c>
      <c r="C11" s="17"/>
      <c r="D11" s="17"/>
      <c r="E11" s="17"/>
      <c r="F11" s="3" t="s">
        <v>3</v>
      </c>
      <c r="G11" s="58" t="str">
        <f>HP!G11:J11</f>
        <v>04.05.2026</v>
      </c>
      <c r="H11" s="59"/>
      <c r="I11" s="59"/>
      <c r="J11" s="59"/>
      <c r="K11" s="3"/>
      <c r="L11" s="3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3"/>
      <c r="L12" s="3"/>
    </row>
    <row r="13" spans="1:12" x14ac:dyDescent="0.25">
      <c r="A13" s="19" t="s">
        <v>4</v>
      </c>
      <c r="B13" s="19"/>
      <c r="C13" s="19"/>
      <c r="D13" s="19"/>
      <c r="E13" s="19"/>
      <c r="F13" s="19" t="s">
        <v>44</v>
      </c>
      <c r="G13" s="19"/>
      <c r="H13" s="19"/>
      <c r="I13" s="19"/>
      <c r="J13" s="19"/>
      <c r="K13" s="3"/>
      <c r="L13" s="3"/>
    </row>
    <row r="14" spans="1:12" x14ac:dyDescent="0.25">
      <c r="A14" s="19" t="s">
        <v>5</v>
      </c>
      <c r="B14" s="19"/>
      <c r="C14" s="19"/>
      <c r="D14" s="19"/>
      <c r="E14" s="19"/>
      <c r="F14" s="20" t="s">
        <v>42</v>
      </c>
      <c r="G14" s="21"/>
      <c r="H14" s="21"/>
      <c r="I14" s="21"/>
      <c r="J14" s="21"/>
      <c r="K14" s="3"/>
      <c r="L14" s="3"/>
    </row>
    <row r="15" spans="1:12" x14ac:dyDescent="0.25">
      <c r="A15" s="19" t="s">
        <v>6</v>
      </c>
      <c r="B15" s="19"/>
      <c r="C15" s="19"/>
      <c r="D15" s="19"/>
      <c r="E15" s="19"/>
      <c r="F15" s="22">
        <v>80747.88</v>
      </c>
      <c r="G15" s="22"/>
      <c r="H15" s="22"/>
      <c r="I15" s="22"/>
      <c r="J15" s="22"/>
      <c r="K15" s="3"/>
      <c r="L15" s="3"/>
    </row>
    <row r="16" spans="1:12" x14ac:dyDescent="0.25">
      <c r="A16" s="26" t="s">
        <v>7</v>
      </c>
      <c r="B16" s="26"/>
      <c r="C16" s="26"/>
      <c r="D16" s="26"/>
      <c r="E16" s="26"/>
      <c r="F16" s="28" t="s">
        <v>36</v>
      </c>
      <c r="G16" s="28"/>
      <c r="H16" s="28"/>
      <c r="I16" s="28"/>
      <c r="J16" s="28"/>
      <c r="K16" s="3"/>
      <c r="L16" s="3"/>
    </row>
    <row r="17" spans="1:12" x14ac:dyDescent="0.25">
      <c r="A17" s="29" t="s">
        <v>8</v>
      </c>
      <c r="B17" s="29"/>
      <c r="C17" s="29"/>
      <c r="D17" s="29"/>
      <c r="E17" s="29"/>
      <c r="F17" s="30"/>
      <c r="G17" s="30"/>
      <c r="H17" s="30"/>
      <c r="I17" s="30"/>
      <c r="J17" s="30"/>
      <c r="K17" s="3"/>
      <c r="L17" s="3"/>
    </row>
    <row r="18" spans="1:12" x14ac:dyDescent="0.25">
      <c r="A18" s="26" t="s">
        <v>9</v>
      </c>
      <c r="B18" s="26"/>
      <c r="C18" s="26"/>
      <c r="D18" s="26"/>
      <c r="E18" s="26"/>
      <c r="F18" s="31">
        <f>K45</f>
        <v>36776</v>
      </c>
      <c r="G18" s="32"/>
      <c r="H18" s="32"/>
      <c r="I18" s="32"/>
      <c r="J18" s="33"/>
      <c r="K18" s="4"/>
      <c r="L18" s="3"/>
    </row>
    <row r="19" spans="1:12" x14ac:dyDescent="0.25">
      <c r="A19" s="29"/>
      <c r="B19" s="29"/>
      <c r="C19" s="29"/>
      <c r="D19" s="29"/>
      <c r="E19" s="29"/>
      <c r="F19" s="30"/>
      <c r="G19" s="30"/>
      <c r="H19" s="30"/>
      <c r="I19" s="30"/>
      <c r="J19" s="30"/>
      <c r="K19" s="3"/>
      <c r="L19" s="3"/>
    </row>
    <row r="20" spans="1:12" x14ac:dyDescent="0.25">
      <c r="A20" s="26" t="s">
        <v>10</v>
      </c>
      <c r="B20" s="26"/>
      <c r="C20" s="26"/>
      <c r="D20" s="26"/>
      <c r="E20" s="26"/>
      <c r="F20" s="27">
        <f>F18*40/100</f>
        <v>14710.4</v>
      </c>
      <c r="G20" s="28"/>
      <c r="H20" s="28"/>
      <c r="I20" s="28"/>
      <c r="J20" s="28"/>
      <c r="K20" s="3"/>
      <c r="L20" s="3"/>
    </row>
    <row r="21" spans="1:12" x14ac:dyDescent="0.25">
      <c r="A21" s="29"/>
      <c r="B21" s="29"/>
      <c r="C21" s="29"/>
      <c r="D21" s="29"/>
      <c r="E21" s="29"/>
      <c r="F21" s="30"/>
      <c r="G21" s="30"/>
      <c r="H21" s="30"/>
      <c r="I21" s="30"/>
      <c r="J21" s="30"/>
      <c r="K21" s="3"/>
      <c r="L21" s="3"/>
    </row>
    <row r="22" spans="1:12" x14ac:dyDescent="0.25">
      <c r="A22" s="26" t="s">
        <v>11</v>
      </c>
      <c r="B22" s="26"/>
      <c r="C22" s="26"/>
      <c r="D22" s="26"/>
      <c r="E22" s="26"/>
      <c r="F22" s="27">
        <f>F15-F18-F20</f>
        <v>29261.480000000003</v>
      </c>
      <c r="G22" s="28"/>
      <c r="H22" s="28"/>
      <c r="I22" s="28"/>
      <c r="J22" s="28"/>
      <c r="K22" s="3"/>
      <c r="L22" s="3"/>
    </row>
    <row r="23" spans="1:12" x14ac:dyDescent="0.25">
      <c r="A23" s="29" t="s">
        <v>12</v>
      </c>
      <c r="B23" s="29"/>
      <c r="C23" s="29"/>
      <c r="D23" s="29"/>
      <c r="E23" s="29"/>
      <c r="F23" s="30"/>
      <c r="G23" s="30"/>
      <c r="H23" s="30"/>
      <c r="I23" s="30"/>
      <c r="J23" s="30"/>
      <c r="K23" s="3"/>
      <c r="L23" s="3"/>
    </row>
    <row r="24" spans="1:12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"/>
      <c r="L24" s="3"/>
    </row>
    <row r="25" spans="1:12" x14ac:dyDescent="0.25">
      <c r="A25" s="17" t="s">
        <v>13</v>
      </c>
      <c r="B25" s="17"/>
      <c r="C25" s="17"/>
      <c r="D25" s="17"/>
      <c r="E25" s="17"/>
      <c r="F25" s="17"/>
      <c r="G25" s="17"/>
      <c r="H25" s="17"/>
      <c r="I25" s="17"/>
      <c r="J25" s="17"/>
      <c r="K25" s="3"/>
      <c r="L25" s="3"/>
    </row>
    <row r="26" spans="1:12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3"/>
      <c r="L26" s="3"/>
    </row>
    <row r="27" spans="1:12" x14ac:dyDescent="0.25">
      <c r="A27" s="5" t="s">
        <v>14</v>
      </c>
      <c r="B27" s="26" t="s">
        <v>15</v>
      </c>
      <c r="C27" s="26"/>
      <c r="D27" s="5" t="s">
        <v>17</v>
      </c>
      <c r="E27" s="5" t="s">
        <v>19</v>
      </c>
      <c r="F27" s="26" t="s">
        <v>21</v>
      </c>
      <c r="G27" s="26"/>
      <c r="H27" s="5" t="s">
        <v>23</v>
      </c>
      <c r="I27" s="26" t="s">
        <v>24</v>
      </c>
      <c r="J27" s="26"/>
      <c r="K27" s="26" t="s">
        <v>27</v>
      </c>
      <c r="L27" s="26"/>
    </row>
    <row r="28" spans="1:12" x14ac:dyDescent="0.25">
      <c r="A28" s="6"/>
      <c r="B28" s="34" t="s">
        <v>16</v>
      </c>
      <c r="C28" s="34"/>
      <c r="D28" s="6" t="s">
        <v>18</v>
      </c>
      <c r="E28" s="6" t="s">
        <v>20</v>
      </c>
      <c r="F28" s="34" t="s">
        <v>22</v>
      </c>
      <c r="G28" s="34"/>
      <c r="H28" s="6"/>
      <c r="I28" s="34" t="s">
        <v>25</v>
      </c>
      <c r="J28" s="34"/>
      <c r="K28" s="34" t="s">
        <v>28</v>
      </c>
      <c r="L28" s="34"/>
    </row>
    <row r="29" spans="1:12" x14ac:dyDescent="0.25">
      <c r="A29" s="7"/>
      <c r="B29" s="29"/>
      <c r="C29" s="29"/>
      <c r="D29" s="7"/>
      <c r="E29" s="7"/>
      <c r="F29" s="35"/>
      <c r="G29" s="36"/>
      <c r="H29" s="7"/>
      <c r="I29" s="29" t="s">
        <v>26</v>
      </c>
      <c r="J29" s="29"/>
      <c r="K29" s="29" t="s">
        <v>29</v>
      </c>
      <c r="L29" s="29"/>
    </row>
    <row r="30" spans="1:12" x14ac:dyDescent="0.25">
      <c r="A30" s="8"/>
      <c r="B30" s="39"/>
      <c r="C30" s="40"/>
      <c r="D30" s="8"/>
      <c r="E30" s="8"/>
      <c r="F30" s="39"/>
      <c r="G30" s="40"/>
      <c r="H30" s="8"/>
      <c r="I30" s="39"/>
      <c r="J30" s="40"/>
      <c r="K30" s="39"/>
      <c r="L30" s="40"/>
    </row>
    <row r="31" spans="1:12" x14ac:dyDescent="0.25">
      <c r="A31" s="8"/>
      <c r="B31" s="41" t="s">
        <v>30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x14ac:dyDescent="0.25">
      <c r="A32" s="8"/>
      <c r="B32" s="39"/>
      <c r="C32" s="40"/>
      <c r="D32" s="8"/>
      <c r="E32" s="8"/>
      <c r="F32" s="39"/>
      <c r="G32" s="40"/>
      <c r="H32" s="8"/>
      <c r="I32" s="39"/>
      <c r="J32" s="40"/>
      <c r="K32" s="39"/>
      <c r="L32" s="40"/>
    </row>
    <row r="33" spans="1:12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1:12" x14ac:dyDescent="0.25">
      <c r="A34" s="17"/>
      <c r="B34" s="17"/>
      <c r="C34" s="17"/>
      <c r="D34" s="17"/>
      <c r="E34" s="17"/>
      <c r="F34" s="17"/>
      <c r="G34" s="17"/>
      <c r="H34" s="17"/>
      <c r="I34" s="17" t="s">
        <v>31</v>
      </c>
      <c r="J34" s="17"/>
      <c r="K34" s="38"/>
      <c r="L34" s="38"/>
    </row>
    <row r="35" spans="1:12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25">
      <c r="A36" s="17" t="s">
        <v>32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 spans="1:12" x14ac:dyDescent="0.25">
      <c r="A38" s="5" t="s">
        <v>14</v>
      </c>
      <c r="B38" s="26" t="s">
        <v>15</v>
      </c>
      <c r="C38" s="26"/>
      <c r="D38" s="5" t="s">
        <v>17</v>
      </c>
      <c r="E38" s="5" t="s">
        <v>19</v>
      </c>
      <c r="F38" s="26" t="s">
        <v>21</v>
      </c>
      <c r="G38" s="26"/>
      <c r="H38" s="5" t="s">
        <v>23</v>
      </c>
      <c r="I38" s="26" t="s">
        <v>24</v>
      </c>
      <c r="J38" s="26"/>
      <c r="K38" s="26" t="s">
        <v>27</v>
      </c>
      <c r="L38" s="26"/>
    </row>
    <row r="39" spans="1:12" x14ac:dyDescent="0.25">
      <c r="A39" s="6"/>
      <c r="B39" s="34" t="s">
        <v>16</v>
      </c>
      <c r="C39" s="34"/>
      <c r="D39" s="6" t="s">
        <v>18</v>
      </c>
      <c r="E39" s="6" t="s">
        <v>20</v>
      </c>
      <c r="F39" s="34" t="s">
        <v>22</v>
      </c>
      <c r="G39" s="34"/>
      <c r="H39" s="6"/>
      <c r="I39" s="34" t="s">
        <v>25</v>
      </c>
      <c r="J39" s="34"/>
      <c r="K39" s="34" t="s">
        <v>28</v>
      </c>
      <c r="L39" s="34"/>
    </row>
    <row r="40" spans="1:12" x14ac:dyDescent="0.25">
      <c r="A40" s="7"/>
      <c r="B40" s="29"/>
      <c r="C40" s="29"/>
      <c r="D40" s="7"/>
      <c r="E40" s="7"/>
      <c r="F40" s="35"/>
      <c r="G40" s="36"/>
      <c r="H40" s="7"/>
      <c r="I40" s="29" t="s">
        <v>26</v>
      </c>
      <c r="J40" s="29"/>
      <c r="K40" s="29" t="s">
        <v>29</v>
      </c>
      <c r="L40" s="29"/>
    </row>
    <row r="41" spans="1:12" x14ac:dyDescent="0.25">
      <c r="A41" s="9">
        <v>1</v>
      </c>
      <c r="B41" s="39" t="s">
        <v>43</v>
      </c>
      <c r="C41" s="40"/>
      <c r="D41" s="8" t="s">
        <v>38</v>
      </c>
      <c r="E41" s="9">
        <v>3920</v>
      </c>
      <c r="F41" s="56" t="s">
        <v>55</v>
      </c>
      <c r="G41" s="45"/>
      <c r="H41" s="8" t="s">
        <v>39</v>
      </c>
      <c r="I41" s="46">
        <v>1</v>
      </c>
      <c r="J41" s="43"/>
      <c r="K41" s="47">
        <v>36776</v>
      </c>
      <c r="L41" s="48"/>
    </row>
    <row r="42" spans="1:12" x14ac:dyDescent="0.25">
      <c r="A42" s="8"/>
      <c r="B42" s="39"/>
      <c r="C42" s="40"/>
      <c r="D42" s="8"/>
      <c r="E42" s="8"/>
      <c r="F42" s="60" t="s">
        <v>54</v>
      </c>
      <c r="G42" s="53"/>
      <c r="H42" s="8"/>
      <c r="I42" s="46"/>
      <c r="J42" s="43"/>
      <c r="K42" s="54"/>
      <c r="L42" s="55"/>
    </row>
    <row r="43" spans="1:12" x14ac:dyDescent="0.25">
      <c r="A43" s="8"/>
      <c r="B43" s="39"/>
      <c r="C43" s="40"/>
      <c r="D43" s="8"/>
      <c r="E43" s="8"/>
      <c r="F43" s="61"/>
      <c r="G43" s="40"/>
      <c r="H43" s="8"/>
      <c r="I43" s="39"/>
      <c r="J43" s="40"/>
      <c r="K43" s="54"/>
      <c r="L43" s="55"/>
    </row>
    <row r="44" spans="1:12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2" x14ac:dyDescent="0.25">
      <c r="A45" s="17"/>
      <c r="B45" s="17"/>
      <c r="C45" s="17"/>
      <c r="D45" s="17"/>
      <c r="E45" s="17"/>
      <c r="F45" s="17"/>
      <c r="G45" s="17"/>
      <c r="H45" s="17"/>
      <c r="I45" s="17" t="s">
        <v>31</v>
      </c>
      <c r="J45" s="17"/>
      <c r="K45" s="50">
        <f>SUM(K41:L43)</f>
        <v>36776</v>
      </c>
      <c r="L45" s="51"/>
    </row>
    <row r="46" spans="1:12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x14ac:dyDescent="0.25">
      <c r="A47" s="17" t="s">
        <v>33</v>
      </c>
      <c r="B47" s="17"/>
      <c r="C47" s="17"/>
      <c r="D47" s="17"/>
      <c r="E47" s="17"/>
      <c r="F47" s="17"/>
      <c r="G47" s="17"/>
      <c r="H47" s="17"/>
      <c r="I47" s="17"/>
      <c r="J47" s="38"/>
      <c r="K47" s="38"/>
      <c r="L47" s="38"/>
    </row>
    <row r="48" spans="1:12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62" t="s">
        <v>56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2" x14ac:dyDescent="0.25">
      <c r="A50" s="62" t="s">
        <v>57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101">
    <mergeCell ref="A48:L48"/>
    <mergeCell ref="A49:L49"/>
    <mergeCell ref="A50:L50"/>
    <mergeCell ref="A51:L51"/>
    <mergeCell ref="A44:L44"/>
    <mergeCell ref="A45:H45"/>
    <mergeCell ref="I45:J45"/>
    <mergeCell ref="K45:L45"/>
    <mergeCell ref="A46:L46"/>
    <mergeCell ref="A47:I47"/>
    <mergeCell ref="J47:L47"/>
    <mergeCell ref="B42:C42"/>
    <mergeCell ref="F42:G42"/>
    <mergeCell ref="I42:J42"/>
    <mergeCell ref="K42:L42"/>
    <mergeCell ref="B43:C43"/>
    <mergeCell ref="F43:G43"/>
    <mergeCell ref="I43:J43"/>
    <mergeCell ref="K43:L43"/>
    <mergeCell ref="B40:C40"/>
    <mergeCell ref="F40:G40"/>
    <mergeCell ref="I40:J40"/>
    <mergeCell ref="K40:L40"/>
    <mergeCell ref="B41:C41"/>
    <mergeCell ref="F41:G41"/>
    <mergeCell ref="I41:J41"/>
    <mergeCell ref="K41:L41"/>
    <mergeCell ref="B38:C38"/>
    <mergeCell ref="F38:G38"/>
    <mergeCell ref="I38:J38"/>
    <mergeCell ref="K38:L38"/>
    <mergeCell ref="B39:C39"/>
    <mergeCell ref="F39:G39"/>
    <mergeCell ref="I39:J39"/>
    <mergeCell ref="K39:L39"/>
    <mergeCell ref="A34:H34"/>
    <mergeCell ref="I34:J34"/>
    <mergeCell ref="K34:L34"/>
    <mergeCell ref="A35:L35"/>
    <mergeCell ref="A36:L36"/>
    <mergeCell ref="A37:L37"/>
    <mergeCell ref="B31:L31"/>
    <mergeCell ref="B32:C32"/>
    <mergeCell ref="F32:G32"/>
    <mergeCell ref="I32:J32"/>
    <mergeCell ref="K32:L32"/>
    <mergeCell ref="A33:L33"/>
    <mergeCell ref="B29:C29"/>
    <mergeCell ref="F29:G29"/>
    <mergeCell ref="I29:J29"/>
    <mergeCell ref="K29:L29"/>
    <mergeCell ref="B30:C30"/>
    <mergeCell ref="F30:G30"/>
    <mergeCell ref="I30:J30"/>
    <mergeCell ref="K30:L30"/>
    <mergeCell ref="A26:J26"/>
    <mergeCell ref="B27:C27"/>
    <mergeCell ref="F27:G27"/>
    <mergeCell ref="I27:J27"/>
    <mergeCell ref="K27:L27"/>
    <mergeCell ref="B28:C28"/>
    <mergeCell ref="F28:G28"/>
    <mergeCell ref="I28:J28"/>
    <mergeCell ref="K28:L28"/>
    <mergeCell ref="A22:E22"/>
    <mergeCell ref="F22:J22"/>
    <mergeCell ref="A23:E23"/>
    <mergeCell ref="F23:J23"/>
    <mergeCell ref="A24:J24"/>
    <mergeCell ref="A25:J25"/>
    <mergeCell ref="A19:E19"/>
    <mergeCell ref="F19:J19"/>
    <mergeCell ref="A20:E20"/>
    <mergeCell ref="F20:J20"/>
    <mergeCell ref="A21:E21"/>
    <mergeCell ref="F21:J21"/>
    <mergeCell ref="A16:E16"/>
    <mergeCell ref="F16:J16"/>
    <mergeCell ref="A17:E17"/>
    <mergeCell ref="F17:J17"/>
    <mergeCell ref="A18:E18"/>
    <mergeCell ref="F18:J18"/>
    <mergeCell ref="A12:J12"/>
    <mergeCell ref="A13:E13"/>
    <mergeCell ref="F13:J13"/>
    <mergeCell ref="A14:E14"/>
    <mergeCell ref="F14:J14"/>
    <mergeCell ref="A15:E15"/>
    <mergeCell ref="F15:J15"/>
    <mergeCell ref="A7:J7"/>
    <mergeCell ref="A8:J8"/>
    <mergeCell ref="A9:J9"/>
    <mergeCell ref="A10:J10"/>
    <mergeCell ref="B11:E11"/>
    <mergeCell ref="G11:J11"/>
    <mergeCell ref="A1:J1"/>
    <mergeCell ref="A2:J2"/>
    <mergeCell ref="A3:J3"/>
    <mergeCell ref="A4:J4"/>
    <mergeCell ref="A5:J5"/>
    <mergeCell ref="A6:J6"/>
  </mergeCells>
  <pageMargins left="0.74803149606299213" right="0.51181102362204722" top="0.51181102362204722" bottom="0.51181102362204722" header="0" footer="0"/>
  <pageSetup paperSize="9" scale="83" fitToHeight="0" orientation="portrait" blackAndWhite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VP</vt:lpstr>
      <vt:lpstr>HP</vt:lpstr>
      <vt:lpstr>KP</vt:lpstr>
      <vt:lpstr>OSWIN</vt:lpstr>
      <vt:lpstr>PUSHPAM</vt:lpstr>
    </vt:vector>
  </TitlesOfParts>
  <Company>Jaikvin Enterprises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Doshi</dc:creator>
  <cp:lastModifiedBy>Admin</cp:lastModifiedBy>
  <cp:lastPrinted>2026-01-03T08:26:07Z</cp:lastPrinted>
  <dcterms:created xsi:type="dcterms:W3CDTF">2002-02-06T06:36:01Z</dcterms:created>
  <dcterms:modified xsi:type="dcterms:W3CDTF">2026-05-29T10:17:19Z</dcterms:modified>
</cp:coreProperties>
</file>