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305"/>
  </bookViews>
  <sheets>
    <sheet name="Master" sheetId="6" r:id="rId1"/>
  </sheets>
  <definedNames>
    <definedName name="_xlnm._FilterDatabase" localSheetId="0" hidden="1">Master!$A$4:$AF$57</definedName>
  </definedNames>
  <calcPr calcId="152511"/>
</workbook>
</file>

<file path=xl/calcChain.xml><?xml version="1.0" encoding="utf-8"?>
<calcChain xmlns="http://schemas.openxmlformats.org/spreadsheetml/2006/main">
  <c r="AD83" i="6" l="1"/>
  <c r="AA83" i="6"/>
  <c r="V83" i="6"/>
  <c r="O83" i="6"/>
  <c r="R83" i="6" s="1"/>
  <c r="AD82" i="6"/>
  <c r="AA82" i="6"/>
  <c r="V82" i="6"/>
  <c r="O82" i="6"/>
  <c r="R82" i="6" s="1"/>
  <c r="AD81" i="6"/>
  <c r="AA81" i="6"/>
  <c r="V81" i="6"/>
  <c r="O81" i="6"/>
  <c r="R81" i="6" s="1"/>
  <c r="AD80" i="6"/>
  <c r="AA80" i="6"/>
  <c r="V80" i="6"/>
  <c r="O80" i="6"/>
  <c r="R80" i="6" s="1"/>
  <c r="AD79" i="6"/>
  <c r="AA79" i="6"/>
  <c r="V79" i="6"/>
  <c r="O79" i="6"/>
  <c r="R79" i="6" s="1"/>
  <c r="AD78" i="6"/>
  <c r="AA78" i="6"/>
  <c r="V78" i="6"/>
  <c r="O78" i="6"/>
  <c r="P74" i="6"/>
  <c r="V73" i="6"/>
  <c r="N73" i="6"/>
  <c r="AA73" i="6" s="1"/>
  <c r="AA74" i="6" s="1"/>
  <c r="P68" i="6"/>
  <c r="V67" i="6"/>
  <c r="N67" i="6"/>
  <c r="AA67" i="6" s="1"/>
  <c r="V66" i="6"/>
  <c r="N66" i="6"/>
  <c r="AD66" i="6" s="1"/>
  <c r="AF66" i="6" s="1"/>
  <c r="AE66" i="6" s="1"/>
  <c r="V65" i="6"/>
  <c r="N65" i="6"/>
  <c r="AD65" i="6" s="1"/>
  <c r="AF65" i="6" s="1"/>
  <c r="AE65" i="6" s="1"/>
  <c r="V64" i="6"/>
  <c r="N64" i="6"/>
  <c r="AA64" i="6" s="1"/>
  <c r="V63" i="6"/>
  <c r="N63" i="6"/>
  <c r="AD63" i="6" s="1"/>
  <c r="AF63" i="6" s="1"/>
  <c r="AE63" i="6" s="1"/>
  <c r="V62" i="6"/>
  <c r="N62" i="6"/>
  <c r="N58" i="6"/>
  <c r="AD57" i="6"/>
  <c r="AF57" i="6" s="1"/>
  <c r="AE57" i="6" s="1"/>
  <c r="AA57" i="6"/>
  <c r="U57" i="6"/>
  <c r="T57" i="6"/>
  <c r="O57" i="6"/>
  <c r="AD56" i="6"/>
  <c r="AF56" i="6" s="1"/>
  <c r="AE56" i="6" s="1"/>
  <c r="AA56" i="6"/>
  <c r="U56" i="6"/>
  <c r="T56" i="6"/>
  <c r="O56" i="6"/>
  <c r="AD55" i="6"/>
  <c r="AF55" i="6" s="1"/>
  <c r="AE55" i="6" s="1"/>
  <c r="AA55" i="6"/>
  <c r="U55" i="6"/>
  <c r="T55" i="6"/>
  <c r="O55" i="6"/>
  <c r="R55" i="6" s="1"/>
  <c r="AD54" i="6"/>
  <c r="AF54" i="6" s="1"/>
  <c r="AE54" i="6" s="1"/>
  <c r="AA54" i="6"/>
  <c r="U54" i="6"/>
  <c r="T54" i="6"/>
  <c r="O54" i="6"/>
  <c r="R54" i="6" s="1"/>
  <c r="AD53" i="6"/>
  <c r="AF53" i="6" s="1"/>
  <c r="AE53" i="6" s="1"/>
  <c r="AA53" i="6"/>
  <c r="U53" i="6"/>
  <c r="T53" i="6"/>
  <c r="O53" i="6"/>
  <c r="R53" i="6" s="1"/>
  <c r="AD51" i="6"/>
  <c r="AF51" i="6" s="1"/>
  <c r="AE51" i="6" s="1"/>
  <c r="AA51" i="6"/>
  <c r="U51" i="6"/>
  <c r="T51" i="6"/>
  <c r="O51" i="6"/>
  <c r="R51" i="6" s="1"/>
  <c r="AD50" i="6"/>
  <c r="AF50" i="6" s="1"/>
  <c r="AE50" i="6" s="1"/>
  <c r="AA50" i="6"/>
  <c r="U50" i="6"/>
  <c r="T50" i="6"/>
  <c r="O50" i="6"/>
  <c r="AD49" i="6"/>
  <c r="AF49" i="6" s="1"/>
  <c r="AE49" i="6" s="1"/>
  <c r="AA49" i="6"/>
  <c r="U49" i="6"/>
  <c r="T49" i="6"/>
  <c r="O49" i="6"/>
  <c r="R49" i="6" s="1"/>
  <c r="AD48" i="6"/>
  <c r="AF48" i="6" s="1"/>
  <c r="AE48" i="6" s="1"/>
  <c r="AA48" i="6"/>
  <c r="U48" i="6"/>
  <c r="T48" i="6"/>
  <c r="O48" i="6"/>
  <c r="R48" i="6" s="1"/>
  <c r="AD47" i="6"/>
  <c r="AF47" i="6" s="1"/>
  <c r="AE47" i="6" s="1"/>
  <c r="AA47" i="6"/>
  <c r="U47" i="6"/>
  <c r="T47" i="6"/>
  <c r="O47" i="6"/>
  <c r="R47" i="6" s="1"/>
  <c r="AD46" i="6"/>
  <c r="AF46" i="6" s="1"/>
  <c r="AE46" i="6" s="1"/>
  <c r="AA46" i="6"/>
  <c r="U46" i="6"/>
  <c r="T46" i="6"/>
  <c r="O46" i="6"/>
  <c r="R46" i="6" s="1"/>
  <c r="AD45" i="6"/>
  <c r="AF45" i="6" s="1"/>
  <c r="AE45" i="6" s="1"/>
  <c r="AA45" i="6"/>
  <c r="U45" i="6"/>
  <c r="T45" i="6"/>
  <c r="O45" i="6"/>
  <c r="R45" i="6" s="1"/>
  <c r="AD43" i="6"/>
  <c r="AF43" i="6" s="1"/>
  <c r="AE43" i="6" s="1"/>
  <c r="AA43" i="6"/>
  <c r="U43" i="6"/>
  <c r="T43" i="6"/>
  <c r="O43" i="6"/>
  <c r="AD42" i="6"/>
  <c r="AF42" i="6" s="1"/>
  <c r="AE42" i="6" s="1"/>
  <c r="AA42" i="6"/>
  <c r="U42" i="6"/>
  <c r="T42" i="6"/>
  <c r="O42" i="6"/>
  <c r="R42" i="6" s="1"/>
  <c r="AD41" i="6"/>
  <c r="AF41" i="6" s="1"/>
  <c r="AE41" i="6" s="1"/>
  <c r="AA41" i="6"/>
  <c r="U41" i="6"/>
  <c r="T41" i="6"/>
  <c r="O41" i="6"/>
  <c r="R41" i="6" s="1"/>
  <c r="AD40" i="6"/>
  <c r="AF40" i="6" s="1"/>
  <c r="AE40" i="6" s="1"/>
  <c r="AA40" i="6"/>
  <c r="U40" i="6"/>
  <c r="T40" i="6"/>
  <c r="O40" i="6"/>
  <c r="R40" i="6" s="1"/>
  <c r="AD38" i="6"/>
  <c r="AF38" i="6" s="1"/>
  <c r="AE38" i="6" s="1"/>
  <c r="AA38" i="6"/>
  <c r="U38" i="6"/>
  <c r="T38" i="6"/>
  <c r="O38" i="6"/>
  <c r="R38" i="6" s="1"/>
  <c r="AD37" i="6"/>
  <c r="AF37" i="6" s="1"/>
  <c r="AE37" i="6" s="1"/>
  <c r="AA37" i="6"/>
  <c r="U37" i="6"/>
  <c r="T37" i="6"/>
  <c r="O37" i="6"/>
  <c r="R37" i="6" s="1"/>
  <c r="AD36" i="6"/>
  <c r="AF36" i="6" s="1"/>
  <c r="AE36" i="6" s="1"/>
  <c r="AA36" i="6"/>
  <c r="U36" i="6"/>
  <c r="T36" i="6"/>
  <c r="O36" i="6"/>
  <c r="AD35" i="6"/>
  <c r="AF35" i="6" s="1"/>
  <c r="AE35" i="6" s="1"/>
  <c r="AA35" i="6"/>
  <c r="U35" i="6"/>
  <c r="T35" i="6"/>
  <c r="O35" i="6"/>
  <c r="R35" i="6" s="1"/>
  <c r="AD34" i="6"/>
  <c r="AF34" i="6" s="1"/>
  <c r="AE34" i="6" s="1"/>
  <c r="AA34" i="6"/>
  <c r="U34" i="6"/>
  <c r="T34" i="6"/>
  <c r="O34" i="6"/>
  <c r="AD33" i="6"/>
  <c r="AF33" i="6" s="1"/>
  <c r="AE33" i="6" s="1"/>
  <c r="AA33" i="6"/>
  <c r="U33" i="6"/>
  <c r="T33" i="6"/>
  <c r="O33" i="6"/>
  <c r="AD32" i="6"/>
  <c r="AF32" i="6" s="1"/>
  <c r="AE32" i="6" s="1"/>
  <c r="AA32" i="6"/>
  <c r="U32" i="6"/>
  <c r="T32" i="6"/>
  <c r="O32" i="6"/>
  <c r="AD31" i="6"/>
  <c r="AF31" i="6" s="1"/>
  <c r="AE31" i="6" s="1"/>
  <c r="AA31" i="6"/>
  <c r="U31" i="6"/>
  <c r="T31" i="6"/>
  <c r="O31" i="6"/>
  <c r="R31" i="6" s="1"/>
  <c r="AD29" i="6"/>
  <c r="AF29" i="6" s="1"/>
  <c r="AE29" i="6" s="1"/>
  <c r="AA29" i="6"/>
  <c r="U29" i="6"/>
  <c r="V29" i="6" s="1"/>
  <c r="O29" i="6"/>
  <c r="R29" i="6" s="1"/>
  <c r="AD28" i="6"/>
  <c r="AF28" i="6" s="1"/>
  <c r="AE28" i="6" s="1"/>
  <c r="AA28" i="6"/>
  <c r="U28" i="6"/>
  <c r="V28" i="6" s="1"/>
  <c r="O28" i="6"/>
  <c r="R28" i="6" s="1"/>
  <c r="AD27" i="6"/>
  <c r="AF27" i="6" s="1"/>
  <c r="AE27" i="6" s="1"/>
  <c r="AA27" i="6"/>
  <c r="U27" i="6"/>
  <c r="V27" i="6" s="1"/>
  <c r="O27" i="6"/>
  <c r="R27" i="6" s="1"/>
  <c r="AD26" i="6"/>
  <c r="AF26" i="6" s="1"/>
  <c r="AE26" i="6" s="1"/>
  <c r="AA26" i="6"/>
  <c r="U26" i="6"/>
  <c r="V26" i="6" s="1"/>
  <c r="O26" i="6"/>
  <c r="R26" i="6" s="1"/>
  <c r="AD25" i="6"/>
  <c r="AF25" i="6" s="1"/>
  <c r="AE25" i="6" s="1"/>
  <c r="AA25" i="6"/>
  <c r="U25" i="6"/>
  <c r="V25" i="6" s="1"/>
  <c r="O25" i="6"/>
  <c r="R25" i="6" s="1"/>
  <c r="AD24" i="6"/>
  <c r="AF24" i="6" s="1"/>
  <c r="AE24" i="6" s="1"/>
  <c r="AA24" i="6"/>
  <c r="U24" i="6"/>
  <c r="V24" i="6" s="1"/>
  <c r="O24" i="6"/>
  <c r="R24" i="6" s="1"/>
  <c r="AD23" i="6"/>
  <c r="AF23" i="6" s="1"/>
  <c r="AE23" i="6" s="1"/>
  <c r="AA23" i="6"/>
  <c r="U23" i="6"/>
  <c r="V23" i="6" s="1"/>
  <c r="O23" i="6"/>
  <c r="AD22" i="6"/>
  <c r="AF22" i="6" s="1"/>
  <c r="AE22" i="6" s="1"/>
  <c r="AA22" i="6"/>
  <c r="U22" i="6"/>
  <c r="V22" i="6" s="1"/>
  <c r="O22" i="6"/>
  <c r="R22" i="6" s="1"/>
  <c r="AD21" i="6"/>
  <c r="AF21" i="6" s="1"/>
  <c r="AE21" i="6" s="1"/>
  <c r="AA21" i="6"/>
  <c r="U21" i="6"/>
  <c r="V21" i="6" s="1"/>
  <c r="O21" i="6"/>
  <c r="AD19" i="6"/>
  <c r="AF19" i="6" s="1"/>
  <c r="AE19" i="6" s="1"/>
  <c r="AA19" i="6"/>
  <c r="U19" i="6"/>
  <c r="T19" i="6"/>
  <c r="O19" i="6"/>
  <c r="R19" i="6" s="1"/>
  <c r="AD18" i="6"/>
  <c r="AF18" i="6" s="1"/>
  <c r="AE18" i="6" s="1"/>
  <c r="AA18" i="6"/>
  <c r="U18" i="6"/>
  <c r="T18" i="6"/>
  <c r="O18" i="6"/>
  <c r="R18" i="6" s="1"/>
  <c r="AD17" i="6"/>
  <c r="AF17" i="6" s="1"/>
  <c r="AE17" i="6" s="1"/>
  <c r="AA17" i="6"/>
  <c r="U17" i="6"/>
  <c r="T17" i="6"/>
  <c r="O17" i="6"/>
  <c r="R17" i="6" s="1"/>
  <c r="AD16" i="6"/>
  <c r="AF16" i="6" s="1"/>
  <c r="AE16" i="6" s="1"/>
  <c r="AA16" i="6"/>
  <c r="U16" i="6"/>
  <c r="T16" i="6"/>
  <c r="O16" i="6"/>
  <c r="R16" i="6" s="1"/>
  <c r="AD15" i="6"/>
  <c r="AF15" i="6" s="1"/>
  <c r="AE15" i="6" s="1"/>
  <c r="AA15" i="6"/>
  <c r="U15" i="6"/>
  <c r="T15" i="6"/>
  <c r="O15" i="6"/>
  <c r="R15" i="6" s="1"/>
  <c r="AD14" i="6"/>
  <c r="AF14" i="6" s="1"/>
  <c r="AE14" i="6" s="1"/>
  <c r="AA14" i="6"/>
  <c r="U14" i="6"/>
  <c r="T14" i="6"/>
  <c r="O14" i="6"/>
  <c r="R14" i="6" s="1"/>
  <c r="AD12" i="6"/>
  <c r="AF12" i="6" s="1"/>
  <c r="AE12" i="6" s="1"/>
  <c r="AA12" i="6"/>
  <c r="U12" i="6"/>
  <c r="T12" i="6"/>
  <c r="O12" i="6"/>
  <c r="AD11" i="6"/>
  <c r="AF11" i="6" s="1"/>
  <c r="AE11" i="6" s="1"/>
  <c r="AA11" i="6"/>
  <c r="U11" i="6"/>
  <c r="T11" i="6"/>
  <c r="O11" i="6"/>
  <c r="R11" i="6" s="1"/>
  <c r="AD10" i="6"/>
  <c r="AF10" i="6" s="1"/>
  <c r="AE10" i="6" s="1"/>
  <c r="AA10" i="6"/>
  <c r="U10" i="6"/>
  <c r="T10" i="6"/>
  <c r="O10" i="6"/>
  <c r="R10" i="6" s="1"/>
  <c r="AD9" i="6"/>
  <c r="AF9" i="6" s="1"/>
  <c r="AE9" i="6" s="1"/>
  <c r="AA9" i="6"/>
  <c r="U9" i="6"/>
  <c r="T9" i="6"/>
  <c r="O9" i="6"/>
  <c r="R9" i="6" s="1"/>
  <c r="AD8" i="6"/>
  <c r="AF8" i="6" s="1"/>
  <c r="AE8" i="6" s="1"/>
  <c r="AA8" i="6"/>
  <c r="U8" i="6"/>
  <c r="T8" i="6"/>
  <c r="O8" i="6"/>
  <c r="AD7" i="6"/>
  <c r="AF7" i="6" s="1"/>
  <c r="AE7" i="6" s="1"/>
  <c r="AA7" i="6"/>
  <c r="U7" i="6"/>
  <c r="T7" i="6"/>
  <c r="O7" i="6"/>
  <c r="R7" i="6" s="1"/>
  <c r="AD6" i="6"/>
  <c r="AA6" i="6"/>
  <c r="U6" i="6"/>
  <c r="T6" i="6"/>
  <c r="O6" i="6"/>
  <c r="R6" i="6" s="1"/>
  <c r="AD5" i="6"/>
  <c r="AF5" i="6" s="1"/>
  <c r="AA5" i="6"/>
  <c r="U5" i="6"/>
  <c r="T5" i="6"/>
  <c r="O5" i="6"/>
  <c r="V55" i="6" l="1"/>
  <c r="V6" i="6"/>
  <c r="W6" i="6" s="1"/>
  <c r="X6" i="6" s="1"/>
  <c r="V50" i="6"/>
  <c r="N74" i="6"/>
  <c r="V16" i="6"/>
  <c r="V56" i="6"/>
  <c r="W56" i="6" s="1"/>
  <c r="X56" i="6" s="1"/>
  <c r="V36" i="6"/>
  <c r="W36" i="6" s="1"/>
  <c r="X36" i="6" s="1"/>
  <c r="V35" i="6"/>
  <c r="W35" i="6" s="1"/>
  <c r="X35" i="6" s="1"/>
  <c r="W22" i="6"/>
  <c r="X22" i="6" s="1"/>
  <c r="V43" i="6"/>
  <c r="W43" i="6" s="1"/>
  <c r="X43" i="6" s="1"/>
  <c r="W24" i="6"/>
  <c r="X24" i="6" s="1"/>
  <c r="V8" i="6"/>
  <c r="W8" i="6" s="1"/>
  <c r="X8" i="6" s="1"/>
  <c r="V37" i="6"/>
  <c r="W37" i="6" s="1"/>
  <c r="X37" i="6" s="1"/>
  <c r="W55" i="6"/>
  <c r="X55" i="6" s="1"/>
  <c r="W81" i="6"/>
  <c r="X81" i="6" s="1"/>
  <c r="V17" i="6"/>
  <c r="W17" i="6" s="1"/>
  <c r="X17" i="6" s="1"/>
  <c r="V18" i="6"/>
  <c r="W18" i="6" s="1"/>
  <c r="X18" i="6" s="1"/>
  <c r="V54" i="6"/>
  <c r="W54" i="6" s="1"/>
  <c r="X54" i="6" s="1"/>
  <c r="AD73" i="6"/>
  <c r="AD74" i="6" s="1"/>
  <c r="W80" i="6"/>
  <c r="X80" i="6" s="1"/>
  <c r="V32" i="6"/>
  <c r="W32" i="6" s="1"/>
  <c r="X32" i="6" s="1"/>
  <c r="V47" i="6"/>
  <c r="W47" i="6" s="1"/>
  <c r="X47" i="6" s="1"/>
  <c r="V48" i="6"/>
  <c r="W48" i="6" s="1"/>
  <c r="X48" i="6" s="1"/>
  <c r="V51" i="6"/>
  <c r="W51" i="6" s="1"/>
  <c r="X51" i="6" s="1"/>
  <c r="V45" i="6"/>
  <c r="W45" i="6" s="1"/>
  <c r="X45" i="6" s="1"/>
  <c r="V57" i="6"/>
  <c r="W57" i="6" s="1"/>
  <c r="X57" i="6" s="1"/>
  <c r="V15" i="6"/>
  <c r="W15" i="6" s="1"/>
  <c r="X15" i="6" s="1"/>
  <c r="V14" i="6"/>
  <c r="W14" i="6" s="1"/>
  <c r="X14" i="6" s="1"/>
  <c r="V10" i="6"/>
  <c r="W10" i="6" s="1"/>
  <c r="X10" i="6" s="1"/>
  <c r="V41" i="6"/>
  <c r="W41" i="6" s="1"/>
  <c r="X41" i="6" s="1"/>
  <c r="O73" i="6"/>
  <c r="O74" i="6" s="1"/>
  <c r="W50" i="6"/>
  <c r="X50" i="6" s="1"/>
  <c r="V5" i="6"/>
  <c r="W5" i="6" s="1"/>
  <c r="W23" i="6"/>
  <c r="X23" i="6" s="1"/>
  <c r="V31" i="6"/>
  <c r="W31" i="6" s="1"/>
  <c r="X31" i="6" s="1"/>
  <c r="R32" i="6"/>
  <c r="V46" i="6"/>
  <c r="W46" i="6" s="1"/>
  <c r="X46" i="6" s="1"/>
  <c r="R57" i="6"/>
  <c r="AD64" i="6"/>
  <c r="AF64" i="6" s="1"/>
  <c r="AE64" i="6" s="1"/>
  <c r="O67" i="6"/>
  <c r="W78" i="6"/>
  <c r="X78" i="6" s="1"/>
  <c r="W79" i="6"/>
  <c r="X79" i="6" s="1"/>
  <c r="W83" i="6"/>
  <c r="X83" i="6" s="1"/>
  <c r="W26" i="6"/>
  <c r="X26" i="6" s="1"/>
  <c r="W27" i="6"/>
  <c r="X27" i="6" s="1"/>
  <c r="W28" i="6"/>
  <c r="X28" i="6" s="1"/>
  <c r="V12" i="6"/>
  <c r="W12" i="6" s="1"/>
  <c r="X12" i="6" s="1"/>
  <c r="R34" i="6"/>
  <c r="V49" i="6"/>
  <c r="W49" i="6" s="1"/>
  <c r="X49" i="6" s="1"/>
  <c r="O64" i="6"/>
  <c r="V40" i="6"/>
  <c r="W40" i="6" s="1"/>
  <c r="X40" i="6" s="1"/>
  <c r="N68" i="6"/>
  <c r="N69" i="6" s="1"/>
  <c r="W21" i="6"/>
  <c r="X21" i="6" s="1"/>
  <c r="V9" i="6"/>
  <c r="W9" i="6" s="1"/>
  <c r="X9" i="6" s="1"/>
  <c r="W29" i="6"/>
  <c r="X29" i="6" s="1"/>
  <c r="V34" i="6"/>
  <c r="W34" i="6" s="1"/>
  <c r="X34" i="6" s="1"/>
  <c r="V42" i="6"/>
  <c r="W42" i="6" s="1"/>
  <c r="X42" i="6" s="1"/>
  <c r="V53" i="6"/>
  <c r="W53" i="6" s="1"/>
  <c r="X53" i="6" s="1"/>
  <c r="AD67" i="6"/>
  <c r="AF67" i="6" s="1"/>
  <c r="AE67" i="6" s="1"/>
  <c r="AD58" i="6"/>
  <c r="AF6" i="6"/>
  <c r="AE6" i="6" s="1"/>
  <c r="R33" i="6"/>
  <c r="W16" i="6"/>
  <c r="X16" i="6" s="1"/>
  <c r="V19" i="6"/>
  <c r="W19" i="6" s="1"/>
  <c r="X19" i="6" s="1"/>
  <c r="R21" i="6"/>
  <c r="W25" i="6"/>
  <c r="X25" i="6" s="1"/>
  <c r="O58" i="6"/>
  <c r="R5" i="6"/>
  <c r="V33" i="6"/>
  <c r="W33" i="6" s="1"/>
  <c r="X33" i="6" s="1"/>
  <c r="AA58" i="6"/>
  <c r="R8" i="6"/>
  <c r="R12" i="6"/>
  <c r="R36" i="6"/>
  <c r="AE5" i="6"/>
  <c r="V7" i="6"/>
  <c r="W7" i="6" s="1"/>
  <c r="X7" i="6" s="1"/>
  <c r="V11" i="6"/>
  <c r="W11" i="6" s="1"/>
  <c r="X11" i="6" s="1"/>
  <c r="R23" i="6"/>
  <c r="V38" i="6"/>
  <c r="W38" i="6" s="1"/>
  <c r="X38" i="6" s="1"/>
  <c r="R43" i="6"/>
  <c r="AA62" i="6"/>
  <c r="AA65" i="6"/>
  <c r="R50" i="6"/>
  <c r="R56" i="6"/>
  <c r="O62" i="6"/>
  <c r="AD62" i="6"/>
  <c r="O65" i="6"/>
  <c r="R78" i="6"/>
  <c r="W82" i="6"/>
  <c r="X82" i="6" s="1"/>
  <c r="AA63" i="6"/>
  <c r="AA66" i="6"/>
  <c r="O63" i="6"/>
  <c r="O66" i="6"/>
  <c r="AF73" i="6" l="1"/>
  <c r="W73" i="6"/>
  <c r="R73" i="6"/>
  <c r="R74" i="6" s="1"/>
  <c r="AF58" i="6"/>
  <c r="W67" i="6"/>
  <c r="X67" i="6" s="1"/>
  <c r="R67" i="6"/>
  <c r="R64" i="6"/>
  <c r="W64" i="6"/>
  <c r="X64" i="6" s="1"/>
  <c r="AA68" i="6"/>
  <c r="AA69" i="6" s="1"/>
  <c r="W66" i="6"/>
  <c r="X66" i="6" s="1"/>
  <c r="R66" i="6"/>
  <c r="W65" i="6"/>
  <c r="X65" i="6" s="1"/>
  <c r="R65" i="6"/>
  <c r="W63" i="6"/>
  <c r="X63" i="6" s="1"/>
  <c r="R63" i="6"/>
  <c r="R58" i="6"/>
  <c r="AF62" i="6"/>
  <c r="AD68" i="6"/>
  <c r="AD69" i="6" s="1"/>
  <c r="W58" i="6"/>
  <c r="X5" i="6"/>
  <c r="X58" i="6" s="1"/>
  <c r="AF74" i="6"/>
  <c r="AE73" i="6"/>
  <c r="W62" i="6"/>
  <c r="R62" i="6"/>
  <c r="O68" i="6"/>
  <c r="O69" i="6" s="1"/>
  <c r="X73" i="6"/>
  <c r="X74" i="6" s="1"/>
  <c r="W74" i="6"/>
  <c r="X62" i="6" l="1"/>
  <c r="X68" i="6" s="1"/>
  <c r="X69" i="6" s="1"/>
  <c r="W68" i="6"/>
  <c r="W69" i="6" s="1"/>
  <c r="AF68" i="6"/>
  <c r="AF69" i="6" s="1"/>
  <c r="AE62" i="6"/>
  <c r="R68" i="6"/>
  <c r="R69" i="6" s="1"/>
</calcChain>
</file>

<file path=xl/sharedStrings.xml><?xml version="1.0" encoding="utf-8"?>
<sst xmlns="http://schemas.openxmlformats.org/spreadsheetml/2006/main" count="558" uniqueCount="350">
  <si>
    <t xml:space="preserve">CODE </t>
  </si>
  <si>
    <t>LENGTH</t>
  </si>
  <si>
    <t>DESCRIPTION</t>
  </si>
  <si>
    <t xml:space="preserve">PACKING </t>
  </si>
  <si>
    <t>UNIT</t>
  </si>
  <si>
    <t>BAR CODES</t>
  </si>
  <si>
    <t>9319696015481</t>
  </si>
  <si>
    <t>9319696015368</t>
  </si>
  <si>
    <t>9313146000386</t>
  </si>
  <si>
    <t>9319696015245</t>
  </si>
  <si>
    <t>9313146000379</t>
  </si>
  <si>
    <t>9319696015184</t>
  </si>
  <si>
    <t>9313146000362</t>
  </si>
  <si>
    <t>9313146000430</t>
  </si>
  <si>
    <t>9319696020249</t>
  </si>
  <si>
    <t>9319696020188</t>
  </si>
  <si>
    <t>9313146000416</t>
  </si>
  <si>
    <t>9313146000492</t>
  </si>
  <si>
    <t>9319696025244</t>
  </si>
  <si>
    <t>9313146000485</t>
  </si>
  <si>
    <t>9319696025183</t>
  </si>
  <si>
    <t>9313146000478</t>
  </si>
  <si>
    <t>GD CODE</t>
  </si>
  <si>
    <t>32 MM (1.1/4")</t>
  </si>
  <si>
    <t>40 MM (1.1/2")</t>
  </si>
  <si>
    <t>50 MM (2")</t>
  </si>
  <si>
    <t xml:space="preserve">PP PLAIN PIPES </t>
  </si>
  <si>
    <t>9319696032068</t>
  </si>
  <si>
    <t>9319696032181</t>
  </si>
  <si>
    <t>9319696040186</t>
  </si>
  <si>
    <t>9319696050062</t>
  </si>
  <si>
    <t>9319696050185</t>
  </si>
  <si>
    <t>9319696252428</t>
  </si>
  <si>
    <t>25 x 3000 MM</t>
  </si>
  <si>
    <t>32 x 3000 MM</t>
  </si>
  <si>
    <t>40 x 3000 MM</t>
  </si>
  <si>
    <t xml:space="preserve">50 x 3000 MM </t>
  </si>
  <si>
    <t>15 X 3000 MM</t>
  </si>
  <si>
    <t>20 x 4000 MM</t>
  </si>
  <si>
    <t>BOX</t>
  </si>
  <si>
    <t>MM</t>
  </si>
  <si>
    <t xml:space="preserve">SIZE </t>
  </si>
  <si>
    <t>9319696032303</t>
  </si>
  <si>
    <t>9319696253623</t>
  </si>
  <si>
    <t>PP PIPES M/F THREADED</t>
  </si>
  <si>
    <t xml:space="preserve">HYDRO TUBES </t>
  </si>
  <si>
    <t>MTR</t>
  </si>
  <si>
    <t>ROLL</t>
  </si>
  <si>
    <t>PKG/BOX</t>
  </si>
  <si>
    <t>MTRS</t>
  </si>
  <si>
    <t>9319696008322</t>
  </si>
  <si>
    <t>9319696201181</t>
  </si>
  <si>
    <t>9319696002726</t>
  </si>
  <si>
    <t>9319696201839</t>
  </si>
  <si>
    <t>9319696202430</t>
  </si>
  <si>
    <t>9319696002733</t>
  </si>
  <si>
    <t>13 mm X 5 m        PFH 1305</t>
  </si>
  <si>
    <t>13 mm x 10 m      PFH 1310</t>
  </si>
  <si>
    <t>13 mm X 25 m      PFH 1325</t>
  </si>
  <si>
    <t>19 mm X 5 m        PFH 1905</t>
  </si>
  <si>
    <t>19 mm x 10 m      PFH 1910</t>
  </si>
  <si>
    <t>19 mm X 25 m      PFH 1925</t>
  </si>
  <si>
    <t>PJ2T15-1220</t>
  </si>
  <si>
    <t>PJ2T15-915</t>
  </si>
  <si>
    <t>PJ2T15-610</t>
  </si>
  <si>
    <t>PJ2T15-457</t>
  </si>
  <si>
    <t>PJ2T20-760</t>
  </si>
  <si>
    <t>PJ2T20-610</t>
  </si>
  <si>
    <t>PJ2T20-457</t>
  </si>
  <si>
    <t>PJ2T25-1800</t>
  </si>
  <si>
    <t>PJ2T25-760</t>
  </si>
  <si>
    <t>PJ2T25-610</t>
  </si>
  <si>
    <t>PJ2T25-457</t>
  </si>
  <si>
    <t>PJ2T32-150</t>
  </si>
  <si>
    <t>PJ2T32-450</t>
  </si>
  <si>
    <t>PJ2T32-600</t>
  </si>
  <si>
    <t>PJ2T32-750</t>
  </si>
  <si>
    <t>PJ2T32-900</t>
  </si>
  <si>
    <t>PJ2T40-150</t>
  </si>
  <si>
    <t>PJ2T40-450</t>
  </si>
  <si>
    <t>PJ2T50-150</t>
  </si>
  <si>
    <t>PJ2T50-300</t>
  </si>
  <si>
    <t>PJ2T50-450</t>
  </si>
  <si>
    <t>PJ2T50-1200</t>
  </si>
  <si>
    <t>PJPP15-3000</t>
  </si>
  <si>
    <t>PJPP20-4000</t>
  </si>
  <si>
    <t>PJPP25-3000</t>
  </si>
  <si>
    <t>PJPP32-3000</t>
  </si>
  <si>
    <t>PJPP40-3000</t>
  </si>
  <si>
    <t>PJPP50-3000</t>
  </si>
  <si>
    <t>PJE PFH 1305</t>
  </si>
  <si>
    <t>PJE PFH 1310</t>
  </si>
  <si>
    <t>PJE PFH 1325</t>
  </si>
  <si>
    <t>PJE PFH 1905</t>
  </si>
  <si>
    <t>PJE PFH 1910</t>
  </si>
  <si>
    <t xml:space="preserve">PJE PFH 1925 </t>
  </si>
  <si>
    <t>PJMF25-600</t>
  </si>
  <si>
    <t>PJMF25-900</t>
  </si>
  <si>
    <t xml:space="preserve">PJ2T40-200 </t>
  </si>
  <si>
    <t>9319696040087</t>
  </si>
  <si>
    <t>TOTAL</t>
  </si>
  <si>
    <t>GRAND TOTAL</t>
  </si>
  <si>
    <t>OSWIN CODE</t>
  </si>
  <si>
    <t>QUANTITY</t>
  </si>
  <si>
    <t>PCS</t>
  </si>
  <si>
    <t>ROLLS</t>
  </si>
  <si>
    <t>9313146197505</t>
  </si>
  <si>
    <t>9313146197536</t>
  </si>
  <si>
    <t>PEL-153</t>
  </si>
  <si>
    <t>PEL-204</t>
  </si>
  <si>
    <t>PEL-253</t>
  </si>
  <si>
    <t>PEL-323</t>
  </si>
  <si>
    <t>PEL-403</t>
  </si>
  <si>
    <t>PEL-503</t>
  </si>
  <si>
    <t>PFH-1305</t>
  </si>
  <si>
    <t>PFH-1310</t>
  </si>
  <si>
    <t>PFH-1325</t>
  </si>
  <si>
    <t>PFH-1905</t>
  </si>
  <si>
    <t>PFH-1910</t>
  </si>
  <si>
    <t>PFH-1925</t>
  </si>
  <si>
    <t>PE 1548 P/RISER M X M
1220 X 15MM</t>
  </si>
  <si>
    <t>PE 1536 P/RISER M X M
915 X 15MM</t>
  </si>
  <si>
    <t>PE 2024 P/RISER M X M
610 X 20MM</t>
  </si>
  <si>
    <t>PE 2018 P/RISER M X M
457 X 20MM</t>
  </si>
  <si>
    <t>PE 2524 P/RISER M X M
610 X 25MM</t>
  </si>
  <si>
    <t>PE2518 P/RISER M X M
457 X 25MM</t>
  </si>
  <si>
    <t>PE 3206 P/RISER M X M
150 X 32MM</t>
  </si>
  <si>
    <t>PE 3218 P/RISER M X M
450 X 32MM</t>
  </si>
  <si>
    <t>PE 3230 P/RISER M X M
750 X 32MM</t>
  </si>
  <si>
    <t>PE 4008 P/RISER M X M
200 X 40MM</t>
  </si>
  <si>
    <t>PE 4018 P/RISER M X M
450 X 40MM</t>
  </si>
  <si>
    <t>PE 5006 P/RISER M X M
150 X 50MM</t>
  </si>
  <si>
    <t>PE 5018 P/RISER M X M
450 X 50MM</t>
  </si>
  <si>
    <t>PMF 2524 P/RISER M X F
600 X 25 X 20MM</t>
  </si>
  <si>
    <t>PMF 2536 P/RISER M X F
900 X 25 X 20MM</t>
  </si>
  <si>
    <t>PP1524 P/RISER M X M 
610 X 15MM</t>
  </si>
  <si>
    <t>PP1518 P/RISER M X M 
457 X 15MM</t>
  </si>
  <si>
    <t>PER BOX</t>
  </si>
  <si>
    <t>VOLUMN</t>
  </si>
  <si>
    <t>PKG, PKG OS</t>
  </si>
  <si>
    <t>VALUE /Meter</t>
  </si>
  <si>
    <t xml:space="preserve">Unit </t>
  </si>
  <si>
    <t xml:space="preserve">Total </t>
  </si>
  <si>
    <t>PUR</t>
  </si>
  <si>
    <t>PKG, PKG OS, PUR, SALE</t>
  </si>
  <si>
    <t>FOB/PC US$</t>
  </si>
  <si>
    <t>Unit</t>
  </si>
  <si>
    <t>Total</t>
  </si>
  <si>
    <t>FOB/Mtr US$</t>
  </si>
  <si>
    <t>SALE</t>
  </si>
  <si>
    <t>PKG OS, PUR</t>
  </si>
  <si>
    <t>Per Box</t>
  </si>
  <si>
    <t>SHEETS</t>
  </si>
  <si>
    <t>BG</t>
  </si>
  <si>
    <t>PC</t>
  </si>
  <si>
    <t>TTL</t>
  </si>
  <si>
    <t>Stickers</t>
  </si>
  <si>
    <t>REQD</t>
  </si>
  <si>
    <t>PKG, SALE, BARCODE</t>
  </si>
  <si>
    <t>PKG, PKG OS, PUR, SALE, BARCODE</t>
  </si>
  <si>
    <t>BARCODE</t>
  </si>
  <si>
    <t>PE 2515 P/RISER M X M
375 X 25MM</t>
  </si>
  <si>
    <t>PJ2T25-375</t>
  </si>
  <si>
    <t>9319696025152</t>
  </si>
  <si>
    <t>90446400 P/RISER M X M
1-1/4" x 1-1/4" x 450MM</t>
  </si>
  <si>
    <t>9313146000607</t>
  </si>
  <si>
    <t>90446600 P/RISER M X M
1-1/4" x 1-1/4" x 600MM</t>
  </si>
  <si>
    <t>9313146000614</t>
  </si>
  <si>
    <t>90447400 P/RISER M X M
1-1/2" x 1-1/2" x 450MM</t>
  </si>
  <si>
    <t>9313146197567</t>
  </si>
  <si>
    <t xml:space="preserve">15 MM (1/2") </t>
  </si>
  <si>
    <t xml:space="preserve">20MM(3/4") </t>
  </si>
  <si>
    <t>25mm(1")</t>
  </si>
  <si>
    <t>1/2"</t>
  </si>
  <si>
    <t>3/4"</t>
  </si>
  <si>
    <t>1"</t>
  </si>
  <si>
    <t>1-1/4"</t>
  </si>
  <si>
    <t>1-1/2"</t>
  </si>
  <si>
    <t>2"</t>
  </si>
  <si>
    <t>PJMF25-750</t>
  </si>
  <si>
    <t>9313146197444</t>
  </si>
  <si>
    <t>90446700 P/RISER M X M
1-1/4" x 1-1/4" x 900MM</t>
  </si>
  <si>
    <t>9313146199127</t>
  </si>
  <si>
    <t>PJ2T20-240</t>
  </si>
  <si>
    <t>PJ2T25-270</t>
  </si>
  <si>
    <t>9313146199141</t>
  </si>
  <si>
    <t>MM / IN</t>
  </si>
  <si>
    <t>EZE TUBES</t>
  </si>
  <si>
    <t>HDPE BLACK TUBING</t>
  </si>
  <si>
    <t>13 mm X 30 m</t>
  </si>
  <si>
    <t>9313146000591</t>
  </si>
  <si>
    <t>9313146313646</t>
  </si>
  <si>
    <t>9313146351068</t>
  </si>
  <si>
    <t>90445600 P/RISER M X F
1" X 3/4" X 600MM</t>
  </si>
  <si>
    <t>90445700 P/RISER M X F
1" X 3/4" X 750MM</t>
  </si>
  <si>
    <t>HSN CODE</t>
  </si>
  <si>
    <t>RBI REFERENCE</t>
  </si>
  <si>
    <t>RATE @ Rs.</t>
  </si>
  <si>
    <t>PJ2T20-100</t>
  </si>
  <si>
    <t>9313146357947</t>
  </si>
  <si>
    <t>PJ2T32-1800</t>
  </si>
  <si>
    <t>90446800 P/RISER M X M
1-1/4" x 1-1/4" x 1800MM</t>
  </si>
  <si>
    <t>9313146359422</t>
  </si>
  <si>
    <t>90447200 P/RISER M X M
1-1/2" x 1-1/2" x 150MM</t>
  </si>
  <si>
    <t>9313146357862</t>
  </si>
  <si>
    <t>90446200 P/RISER M X M
1-1/4" x 1-1/4" x 150MM</t>
  </si>
  <si>
    <t>9313146357763</t>
  </si>
  <si>
    <t>PP 2004 P/RISER M X M
100 X 20MM</t>
  </si>
  <si>
    <t>9319696020041</t>
  </si>
  <si>
    <t>PJ2T25-200</t>
  </si>
  <si>
    <t>PP 2508 P/RISER M X M
200 X 25MM</t>
  </si>
  <si>
    <t>9319696025084</t>
  </si>
  <si>
    <t>90445800 P/RISER M X F
1" X 3/4" X 900MM</t>
  </si>
  <si>
    <t>9313146358043</t>
  </si>
  <si>
    <t>9313146336928</t>
  </si>
  <si>
    <t>GL CODE</t>
  </si>
  <si>
    <t>8109-05</t>
  </si>
  <si>
    <t>8109-04</t>
  </si>
  <si>
    <t>8109-10</t>
  </si>
  <si>
    <t>PKG, SALE</t>
  </si>
  <si>
    <t>PKG, PUR</t>
  </si>
  <si>
    <t>PE1548</t>
  </si>
  <si>
    <t>PE1536</t>
  </si>
  <si>
    <t>PE1536PH</t>
  </si>
  <si>
    <t>PP1524</t>
  </si>
  <si>
    <t>PP1524PH</t>
  </si>
  <si>
    <t>PP1518</t>
  </si>
  <si>
    <t>PP1518PH</t>
  </si>
  <si>
    <t>PE2030PH</t>
  </si>
  <si>
    <t>PE2024</t>
  </si>
  <si>
    <t>PE2018</t>
  </si>
  <si>
    <t>PE2018PH</t>
  </si>
  <si>
    <t>PP2010PH</t>
  </si>
  <si>
    <t>PP2004</t>
  </si>
  <si>
    <t>PE2572PH</t>
  </si>
  <si>
    <t>PE2530PH</t>
  </si>
  <si>
    <t>PE2524</t>
  </si>
  <si>
    <t>PE2524PH</t>
  </si>
  <si>
    <t>PE2518</t>
  </si>
  <si>
    <t>PE2518PH</t>
  </si>
  <si>
    <t>PE2515</t>
  </si>
  <si>
    <t>PP2511PH</t>
  </si>
  <si>
    <t>PP2508</t>
  </si>
  <si>
    <t>PE3206</t>
  </si>
  <si>
    <t>PE3206PH</t>
  </si>
  <si>
    <t>PE3218</t>
  </si>
  <si>
    <t>PE3218PH</t>
  </si>
  <si>
    <t>PE3224PH</t>
  </si>
  <si>
    <t>PE3230</t>
  </si>
  <si>
    <t>PE3236PH</t>
  </si>
  <si>
    <t>PE3272PH</t>
  </si>
  <si>
    <t>PE4006PH</t>
  </si>
  <si>
    <t>PE4008</t>
  </si>
  <si>
    <t>PE4018</t>
  </si>
  <si>
    <t>PE4018PH</t>
  </si>
  <si>
    <t>PE5006</t>
  </si>
  <si>
    <t>PE5006PH</t>
  </si>
  <si>
    <t>PE5012PH</t>
  </si>
  <si>
    <t>PE5018</t>
  </si>
  <si>
    <t>PE5018PH</t>
  </si>
  <si>
    <t>PE5048PH</t>
  </si>
  <si>
    <t>PMF2524</t>
  </si>
  <si>
    <t>PMF2524PH</t>
  </si>
  <si>
    <t>PMF2530PH</t>
  </si>
  <si>
    <t>PMF2536</t>
  </si>
  <si>
    <t>PMF2536PH</t>
  </si>
  <si>
    <t>PP1509</t>
  </si>
  <si>
    <t>PJ2T15-225</t>
  </si>
  <si>
    <t>PP 1509 P/RISER M X M 
225 X 15MM</t>
  </si>
  <si>
    <t>9319696015092</t>
  </si>
  <si>
    <t>Bar Code</t>
  </si>
  <si>
    <t>90441600 P/RISER M X M
1/2" X 1/2" X 600MM</t>
  </si>
  <si>
    <t>90447000 SPACER METER 
3/4" X 3/4" X 240MM</t>
  </si>
  <si>
    <t>90442400 P/RISER M X M
3/4" X 3/4" X 450MM</t>
  </si>
  <si>
    <t>90442700 P/RISER M X M
3/4" X 3/4" X 750MM</t>
  </si>
  <si>
    <t>90448000 SPACER METER 
1" X 1" X 270MM</t>
  </si>
  <si>
    <t>90443400 P/RISER M X M
1" X 1" X 450MM</t>
  </si>
  <si>
    <t>90443600 P/RISER M X M 
1" X 1" X 600MM</t>
  </si>
  <si>
    <t>90443700 P/RISER M X M
1" X 1" X 750MM</t>
  </si>
  <si>
    <t>90443900 P/RISER M X M
1" X 1" X 1800MM</t>
  </si>
  <si>
    <t>90448200 P/RISER M X M
2" X 2" X 150MM</t>
  </si>
  <si>
    <t>90448300 P/RISER M X M
2" X 2" X 300MM</t>
  </si>
  <si>
    <t>90448400 P/RISER M X M
2" X 2" X 450MM</t>
  </si>
  <si>
    <t>BDL</t>
  </si>
  <si>
    <t>PE5072PH</t>
  </si>
  <si>
    <t>PJ2T50-1800</t>
  </si>
  <si>
    <t>9313146357985</t>
  </si>
  <si>
    <t>90448800 P/RISER M X M
2" X 2" X 1200MM</t>
  </si>
  <si>
    <t>90448820 P/RISER M X M
2" X 2" X 1800MM</t>
  </si>
  <si>
    <t>90441400 P/RISER M X M
1/2" X 1/2" X 450MM</t>
  </si>
  <si>
    <t>90441800 P/RISER M X M
1/2" X 1/2" X 900MM</t>
  </si>
  <si>
    <t>15.04.2026</t>
  </si>
  <si>
    <t>PO NO.</t>
  </si>
  <si>
    <t>PO NO. 03455 DT.04.11.2025, 03539 DT.08.01.2026, 03583 DT.12.02.2026, 03616 DT. 04.03.2026, 03658 DT. 02.04.2026</t>
  </si>
  <si>
    <t>SR. NO.</t>
  </si>
  <si>
    <t>03539</t>
  </si>
  <si>
    <t>03583</t>
  </si>
  <si>
    <t>03455</t>
  </si>
  <si>
    <t>03616</t>
  </si>
  <si>
    <t>03658</t>
  </si>
  <si>
    <t>2052-2064</t>
  </si>
  <si>
    <t>2104-2113</t>
  </si>
  <si>
    <t>2114-2120</t>
  </si>
  <si>
    <t>2121-2121</t>
  </si>
  <si>
    <t>2122-2122</t>
  </si>
  <si>
    <t>2139-2142</t>
  </si>
  <si>
    <t>2159-2168</t>
  </si>
  <si>
    <t>2169-2173</t>
  </si>
  <si>
    <t>2178-2182</t>
  </si>
  <si>
    <t>2183-2192</t>
  </si>
  <si>
    <t>2232-2241</t>
  </si>
  <si>
    <t>2242-2251</t>
  </si>
  <si>
    <t>2252-2255</t>
  </si>
  <si>
    <t>2258-2258</t>
  </si>
  <si>
    <t>2259-2259</t>
  </si>
  <si>
    <t>2260-2260</t>
  </si>
  <si>
    <t>2263-2263</t>
  </si>
  <si>
    <t>2264-2265</t>
  </si>
  <si>
    <t>2266-2267</t>
  </si>
  <si>
    <t>2268-2268</t>
  </si>
  <si>
    <t>2269-2269</t>
  </si>
  <si>
    <t>2270-2270</t>
  </si>
  <si>
    <t>2271-2272</t>
  </si>
  <si>
    <t>2273-2273</t>
  </si>
  <si>
    <t>2274-2274</t>
  </si>
  <si>
    <t>2275-2275</t>
  </si>
  <si>
    <t>2276-2277</t>
  </si>
  <si>
    <t>2278-2279</t>
  </si>
  <si>
    <t>2280-2281</t>
  </si>
  <si>
    <t>2282-2284</t>
  </si>
  <si>
    <t>2285-2286</t>
  </si>
  <si>
    <t>2297-2300</t>
  </si>
  <si>
    <t>2301-2304</t>
  </si>
  <si>
    <t>2305-2308</t>
  </si>
  <si>
    <t>03539, 03583</t>
  </si>
  <si>
    <t>2001-2015</t>
  </si>
  <si>
    <t>03455, 03539, 03583</t>
  </si>
  <si>
    <t>2016-2051</t>
  </si>
  <si>
    <t>2065-2087</t>
  </si>
  <si>
    <t>2088-2103</t>
  </si>
  <si>
    <t>2123-2138</t>
  </si>
  <si>
    <t>03583, 03616</t>
  </si>
  <si>
    <t>2143-2158</t>
  </si>
  <si>
    <t>2174-2177</t>
  </si>
  <si>
    <t>2193-2215</t>
  </si>
  <si>
    <t>2216-2223</t>
  </si>
  <si>
    <t>2224-2231</t>
  </si>
  <si>
    <t>2256-2257</t>
  </si>
  <si>
    <t>2261-2262</t>
  </si>
  <si>
    <t>2287-2296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</si>
</sst>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0.0000"/>
    <numFmt numFmtId="166" formatCode="&quot;Rs.&quot;\ #,##0.00"/>
    <numFmt numFmtId="167" formatCode="&quot;₹&quot;\ #,##0.0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indexed="17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19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2" fontId="0" fillId="0" borderId="8" xfId="0" applyNumberForma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2" fillId="0" borderId="8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2" fontId="1" fillId="0" borderId="8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7" fontId="1" fillId="0" borderId="1" xfId="0" applyNumberFormat="1" applyFont="1" applyBorder="1" applyAlignment="1">
      <alignment horizontal="left" vertical="center"/>
    </xf>
    <xf numFmtId="167" fontId="0" fillId="0" borderId="1" xfId="0" applyNumberFormat="1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165" fontId="1" fillId="0" borderId="1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2" fillId="0" borderId="1" xfId="0" applyNumberFormat="1" applyFont="1" applyBorder="1" applyAlignment="1">
      <alignment vertical="center"/>
    </xf>
    <xf numFmtId="167" fontId="0" fillId="0" borderId="8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quotePrefix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2" fontId="0" fillId="0" borderId="8" xfId="0" applyNumberFormat="1" applyFill="1" applyBorder="1" applyAlignment="1">
      <alignment horizontal="left" vertical="center"/>
    </xf>
    <xf numFmtId="167" fontId="0" fillId="0" borderId="1" xfId="0" applyNumberFormat="1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166" fontId="0" fillId="0" borderId="1" xfId="0" applyNumberFormat="1" applyFill="1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3"/>
  <sheetViews>
    <sheetView tabSelected="1" workbookViewId="0">
      <pane xSplit="5" ySplit="4" topLeftCell="F5" activePane="bottomRight" state="frozen"/>
      <selection pane="topRight" activeCell="D1" sqref="D1"/>
      <selection pane="bottomLeft" activeCell="A5" sqref="A5"/>
      <selection pane="bottomRight" activeCell="F5" sqref="F5"/>
    </sheetView>
  </sheetViews>
  <sheetFormatPr defaultColWidth="9.140625" defaultRowHeight="12.75" x14ac:dyDescent="0.2"/>
  <cols>
    <col min="1" max="2" width="9.140625" style="12"/>
    <col min="3" max="3" width="13.42578125" style="12" bestFit="1" customWidth="1"/>
    <col min="4" max="4" width="12.5703125" style="12" customWidth="1"/>
    <col min="5" max="5" width="14.5703125" customWidth="1"/>
    <col min="6" max="6" width="13.42578125" style="12" customWidth="1"/>
    <col min="7" max="7" width="7.7109375" style="12" bestFit="1" customWidth="1"/>
    <col min="8" max="8" width="8.5703125" style="12" bestFit="1" customWidth="1"/>
    <col min="9" max="9" width="6" style="12" bestFit="1" customWidth="1"/>
    <col min="10" max="10" width="6.140625" style="12" bestFit="1" customWidth="1"/>
    <col min="11" max="11" width="25.140625" style="12" customWidth="1"/>
    <col min="12" max="13" width="14.28515625" style="12" customWidth="1"/>
    <col min="14" max="25" width="9.140625" style="12" customWidth="1"/>
    <col min="26" max="26" width="10" style="12" bestFit="1" customWidth="1"/>
    <col min="27" max="27" width="12.28515625" style="12" bestFit="1" customWidth="1"/>
    <col min="28" max="29" width="9.140625" style="12" customWidth="1"/>
    <col min="30" max="30" width="10.140625" style="12" bestFit="1" customWidth="1"/>
    <col min="31" max="31" width="9.140625" style="12" customWidth="1"/>
    <col min="32" max="32" width="12.28515625" style="12" bestFit="1" customWidth="1"/>
    <col min="33" max="16384" width="9.140625" style="12"/>
  </cols>
  <sheetData>
    <row r="1" spans="1:32" ht="33" x14ac:dyDescent="0.2">
      <c r="C1" s="11" t="s">
        <v>159</v>
      </c>
      <c r="D1" s="10" t="s">
        <v>158</v>
      </c>
      <c r="E1" s="11" t="s">
        <v>150</v>
      </c>
      <c r="F1" s="11" t="s">
        <v>219</v>
      </c>
      <c r="G1" s="11" t="s">
        <v>144</v>
      </c>
      <c r="H1" s="11" t="s">
        <v>144</v>
      </c>
      <c r="I1" s="11" t="s">
        <v>144</v>
      </c>
      <c r="J1" s="11" t="s">
        <v>144</v>
      </c>
      <c r="K1" s="11" t="s">
        <v>159</v>
      </c>
      <c r="L1" s="11" t="s">
        <v>159</v>
      </c>
      <c r="M1" s="11" t="s">
        <v>220</v>
      </c>
      <c r="N1" s="11" t="s">
        <v>144</v>
      </c>
      <c r="O1" s="11" t="s">
        <v>144</v>
      </c>
      <c r="P1" s="11" t="s">
        <v>144</v>
      </c>
      <c r="Q1" s="11" t="s">
        <v>139</v>
      </c>
      <c r="R1" s="11" t="s">
        <v>139</v>
      </c>
      <c r="S1" s="10"/>
      <c r="W1" s="10" t="s">
        <v>160</v>
      </c>
      <c r="X1" s="10" t="s">
        <v>160</v>
      </c>
      <c r="Y1" s="10"/>
      <c r="Z1" s="10" t="s">
        <v>143</v>
      </c>
      <c r="AA1" s="10" t="s">
        <v>143</v>
      </c>
      <c r="AC1" s="10" t="s">
        <v>149</v>
      </c>
      <c r="AD1" s="10" t="s">
        <v>149</v>
      </c>
      <c r="AE1" s="10" t="s">
        <v>149</v>
      </c>
      <c r="AF1" s="10" t="s">
        <v>149</v>
      </c>
    </row>
    <row r="2" spans="1:32" x14ac:dyDescent="0.2">
      <c r="A2" s="42" t="s">
        <v>293</v>
      </c>
      <c r="D2" s="42"/>
      <c r="E2" s="12"/>
      <c r="AC2" s="114" t="s">
        <v>291</v>
      </c>
      <c r="AD2" s="114"/>
    </row>
    <row r="3" spans="1:32" ht="12.75" customHeight="1" x14ac:dyDescent="0.2">
      <c r="A3" s="118" t="s">
        <v>294</v>
      </c>
      <c r="B3" s="118" t="s">
        <v>292</v>
      </c>
      <c r="C3" s="83" t="s">
        <v>0</v>
      </c>
      <c r="D3" s="1" t="s">
        <v>22</v>
      </c>
      <c r="E3" s="84" t="s">
        <v>102</v>
      </c>
      <c r="F3" s="111" t="s">
        <v>215</v>
      </c>
      <c r="G3" s="86" t="s">
        <v>41</v>
      </c>
      <c r="H3" s="86" t="s">
        <v>1</v>
      </c>
      <c r="I3" s="112" t="s">
        <v>3</v>
      </c>
      <c r="J3" s="113"/>
      <c r="K3" s="115" t="s">
        <v>2</v>
      </c>
      <c r="L3" s="115" t="s">
        <v>5</v>
      </c>
      <c r="M3" s="115" t="s">
        <v>195</v>
      </c>
      <c r="N3" s="112" t="s">
        <v>103</v>
      </c>
      <c r="O3" s="113"/>
      <c r="Q3" s="111" t="s">
        <v>138</v>
      </c>
      <c r="R3" s="111"/>
      <c r="S3" s="14"/>
      <c r="T3" s="111" t="s">
        <v>151</v>
      </c>
      <c r="U3" s="111"/>
      <c r="V3" s="111"/>
      <c r="W3" s="87" t="s">
        <v>270</v>
      </c>
      <c r="X3" s="86" t="s">
        <v>152</v>
      </c>
      <c r="Y3" s="14"/>
      <c r="Z3" s="117" t="s">
        <v>291</v>
      </c>
      <c r="AA3" s="117"/>
      <c r="AC3" s="111" t="s">
        <v>145</v>
      </c>
      <c r="AD3" s="111"/>
      <c r="AE3" s="111" t="s">
        <v>196</v>
      </c>
      <c r="AF3" s="111"/>
    </row>
    <row r="4" spans="1:32" x14ac:dyDescent="0.2">
      <c r="A4" s="118"/>
      <c r="B4" s="118"/>
      <c r="C4" s="37" t="s">
        <v>170</v>
      </c>
      <c r="D4" s="81" t="s">
        <v>170</v>
      </c>
      <c r="E4" s="81" t="s">
        <v>170</v>
      </c>
      <c r="F4" s="111"/>
      <c r="G4" s="86" t="s">
        <v>186</v>
      </c>
      <c r="H4" s="86" t="s">
        <v>40</v>
      </c>
      <c r="I4" s="86" t="s">
        <v>4</v>
      </c>
      <c r="J4" s="86" t="s">
        <v>39</v>
      </c>
      <c r="K4" s="116"/>
      <c r="L4" s="116"/>
      <c r="M4" s="116"/>
      <c r="N4" s="86" t="s">
        <v>104</v>
      </c>
      <c r="O4" s="86" t="s">
        <v>39</v>
      </c>
      <c r="Q4" s="86" t="s">
        <v>137</v>
      </c>
      <c r="R4" s="86" t="s">
        <v>100</v>
      </c>
      <c r="S4" s="9"/>
      <c r="T4" s="86" t="s">
        <v>153</v>
      </c>
      <c r="U4" s="86" t="s">
        <v>154</v>
      </c>
      <c r="V4" s="86" t="s">
        <v>155</v>
      </c>
      <c r="W4" s="86" t="s">
        <v>156</v>
      </c>
      <c r="X4" s="86" t="s">
        <v>157</v>
      </c>
      <c r="Y4" s="9"/>
      <c r="Z4" s="86" t="s">
        <v>4</v>
      </c>
      <c r="AA4" s="86" t="s">
        <v>100</v>
      </c>
      <c r="AC4" s="86" t="s">
        <v>146</v>
      </c>
      <c r="AD4" s="86" t="s">
        <v>147</v>
      </c>
      <c r="AE4" s="80" t="s">
        <v>197</v>
      </c>
      <c r="AF4" s="52"/>
    </row>
    <row r="5" spans="1:32" s="85" customFormat="1" ht="25.5" x14ac:dyDescent="0.2">
      <c r="A5" s="99" t="s">
        <v>335</v>
      </c>
      <c r="B5" s="108" t="s">
        <v>334</v>
      </c>
      <c r="C5" s="95" t="s">
        <v>266</v>
      </c>
      <c r="D5" s="96" t="s">
        <v>266</v>
      </c>
      <c r="E5" s="96" t="s">
        <v>267</v>
      </c>
      <c r="F5" s="97" t="s">
        <v>217</v>
      </c>
      <c r="G5" s="98">
        <v>15</v>
      </c>
      <c r="H5" s="99">
        <v>225</v>
      </c>
      <c r="I5" s="99">
        <v>10</v>
      </c>
      <c r="J5" s="99">
        <v>400</v>
      </c>
      <c r="K5" s="100" t="s">
        <v>268</v>
      </c>
      <c r="L5" s="101" t="s">
        <v>269</v>
      </c>
      <c r="M5" s="102">
        <v>3917.22</v>
      </c>
      <c r="N5" s="94">
        <v>6000</v>
      </c>
      <c r="O5" s="94">
        <f t="shared" ref="O5:O12" si="0">$N5/$J5</f>
        <v>15</v>
      </c>
      <c r="Q5" s="103">
        <v>0.05</v>
      </c>
      <c r="R5" s="103">
        <f t="shared" ref="R5:R12" si="1">$O5*$Q5</f>
        <v>0.75</v>
      </c>
      <c r="S5" s="104"/>
      <c r="T5" s="99">
        <f t="shared" ref="T5:U12" si="2">I5</f>
        <v>10</v>
      </c>
      <c r="U5" s="99">
        <f t="shared" si="2"/>
        <v>400</v>
      </c>
      <c r="V5" s="99">
        <f t="shared" ref="V5:V12" si="3">U5+T5</f>
        <v>410</v>
      </c>
      <c r="W5" s="94">
        <f t="shared" ref="W5:W12" si="4">$O5*$V5*1.05</f>
        <v>6457.5</v>
      </c>
      <c r="X5" s="94">
        <f t="shared" ref="X5:X12" si="5">ROUNDUP($W5/125,)</f>
        <v>52</v>
      </c>
      <c r="Y5" s="104"/>
      <c r="Z5" s="105">
        <v>9.5</v>
      </c>
      <c r="AA5" s="105">
        <f t="shared" ref="AA5:AA12" si="6">Z5*$N5</f>
        <v>57000</v>
      </c>
      <c r="AC5" s="106">
        <v>7.0000000000000007E-2</v>
      </c>
      <c r="AD5" s="106">
        <f t="shared" ref="AD5:AD12" si="7">$N5*AC5</f>
        <v>420.00000000000006</v>
      </c>
      <c r="AE5" s="107">
        <f t="shared" ref="AE5:AE12" si="8">AF5/N5</f>
        <v>0</v>
      </c>
      <c r="AF5" s="105">
        <f t="shared" ref="AF5:AF12" si="9">AD5*$AF$4</f>
        <v>0</v>
      </c>
    </row>
    <row r="6" spans="1:32" ht="38.25" x14ac:dyDescent="0.2">
      <c r="A6" s="57" t="s">
        <v>337</v>
      </c>
      <c r="B6" s="109" t="s">
        <v>336</v>
      </c>
      <c r="C6" s="89" t="s">
        <v>226</v>
      </c>
      <c r="D6" s="2" t="s">
        <v>226</v>
      </c>
      <c r="E6" s="2" t="s">
        <v>65</v>
      </c>
      <c r="F6" s="53" t="s">
        <v>217</v>
      </c>
      <c r="G6" s="58">
        <v>15</v>
      </c>
      <c r="H6" s="57">
        <v>457</v>
      </c>
      <c r="I6" s="57">
        <v>10</v>
      </c>
      <c r="J6" s="57">
        <v>200</v>
      </c>
      <c r="K6" s="4" t="s">
        <v>136</v>
      </c>
      <c r="L6" s="61" t="s">
        <v>11</v>
      </c>
      <c r="M6" s="62">
        <v>3917.22</v>
      </c>
      <c r="N6" s="16">
        <v>7200</v>
      </c>
      <c r="O6" s="16">
        <f t="shared" si="0"/>
        <v>36</v>
      </c>
      <c r="Q6" s="66">
        <v>0.05</v>
      </c>
      <c r="R6" s="66">
        <f t="shared" si="1"/>
        <v>1.8</v>
      </c>
      <c r="S6" s="18"/>
      <c r="T6" s="57">
        <f t="shared" si="2"/>
        <v>10</v>
      </c>
      <c r="U6" s="57">
        <f t="shared" si="2"/>
        <v>200</v>
      </c>
      <c r="V6" s="57">
        <f t="shared" si="3"/>
        <v>210</v>
      </c>
      <c r="W6" s="16">
        <f t="shared" si="4"/>
        <v>7938</v>
      </c>
      <c r="X6" s="16">
        <f t="shared" si="5"/>
        <v>64</v>
      </c>
      <c r="Y6" s="18"/>
      <c r="Z6" s="50">
        <v>16.739999999999998</v>
      </c>
      <c r="AA6" s="50">
        <f t="shared" si="6"/>
        <v>120527.99999999999</v>
      </c>
      <c r="AC6" s="77">
        <v>0.24</v>
      </c>
      <c r="AD6" s="77">
        <f t="shared" si="7"/>
        <v>1728</v>
      </c>
      <c r="AE6" s="45">
        <f t="shared" si="8"/>
        <v>0</v>
      </c>
      <c r="AF6" s="50">
        <f t="shared" si="9"/>
        <v>0</v>
      </c>
    </row>
    <row r="7" spans="1:32" ht="25.5" x14ac:dyDescent="0.2">
      <c r="A7" s="57" t="s">
        <v>300</v>
      </c>
      <c r="B7" s="108" t="s">
        <v>296</v>
      </c>
      <c r="C7" s="90">
        <v>90441400</v>
      </c>
      <c r="D7" s="82" t="s">
        <v>227</v>
      </c>
      <c r="E7" s="82" t="s">
        <v>65</v>
      </c>
      <c r="F7" s="86" t="s">
        <v>217</v>
      </c>
      <c r="G7" s="58" t="s">
        <v>173</v>
      </c>
      <c r="H7" s="57">
        <v>450</v>
      </c>
      <c r="I7" s="57">
        <v>10</v>
      </c>
      <c r="J7" s="57">
        <v>200</v>
      </c>
      <c r="K7" s="4" t="s">
        <v>289</v>
      </c>
      <c r="L7" s="61" t="s">
        <v>12</v>
      </c>
      <c r="M7" s="62">
        <v>3917.22</v>
      </c>
      <c r="N7" s="16">
        <v>2600</v>
      </c>
      <c r="O7" s="16">
        <f t="shared" si="0"/>
        <v>13</v>
      </c>
      <c r="Q7" s="66">
        <v>0.05</v>
      </c>
      <c r="R7" s="66">
        <f t="shared" si="1"/>
        <v>0.65</v>
      </c>
      <c r="S7" s="18"/>
      <c r="T7" s="57">
        <f t="shared" si="2"/>
        <v>10</v>
      </c>
      <c r="U7" s="57">
        <f t="shared" si="2"/>
        <v>200</v>
      </c>
      <c r="V7" s="57">
        <f t="shared" si="3"/>
        <v>210</v>
      </c>
      <c r="W7" s="16">
        <f t="shared" si="4"/>
        <v>2866.5</v>
      </c>
      <c r="X7" s="16">
        <f t="shared" si="5"/>
        <v>23</v>
      </c>
      <c r="Y7" s="18"/>
      <c r="Z7" s="50">
        <v>16.739999999999998</v>
      </c>
      <c r="AA7" s="50">
        <f t="shared" si="6"/>
        <v>43523.999999999993</v>
      </c>
      <c r="AC7" s="77">
        <v>0.24</v>
      </c>
      <c r="AD7" s="77">
        <f t="shared" si="7"/>
        <v>624</v>
      </c>
      <c r="AE7" s="45">
        <f t="shared" si="8"/>
        <v>0</v>
      </c>
      <c r="AF7" s="50">
        <f t="shared" si="9"/>
        <v>0</v>
      </c>
    </row>
    <row r="8" spans="1:32" ht="25.5" x14ac:dyDescent="0.2">
      <c r="A8" s="57" t="s">
        <v>338</v>
      </c>
      <c r="B8" s="108" t="s">
        <v>334</v>
      </c>
      <c r="C8" s="89" t="s">
        <v>224</v>
      </c>
      <c r="D8" s="2" t="s">
        <v>224</v>
      </c>
      <c r="E8" s="2" t="s">
        <v>64</v>
      </c>
      <c r="F8" s="53" t="s">
        <v>217</v>
      </c>
      <c r="G8" s="58">
        <v>15</v>
      </c>
      <c r="H8" s="57">
        <v>610</v>
      </c>
      <c r="I8" s="57">
        <v>10</v>
      </c>
      <c r="J8" s="57">
        <v>100</v>
      </c>
      <c r="K8" s="4" t="s">
        <v>135</v>
      </c>
      <c r="L8" s="61" t="s">
        <v>9</v>
      </c>
      <c r="M8" s="62">
        <v>3917.22</v>
      </c>
      <c r="N8" s="16">
        <v>2300</v>
      </c>
      <c r="O8" s="16">
        <f t="shared" si="0"/>
        <v>23</v>
      </c>
      <c r="Q8" s="66">
        <v>0.04</v>
      </c>
      <c r="R8" s="66">
        <f t="shared" si="1"/>
        <v>0.92</v>
      </c>
      <c r="S8" s="18"/>
      <c r="T8" s="57">
        <f t="shared" si="2"/>
        <v>10</v>
      </c>
      <c r="U8" s="57">
        <f t="shared" si="2"/>
        <v>100</v>
      </c>
      <c r="V8" s="57">
        <f t="shared" si="3"/>
        <v>110</v>
      </c>
      <c r="W8" s="16">
        <f t="shared" si="4"/>
        <v>2656.5</v>
      </c>
      <c r="X8" s="16">
        <f t="shared" si="5"/>
        <v>22</v>
      </c>
      <c r="Y8" s="18"/>
      <c r="Z8" s="50">
        <v>21.06</v>
      </c>
      <c r="AA8" s="50">
        <f t="shared" si="6"/>
        <v>48438</v>
      </c>
      <c r="AC8" s="77">
        <v>0.3</v>
      </c>
      <c r="AD8" s="77">
        <f t="shared" si="7"/>
        <v>690</v>
      </c>
      <c r="AE8" s="45">
        <f t="shared" si="8"/>
        <v>0</v>
      </c>
      <c r="AF8" s="50">
        <f t="shared" si="9"/>
        <v>0</v>
      </c>
    </row>
    <row r="9" spans="1:32" ht="25.5" x14ac:dyDescent="0.2">
      <c r="A9" s="57" t="s">
        <v>339</v>
      </c>
      <c r="B9" s="108" t="s">
        <v>334</v>
      </c>
      <c r="C9" s="90">
        <v>90441600</v>
      </c>
      <c r="D9" s="82" t="s">
        <v>225</v>
      </c>
      <c r="E9" s="82" t="s">
        <v>64</v>
      </c>
      <c r="F9" s="86" t="s">
        <v>217</v>
      </c>
      <c r="G9" s="58" t="s">
        <v>173</v>
      </c>
      <c r="H9" s="57">
        <v>600</v>
      </c>
      <c r="I9" s="57">
        <v>10</v>
      </c>
      <c r="J9" s="57">
        <v>100</v>
      </c>
      <c r="K9" s="4" t="s">
        <v>271</v>
      </c>
      <c r="L9" s="61" t="s">
        <v>10</v>
      </c>
      <c r="M9" s="62">
        <v>3917.22</v>
      </c>
      <c r="N9" s="16">
        <v>1600</v>
      </c>
      <c r="O9" s="16">
        <f t="shared" si="0"/>
        <v>16</v>
      </c>
      <c r="Q9" s="66">
        <v>0.04</v>
      </c>
      <c r="R9" s="66">
        <f t="shared" si="1"/>
        <v>0.64</v>
      </c>
      <c r="S9" s="18"/>
      <c r="T9" s="58">
        <f t="shared" si="2"/>
        <v>10</v>
      </c>
      <c r="U9" s="58">
        <f t="shared" si="2"/>
        <v>100</v>
      </c>
      <c r="V9" s="57">
        <f t="shared" si="3"/>
        <v>110</v>
      </c>
      <c r="W9" s="16">
        <f t="shared" si="4"/>
        <v>1848</v>
      </c>
      <c r="X9" s="16">
        <f t="shared" si="5"/>
        <v>15</v>
      </c>
      <c r="Y9" s="18"/>
      <c r="Z9" s="50">
        <v>21.06</v>
      </c>
      <c r="AA9" s="50">
        <f t="shared" si="6"/>
        <v>33696</v>
      </c>
      <c r="AC9" s="77">
        <v>0.31</v>
      </c>
      <c r="AD9" s="77">
        <f t="shared" si="7"/>
        <v>496</v>
      </c>
      <c r="AE9" s="45">
        <f t="shared" si="8"/>
        <v>0</v>
      </c>
      <c r="AF9" s="50">
        <f t="shared" si="9"/>
        <v>0</v>
      </c>
    </row>
    <row r="10" spans="1:32" ht="25.5" x14ac:dyDescent="0.2">
      <c r="A10" s="57" t="s">
        <v>301</v>
      </c>
      <c r="B10" s="108" t="s">
        <v>296</v>
      </c>
      <c r="C10" s="89" t="s">
        <v>222</v>
      </c>
      <c r="D10" s="2" t="s">
        <v>222</v>
      </c>
      <c r="E10" s="2" t="s">
        <v>63</v>
      </c>
      <c r="F10" s="53" t="s">
        <v>216</v>
      </c>
      <c r="G10" s="58">
        <v>15</v>
      </c>
      <c r="H10" s="57">
        <v>915</v>
      </c>
      <c r="I10" s="57">
        <v>10</v>
      </c>
      <c r="J10" s="57">
        <v>100</v>
      </c>
      <c r="K10" s="4" t="s">
        <v>121</v>
      </c>
      <c r="L10" s="61" t="s">
        <v>7</v>
      </c>
      <c r="M10" s="62">
        <v>3917.22</v>
      </c>
      <c r="N10" s="16">
        <v>1000</v>
      </c>
      <c r="O10" s="16">
        <f t="shared" si="0"/>
        <v>10</v>
      </c>
      <c r="Q10" s="66">
        <v>0.05</v>
      </c>
      <c r="R10" s="66">
        <f t="shared" si="1"/>
        <v>0.5</v>
      </c>
      <c r="S10" s="18"/>
      <c r="T10" s="57">
        <f t="shared" si="2"/>
        <v>10</v>
      </c>
      <c r="U10" s="57">
        <f t="shared" si="2"/>
        <v>100</v>
      </c>
      <c r="V10" s="57">
        <f t="shared" si="3"/>
        <v>110</v>
      </c>
      <c r="W10" s="16">
        <f t="shared" si="4"/>
        <v>1155</v>
      </c>
      <c r="X10" s="16">
        <f t="shared" si="5"/>
        <v>10</v>
      </c>
      <c r="Y10" s="18"/>
      <c r="Z10" s="50">
        <v>28.44</v>
      </c>
      <c r="AA10" s="50">
        <f t="shared" si="6"/>
        <v>28440</v>
      </c>
      <c r="AC10" s="77">
        <v>0.41</v>
      </c>
      <c r="AD10" s="77">
        <f t="shared" si="7"/>
        <v>410</v>
      </c>
      <c r="AE10" s="45">
        <f t="shared" si="8"/>
        <v>0</v>
      </c>
      <c r="AF10" s="50">
        <f t="shared" si="9"/>
        <v>0</v>
      </c>
    </row>
    <row r="11" spans="1:32" ht="25.5" x14ac:dyDescent="0.2">
      <c r="A11" s="57" t="s">
        <v>302</v>
      </c>
      <c r="B11" s="108" t="s">
        <v>296</v>
      </c>
      <c r="C11" s="91">
        <v>90441800</v>
      </c>
      <c r="D11" s="4" t="s">
        <v>223</v>
      </c>
      <c r="E11" s="4" t="s">
        <v>63</v>
      </c>
      <c r="F11" s="54" t="s">
        <v>216</v>
      </c>
      <c r="G11" s="58" t="s">
        <v>173</v>
      </c>
      <c r="H11" s="57">
        <v>900</v>
      </c>
      <c r="I11" s="57">
        <v>10</v>
      </c>
      <c r="J11" s="57">
        <v>100</v>
      </c>
      <c r="K11" s="4" t="s">
        <v>290</v>
      </c>
      <c r="L11" s="63" t="s">
        <v>8</v>
      </c>
      <c r="M11" s="62">
        <v>3917.22</v>
      </c>
      <c r="N11" s="16">
        <v>700</v>
      </c>
      <c r="O11" s="16">
        <f t="shared" si="0"/>
        <v>7</v>
      </c>
      <c r="Q11" s="66">
        <v>0.05</v>
      </c>
      <c r="R11" s="66">
        <f t="shared" si="1"/>
        <v>0.35000000000000003</v>
      </c>
      <c r="S11" s="18"/>
      <c r="T11" s="58">
        <f t="shared" si="2"/>
        <v>10</v>
      </c>
      <c r="U11" s="58">
        <f t="shared" si="2"/>
        <v>100</v>
      </c>
      <c r="V11" s="57">
        <f t="shared" si="3"/>
        <v>110</v>
      </c>
      <c r="W11" s="16">
        <f t="shared" si="4"/>
        <v>808.5</v>
      </c>
      <c r="X11" s="16">
        <f t="shared" si="5"/>
        <v>7</v>
      </c>
      <c r="Y11" s="18"/>
      <c r="Z11" s="50">
        <v>28.44</v>
      </c>
      <c r="AA11" s="50">
        <f t="shared" si="6"/>
        <v>19908</v>
      </c>
      <c r="AC11" s="77">
        <v>0.44</v>
      </c>
      <c r="AD11" s="77">
        <f t="shared" si="7"/>
        <v>308</v>
      </c>
      <c r="AE11" s="45">
        <f t="shared" si="8"/>
        <v>0</v>
      </c>
      <c r="AF11" s="50">
        <f t="shared" si="9"/>
        <v>0</v>
      </c>
    </row>
    <row r="12" spans="1:32" ht="25.5" x14ac:dyDescent="0.2">
      <c r="A12" s="57" t="s">
        <v>303</v>
      </c>
      <c r="B12" s="108" t="s">
        <v>295</v>
      </c>
      <c r="C12" s="89" t="s">
        <v>221</v>
      </c>
      <c r="D12" s="2" t="s">
        <v>221</v>
      </c>
      <c r="E12" s="2" t="s">
        <v>62</v>
      </c>
      <c r="F12" s="53" t="s">
        <v>216</v>
      </c>
      <c r="G12" s="58">
        <v>15</v>
      </c>
      <c r="H12" s="57">
        <v>1220</v>
      </c>
      <c r="I12" s="57">
        <v>10</v>
      </c>
      <c r="J12" s="57">
        <v>50</v>
      </c>
      <c r="K12" s="4" t="s">
        <v>120</v>
      </c>
      <c r="L12" s="61" t="s">
        <v>6</v>
      </c>
      <c r="M12" s="62">
        <v>3917.22</v>
      </c>
      <c r="N12" s="16">
        <v>50</v>
      </c>
      <c r="O12" s="16">
        <f t="shared" si="0"/>
        <v>1</v>
      </c>
      <c r="Q12" s="66">
        <v>0.04</v>
      </c>
      <c r="R12" s="66">
        <f t="shared" si="1"/>
        <v>0.04</v>
      </c>
      <c r="S12" s="18"/>
      <c r="T12" s="57">
        <f t="shared" si="2"/>
        <v>10</v>
      </c>
      <c r="U12" s="57">
        <f t="shared" si="2"/>
        <v>50</v>
      </c>
      <c r="V12" s="57">
        <f t="shared" si="3"/>
        <v>60</v>
      </c>
      <c r="W12" s="16">
        <f t="shared" si="4"/>
        <v>63</v>
      </c>
      <c r="X12" s="16">
        <f t="shared" si="5"/>
        <v>1</v>
      </c>
      <c r="Y12" s="18"/>
      <c r="Z12" s="50">
        <v>38.159999999999997</v>
      </c>
      <c r="AA12" s="50">
        <f t="shared" si="6"/>
        <v>1907.9999999999998</v>
      </c>
      <c r="AC12" s="77">
        <v>0.53</v>
      </c>
      <c r="AD12" s="77">
        <f t="shared" si="7"/>
        <v>26.5</v>
      </c>
      <c r="AE12" s="45">
        <f t="shared" si="8"/>
        <v>0</v>
      </c>
      <c r="AF12" s="50">
        <f t="shared" si="9"/>
        <v>0</v>
      </c>
    </row>
    <row r="13" spans="1:32" ht="15" x14ac:dyDescent="0.2">
      <c r="A13" s="57"/>
      <c r="B13" s="110"/>
      <c r="C13" s="92" t="s">
        <v>171</v>
      </c>
      <c r="D13" s="19" t="s">
        <v>171</v>
      </c>
      <c r="E13" s="19" t="s">
        <v>171</v>
      </c>
      <c r="F13" s="55"/>
      <c r="G13" s="59"/>
      <c r="H13" s="57"/>
      <c r="I13" s="57"/>
      <c r="J13" s="57"/>
      <c r="K13" s="20"/>
      <c r="L13" s="57"/>
      <c r="M13" s="57"/>
      <c r="N13" s="16"/>
      <c r="O13" s="16"/>
      <c r="Q13" s="16"/>
      <c r="R13" s="66"/>
      <c r="S13" s="18"/>
      <c r="T13" s="57"/>
      <c r="U13" s="57"/>
      <c r="V13" s="57"/>
      <c r="W13" s="16"/>
      <c r="X13" s="16"/>
      <c r="Y13" s="18"/>
      <c r="Z13" s="50"/>
      <c r="AA13" s="50"/>
      <c r="AC13" s="77"/>
      <c r="AD13" s="77"/>
      <c r="AE13" s="45"/>
      <c r="AF13" s="50"/>
    </row>
    <row r="14" spans="1:32" ht="25.5" x14ac:dyDescent="0.2">
      <c r="A14" s="57" t="s">
        <v>304</v>
      </c>
      <c r="B14" s="108" t="s">
        <v>295</v>
      </c>
      <c r="C14" s="89" t="s">
        <v>233</v>
      </c>
      <c r="D14" s="48" t="s">
        <v>233</v>
      </c>
      <c r="E14" s="2" t="s">
        <v>198</v>
      </c>
      <c r="F14" s="53" t="s">
        <v>217</v>
      </c>
      <c r="G14" s="58">
        <v>20</v>
      </c>
      <c r="H14" s="57">
        <v>100</v>
      </c>
      <c r="I14" s="57">
        <v>10</v>
      </c>
      <c r="J14" s="57">
        <v>500</v>
      </c>
      <c r="K14" s="4" t="s">
        <v>207</v>
      </c>
      <c r="L14" s="63" t="s">
        <v>208</v>
      </c>
      <c r="M14" s="62">
        <v>3917.22</v>
      </c>
      <c r="N14" s="16">
        <v>500</v>
      </c>
      <c r="O14" s="16">
        <f t="shared" ref="O14:O19" si="10">$N14/$J14</f>
        <v>1</v>
      </c>
      <c r="Q14" s="66">
        <v>0.06</v>
      </c>
      <c r="R14" s="66">
        <f t="shared" ref="R14:R19" si="11">$O14*$Q14</f>
        <v>0.06</v>
      </c>
      <c r="S14" s="18"/>
      <c r="T14" s="57">
        <f t="shared" ref="T14:U19" si="12">I14</f>
        <v>10</v>
      </c>
      <c r="U14" s="57">
        <f t="shared" si="12"/>
        <v>500</v>
      </c>
      <c r="V14" s="57">
        <f t="shared" ref="V14:V19" si="13">U14+T14</f>
        <v>510</v>
      </c>
      <c r="W14" s="16">
        <f t="shared" ref="W14:W19" si="14">$O14*$V14*1.05</f>
        <v>535.5</v>
      </c>
      <c r="X14" s="16">
        <f t="shared" ref="X14:X19" si="15">ROUNDUP($W14/125,)</f>
        <v>5</v>
      </c>
      <c r="Y14" s="18"/>
      <c r="Z14" s="50">
        <v>8.5500000000000007</v>
      </c>
      <c r="AA14" s="50">
        <f t="shared" ref="AA14:AA19" si="16">Z14*$N14</f>
        <v>4275</v>
      </c>
      <c r="AC14" s="77">
        <v>0.13</v>
      </c>
      <c r="AD14" s="77">
        <f t="shared" ref="AD14:AD19" si="17">$N14*AC14</f>
        <v>65</v>
      </c>
      <c r="AE14" s="45">
        <f t="shared" ref="AE14:AE19" si="18">AF14/N14</f>
        <v>0</v>
      </c>
      <c r="AF14" s="50">
        <f t="shared" ref="AF14:AF19" si="19">AD14*$AF$4</f>
        <v>0</v>
      </c>
    </row>
    <row r="15" spans="1:32" ht="25.5" x14ac:dyDescent="0.2">
      <c r="A15" s="57" t="s">
        <v>340</v>
      </c>
      <c r="B15" s="108" t="s">
        <v>334</v>
      </c>
      <c r="C15" s="90">
        <v>90447000</v>
      </c>
      <c r="D15" s="82" t="s">
        <v>232</v>
      </c>
      <c r="E15" s="82" t="s">
        <v>183</v>
      </c>
      <c r="F15" s="86" t="s">
        <v>217</v>
      </c>
      <c r="G15" s="58" t="s">
        <v>174</v>
      </c>
      <c r="H15" s="57">
        <v>240</v>
      </c>
      <c r="I15" s="57">
        <v>10</v>
      </c>
      <c r="J15" s="57">
        <v>250</v>
      </c>
      <c r="K15" s="4" t="s">
        <v>272</v>
      </c>
      <c r="L15" s="63" t="s">
        <v>182</v>
      </c>
      <c r="M15" s="62">
        <v>3917.22</v>
      </c>
      <c r="N15" s="16">
        <v>4000</v>
      </c>
      <c r="O15" s="16">
        <f t="shared" si="10"/>
        <v>16</v>
      </c>
      <c r="Q15" s="66">
        <v>0.06</v>
      </c>
      <c r="R15" s="66">
        <f t="shared" si="11"/>
        <v>0.96</v>
      </c>
      <c r="S15" s="18"/>
      <c r="T15" s="57">
        <f t="shared" si="12"/>
        <v>10</v>
      </c>
      <c r="U15" s="57">
        <f t="shared" si="12"/>
        <v>250</v>
      </c>
      <c r="V15" s="57">
        <f t="shared" si="13"/>
        <v>260</v>
      </c>
      <c r="W15" s="16">
        <f t="shared" si="14"/>
        <v>4368</v>
      </c>
      <c r="X15" s="16">
        <f t="shared" si="15"/>
        <v>35</v>
      </c>
      <c r="Y15" s="18"/>
      <c r="Z15" s="50">
        <v>15.3</v>
      </c>
      <c r="AA15" s="50">
        <f t="shared" si="16"/>
        <v>61200</v>
      </c>
      <c r="AC15" s="77">
        <v>0.22</v>
      </c>
      <c r="AD15" s="77">
        <f t="shared" si="17"/>
        <v>880</v>
      </c>
      <c r="AE15" s="45">
        <f t="shared" si="18"/>
        <v>0</v>
      </c>
      <c r="AF15" s="50">
        <f t="shared" si="19"/>
        <v>0</v>
      </c>
    </row>
    <row r="16" spans="1:32" ht="25.5" x14ac:dyDescent="0.2">
      <c r="A16" s="57" t="s">
        <v>305</v>
      </c>
      <c r="B16" s="108" t="s">
        <v>296</v>
      </c>
      <c r="C16" s="89" t="s">
        <v>230</v>
      </c>
      <c r="D16" s="2" t="s">
        <v>230</v>
      </c>
      <c r="E16" s="2" t="s">
        <v>68</v>
      </c>
      <c r="F16" s="53" t="s">
        <v>216</v>
      </c>
      <c r="G16" s="58">
        <v>20</v>
      </c>
      <c r="H16" s="57">
        <v>457</v>
      </c>
      <c r="I16" s="57">
        <v>10</v>
      </c>
      <c r="J16" s="57">
        <v>100</v>
      </c>
      <c r="K16" s="4" t="s">
        <v>123</v>
      </c>
      <c r="L16" s="61" t="s">
        <v>15</v>
      </c>
      <c r="M16" s="62">
        <v>3917.22</v>
      </c>
      <c r="N16" s="16">
        <v>400</v>
      </c>
      <c r="O16" s="16">
        <f t="shared" si="10"/>
        <v>4</v>
      </c>
      <c r="Q16" s="66">
        <v>0.04</v>
      </c>
      <c r="R16" s="66">
        <f t="shared" si="11"/>
        <v>0.16</v>
      </c>
      <c r="S16" s="18"/>
      <c r="T16" s="57">
        <f t="shared" si="12"/>
        <v>10</v>
      </c>
      <c r="U16" s="57">
        <f t="shared" si="12"/>
        <v>100</v>
      </c>
      <c r="V16" s="57">
        <f t="shared" si="13"/>
        <v>110</v>
      </c>
      <c r="W16" s="16">
        <f t="shared" si="14"/>
        <v>462</v>
      </c>
      <c r="X16" s="16">
        <f t="shared" si="15"/>
        <v>4</v>
      </c>
      <c r="Y16" s="18"/>
      <c r="Z16" s="50">
        <v>24.84</v>
      </c>
      <c r="AA16" s="50">
        <f t="shared" si="16"/>
        <v>9936</v>
      </c>
      <c r="AC16" s="77">
        <v>0.35</v>
      </c>
      <c r="AD16" s="77">
        <f t="shared" si="17"/>
        <v>140</v>
      </c>
      <c r="AE16" s="45">
        <f t="shared" si="18"/>
        <v>0</v>
      </c>
      <c r="AF16" s="50">
        <f t="shared" si="19"/>
        <v>0</v>
      </c>
    </row>
    <row r="17" spans="1:32" ht="25.5" x14ac:dyDescent="0.2">
      <c r="A17" s="57" t="s">
        <v>342</v>
      </c>
      <c r="B17" s="108" t="s">
        <v>341</v>
      </c>
      <c r="C17" s="90">
        <v>90442400</v>
      </c>
      <c r="D17" s="82" t="s">
        <v>231</v>
      </c>
      <c r="E17" s="82" t="s">
        <v>68</v>
      </c>
      <c r="F17" s="86" t="s">
        <v>216</v>
      </c>
      <c r="G17" s="58" t="s">
        <v>174</v>
      </c>
      <c r="H17" s="57">
        <v>450</v>
      </c>
      <c r="I17" s="57">
        <v>10</v>
      </c>
      <c r="J17" s="57">
        <v>100</v>
      </c>
      <c r="K17" s="4" t="s">
        <v>273</v>
      </c>
      <c r="L17" s="63" t="s">
        <v>16</v>
      </c>
      <c r="M17" s="62">
        <v>3917.22</v>
      </c>
      <c r="N17" s="16">
        <v>1600</v>
      </c>
      <c r="O17" s="16">
        <f t="shared" si="10"/>
        <v>16</v>
      </c>
      <c r="Q17" s="66">
        <v>0.04</v>
      </c>
      <c r="R17" s="66">
        <f t="shared" si="11"/>
        <v>0.64</v>
      </c>
      <c r="S17" s="18"/>
      <c r="T17" s="57">
        <f t="shared" si="12"/>
        <v>10</v>
      </c>
      <c r="U17" s="57">
        <f t="shared" si="12"/>
        <v>100</v>
      </c>
      <c r="V17" s="57">
        <f t="shared" si="13"/>
        <v>110</v>
      </c>
      <c r="W17" s="16">
        <f t="shared" si="14"/>
        <v>1848</v>
      </c>
      <c r="X17" s="16">
        <f t="shared" si="15"/>
        <v>15</v>
      </c>
      <c r="Y17" s="18"/>
      <c r="Z17" s="50">
        <v>24.84</v>
      </c>
      <c r="AA17" s="50">
        <f t="shared" si="16"/>
        <v>39744</v>
      </c>
      <c r="AC17" s="77">
        <v>0.36</v>
      </c>
      <c r="AD17" s="77">
        <f t="shared" si="17"/>
        <v>576</v>
      </c>
      <c r="AE17" s="45">
        <f t="shared" si="18"/>
        <v>0</v>
      </c>
      <c r="AF17" s="50">
        <f t="shared" si="19"/>
        <v>0</v>
      </c>
    </row>
    <row r="18" spans="1:32" ht="25.5" x14ac:dyDescent="0.2">
      <c r="A18" s="57" t="s">
        <v>306</v>
      </c>
      <c r="B18" s="109" t="s">
        <v>298</v>
      </c>
      <c r="C18" s="89" t="s">
        <v>229</v>
      </c>
      <c r="D18" s="2" t="s">
        <v>229</v>
      </c>
      <c r="E18" s="2" t="s">
        <v>67</v>
      </c>
      <c r="F18" s="53" t="s">
        <v>216</v>
      </c>
      <c r="G18" s="58">
        <v>20</v>
      </c>
      <c r="H18" s="57">
        <v>610</v>
      </c>
      <c r="I18" s="57">
        <v>10</v>
      </c>
      <c r="J18" s="57">
        <v>100</v>
      </c>
      <c r="K18" s="4" t="s">
        <v>122</v>
      </c>
      <c r="L18" s="61" t="s">
        <v>14</v>
      </c>
      <c r="M18" s="62">
        <v>3917.22</v>
      </c>
      <c r="N18" s="16">
        <v>1000</v>
      </c>
      <c r="O18" s="16">
        <f t="shared" si="10"/>
        <v>10</v>
      </c>
      <c r="Q18" s="66">
        <v>0.06</v>
      </c>
      <c r="R18" s="66">
        <f t="shared" si="11"/>
        <v>0.6</v>
      </c>
      <c r="S18" s="18"/>
      <c r="T18" s="57">
        <f t="shared" si="12"/>
        <v>10</v>
      </c>
      <c r="U18" s="57">
        <f t="shared" si="12"/>
        <v>100</v>
      </c>
      <c r="V18" s="57">
        <f t="shared" si="13"/>
        <v>110</v>
      </c>
      <c r="W18" s="16">
        <f t="shared" si="14"/>
        <v>1155</v>
      </c>
      <c r="X18" s="16">
        <f t="shared" si="15"/>
        <v>10</v>
      </c>
      <c r="Y18" s="18"/>
      <c r="Z18" s="50">
        <v>31.5</v>
      </c>
      <c r="AA18" s="50">
        <f t="shared" si="16"/>
        <v>31500</v>
      </c>
      <c r="AC18" s="77">
        <v>0.45</v>
      </c>
      <c r="AD18" s="77">
        <f t="shared" si="17"/>
        <v>450</v>
      </c>
      <c r="AE18" s="45">
        <f t="shared" si="18"/>
        <v>0</v>
      </c>
      <c r="AF18" s="50">
        <f t="shared" si="19"/>
        <v>0</v>
      </c>
    </row>
    <row r="19" spans="1:32" ht="25.5" x14ac:dyDescent="0.2">
      <c r="A19" s="57" t="s">
        <v>307</v>
      </c>
      <c r="B19" s="109" t="s">
        <v>299</v>
      </c>
      <c r="C19" s="90">
        <v>90442700</v>
      </c>
      <c r="D19" s="82" t="s">
        <v>228</v>
      </c>
      <c r="E19" s="82" t="s">
        <v>66</v>
      </c>
      <c r="F19" s="86" t="s">
        <v>216</v>
      </c>
      <c r="G19" s="58" t="s">
        <v>174</v>
      </c>
      <c r="H19" s="57">
        <v>750</v>
      </c>
      <c r="I19" s="57">
        <v>10</v>
      </c>
      <c r="J19" s="57">
        <v>100</v>
      </c>
      <c r="K19" s="4" t="s">
        <v>274</v>
      </c>
      <c r="L19" s="63" t="s">
        <v>13</v>
      </c>
      <c r="M19" s="62">
        <v>3917.22</v>
      </c>
      <c r="N19" s="16">
        <v>500</v>
      </c>
      <c r="O19" s="16">
        <f t="shared" si="10"/>
        <v>5</v>
      </c>
      <c r="Q19" s="66">
        <v>7.0000000000000007E-2</v>
      </c>
      <c r="R19" s="66">
        <f t="shared" si="11"/>
        <v>0.35000000000000003</v>
      </c>
      <c r="S19" s="18"/>
      <c r="T19" s="57">
        <f t="shared" si="12"/>
        <v>10</v>
      </c>
      <c r="U19" s="57">
        <f t="shared" si="12"/>
        <v>100</v>
      </c>
      <c r="V19" s="57">
        <f t="shared" si="13"/>
        <v>110</v>
      </c>
      <c r="W19" s="16">
        <f t="shared" si="14"/>
        <v>577.5</v>
      </c>
      <c r="X19" s="16">
        <f t="shared" si="15"/>
        <v>5</v>
      </c>
      <c r="Y19" s="18"/>
      <c r="Z19" s="50">
        <v>38.61</v>
      </c>
      <c r="AA19" s="50">
        <f t="shared" si="16"/>
        <v>19305</v>
      </c>
      <c r="AC19" s="77">
        <v>0.56000000000000005</v>
      </c>
      <c r="AD19" s="77">
        <f t="shared" si="17"/>
        <v>280</v>
      </c>
      <c r="AE19" s="45">
        <f t="shared" si="18"/>
        <v>0</v>
      </c>
      <c r="AF19" s="50">
        <f t="shared" si="19"/>
        <v>0</v>
      </c>
    </row>
    <row r="20" spans="1:32" ht="15" x14ac:dyDescent="0.2">
      <c r="A20" s="57"/>
      <c r="B20" s="110"/>
      <c r="C20" s="92" t="s">
        <v>172</v>
      </c>
      <c r="D20" s="19" t="s">
        <v>172</v>
      </c>
      <c r="E20" s="19" t="s">
        <v>172</v>
      </c>
      <c r="F20" s="55"/>
      <c r="G20" s="59"/>
      <c r="H20" s="60"/>
      <c r="I20" s="86"/>
      <c r="J20" s="86"/>
      <c r="K20" s="21"/>
      <c r="L20" s="86"/>
      <c r="M20" s="86"/>
      <c r="N20" s="16"/>
      <c r="O20" s="16"/>
      <c r="Q20" s="16"/>
      <c r="R20" s="66"/>
      <c r="S20" s="18"/>
      <c r="T20" s="57"/>
      <c r="U20" s="57"/>
      <c r="V20" s="57"/>
      <c r="W20" s="16"/>
      <c r="X20" s="16"/>
      <c r="Y20" s="18"/>
      <c r="Z20" s="50"/>
      <c r="AA20" s="50"/>
      <c r="AC20" s="77"/>
      <c r="AD20" s="77"/>
      <c r="AE20" s="45"/>
      <c r="AF20" s="50"/>
    </row>
    <row r="21" spans="1:32" ht="25.5" x14ac:dyDescent="0.2">
      <c r="A21" s="57" t="s">
        <v>343</v>
      </c>
      <c r="B21" s="108" t="s">
        <v>334</v>
      </c>
      <c r="C21" s="89" t="s">
        <v>242</v>
      </c>
      <c r="D21" s="48" t="s">
        <v>242</v>
      </c>
      <c r="E21" s="2" t="s">
        <v>209</v>
      </c>
      <c r="F21" s="53" t="s">
        <v>217</v>
      </c>
      <c r="G21" s="58">
        <v>25</v>
      </c>
      <c r="H21" s="57">
        <v>200</v>
      </c>
      <c r="I21" s="57">
        <v>10</v>
      </c>
      <c r="J21" s="57">
        <v>150</v>
      </c>
      <c r="K21" s="4" t="s">
        <v>210</v>
      </c>
      <c r="L21" s="63" t="s">
        <v>211</v>
      </c>
      <c r="M21" s="62">
        <v>3917.22</v>
      </c>
      <c r="N21" s="16">
        <v>600</v>
      </c>
      <c r="O21" s="16">
        <f t="shared" ref="O21:O29" si="20">$N21/$J21</f>
        <v>4</v>
      </c>
      <c r="Q21" s="66">
        <v>0.06</v>
      </c>
      <c r="R21" s="66">
        <f t="shared" ref="R21:R29" si="21">$O21*$Q21</f>
        <v>0.24</v>
      </c>
      <c r="S21" s="18"/>
      <c r="T21" s="57">
        <v>10</v>
      </c>
      <c r="U21" s="57">
        <f t="shared" ref="U21:U29" si="22">J21</f>
        <v>150</v>
      </c>
      <c r="V21" s="57">
        <f t="shared" ref="V21:V29" si="23">U21+T21</f>
        <v>160</v>
      </c>
      <c r="W21" s="16">
        <f t="shared" ref="W21:W29" si="24">$O21*$V21*1.05</f>
        <v>672</v>
      </c>
      <c r="X21" s="16">
        <f t="shared" ref="X21:X29" si="25">ROUNDUP($W21/125,)</f>
        <v>6</v>
      </c>
      <c r="Y21" s="18"/>
      <c r="Z21" s="50">
        <v>16.11</v>
      </c>
      <c r="AA21" s="50">
        <f t="shared" ref="AA21:AA29" si="26">Z21*$N21</f>
        <v>9666</v>
      </c>
      <c r="AC21" s="77">
        <v>0.24</v>
      </c>
      <c r="AD21" s="77">
        <f t="shared" ref="AD21:AD29" si="27">$N21*AC21</f>
        <v>144</v>
      </c>
      <c r="AE21" s="45">
        <f t="shared" ref="AE21:AE29" si="28">AF21/N21</f>
        <v>0</v>
      </c>
      <c r="AF21" s="50">
        <f t="shared" ref="AF21:AF29" si="29">AD21*$AF$4</f>
        <v>0</v>
      </c>
    </row>
    <row r="22" spans="1:32" ht="25.5" x14ac:dyDescent="0.2">
      <c r="A22" s="57" t="s">
        <v>308</v>
      </c>
      <c r="B22" s="108" t="s">
        <v>296</v>
      </c>
      <c r="C22" s="90">
        <v>90448000</v>
      </c>
      <c r="D22" s="82" t="s">
        <v>241</v>
      </c>
      <c r="E22" s="82" t="s">
        <v>184</v>
      </c>
      <c r="F22" s="86" t="s">
        <v>216</v>
      </c>
      <c r="G22" s="58" t="s">
        <v>175</v>
      </c>
      <c r="H22" s="57">
        <v>270</v>
      </c>
      <c r="I22" s="57">
        <v>10</v>
      </c>
      <c r="J22" s="57">
        <v>100</v>
      </c>
      <c r="K22" s="4" t="s">
        <v>275</v>
      </c>
      <c r="L22" s="63" t="s">
        <v>185</v>
      </c>
      <c r="M22" s="62">
        <v>3917.22</v>
      </c>
      <c r="N22" s="16">
        <v>500</v>
      </c>
      <c r="O22" s="16">
        <f t="shared" si="20"/>
        <v>5</v>
      </c>
      <c r="Q22" s="66">
        <v>0.06</v>
      </c>
      <c r="R22" s="66">
        <f t="shared" si="21"/>
        <v>0.3</v>
      </c>
      <c r="S22" s="18"/>
      <c r="T22" s="57">
        <v>10</v>
      </c>
      <c r="U22" s="57">
        <f t="shared" si="22"/>
        <v>100</v>
      </c>
      <c r="V22" s="57">
        <f t="shared" si="23"/>
        <v>110</v>
      </c>
      <c r="W22" s="16">
        <f t="shared" si="24"/>
        <v>577.5</v>
      </c>
      <c r="X22" s="16">
        <f t="shared" si="25"/>
        <v>5</v>
      </c>
      <c r="Y22" s="18"/>
      <c r="Z22" s="50">
        <v>20.61</v>
      </c>
      <c r="AA22" s="50">
        <f t="shared" si="26"/>
        <v>10305</v>
      </c>
      <c r="AC22" s="77">
        <v>0.35</v>
      </c>
      <c r="AD22" s="77">
        <f t="shared" si="27"/>
        <v>175</v>
      </c>
      <c r="AE22" s="45">
        <f t="shared" si="28"/>
        <v>0</v>
      </c>
      <c r="AF22" s="50">
        <f t="shared" si="29"/>
        <v>0</v>
      </c>
    </row>
    <row r="23" spans="1:32" ht="25.5" x14ac:dyDescent="0.2">
      <c r="A23" s="57" t="s">
        <v>309</v>
      </c>
      <c r="B23" s="108" t="s">
        <v>296</v>
      </c>
      <c r="C23" s="89" t="s">
        <v>240</v>
      </c>
      <c r="D23" s="2" t="s">
        <v>240</v>
      </c>
      <c r="E23" s="2" t="s">
        <v>162</v>
      </c>
      <c r="F23" s="53" t="s">
        <v>216</v>
      </c>
      <c r="G23" s="58">
        <v>25</v>
      </c>
      <c r="H23" s="57">
        <v>375</v>
      </c>
      <c r="I23" s="57">
        <v>10</v>
      </c>
      <c r="J23" s="57">
        <v>100</v>
      </c>
      <c r="K23" s="4" t="s">
        <v>161</v>
      </c>
      <c r="L23" s="63" t="s">
        <v>163</v>
      </c>
      <c r="M23" s="62">
        <v>3917.22</v>
      </c>
      <c r="N23" s="16">
        <v>1000</v>
      </c>
      <c r="O23" s="16">
        <f t="shared" si="20"/>
        <v>10</v>
      </c>
      <c r="Q23" s="66">
        <v>0.06</v>
      </c>
      <c r="R23" s="66">
        <f t="shared" si="21"/>
        <v>0.6</v>
      </c>
      <c r="S23" s="18"/>
      <c r="T23" s="57">
        <v>10</v>
      </c>
      <c r="U23" s="57">
        <f t="shared" si="22"/>
        <v>100</v>
      </c>
      <c r="V23" s="57">
        <f t="shared" si="23"/>
        <v>110</v>
      </c>
      <c r="W23" s="16">
        <f t="shared" si="24"/>
        <v>1155</v>
      </c>
      <c r="X23" s="16">
        <f t="shared" si="25"/>
        <v>10</v>
      </c>
      <c r="Y23" s="18"/>
      <c r="Z23" s="50">
        <v>26.64</v>
      </c>
      <c r="AA23" s="50">
        <f t="shared" si="26"/>
        <v>26640</v>
      </c>
      <c r="AC23" s="77">
        <v>0.39</v>
      </c>
      <c r="AD23" s="77">
        <f t="shared" si="27"/>
        <v>390</v>
      </c>
      <c r="AE23" s="45">
        <f t="shared" si="28"/>
        <v>0</v>
      </c>
      <c r="AF23" s="50">
        <f t="shared" si="29"/>
        <v>0</v>
      </c>
    </row>
    <row r="24" spans="1:32" ht="25.5" x14ac:dyDescent="0.2">
      <c r="A24" s="57" t="s">
        <v>344</v>
      </c>
      <c r="B24" s="108" t="s">
        <v>341</v>
      </c>
      <c r="C24" s="89" t="s">
        <v>238</v>
      </c>
      <c r="D24" s="2" t="s">
        <v>238</v>
      </c>
      <c r="E24" s="2" t="s">
        <v>72</v>
      </c>
      <c r="F24" s="53" t="s">
        <v>216</v>
      </c>
      <c r="G24" s="58">
        <v>25</v>
      </c>
      <c r="H24" s="57">
        <v>457</v>
      </c>
      <c r="I24" s="57">
        <v>10</v>
      </c>
      <c r="J24" s="57">
        <v>100</v>
      </c>
      <c r="K24" s="4" t="s">
        <v>125</v>
      </c>
      <c r="L24" s="63" t="s">
        <v>20</v>
      </c>
      <c r="M24" s="62">
        <v>3917.22</v>
      </c>
      <c r="N24" s="16">
        <v>2300</v>
      </c>
      <c r="O24" s="16">
        <f t="shared" si="20"/>
        <v>23</v>
      </c>
      <c r="Q24" s="66">
        <v>0.06</v>
      </c>
      <c r="R24" s="66">
        <f t="shared" si="21"/>
        <v>1.38</v>
      </c>
      <c r="S24" s="18"/>
      <c r="T24" s="57">
        <v>10</v>
      </c>
      <c r="U24" s="57">
        <f t="shared" si="22"/>
        <v>100</v>
      </c>
      <c r="V24" s="57">
        <f t="shared" si="23"/>
        <v>110</v>
      </c>
      <c r="W24" s="16">
        <f t="shared" si="24"/>
        <v>2656.5</v>
      </c>
      <c r="X24" s="16">
        <f t="shared" si="25"/>
        <v>22</v>
      </c>
      <c r="Y24" s="18"/>
      <c r="Z24" s="50">
        <v>31.5</v>
      </c>
      <c r="AA24" s="50">
        <f t="shared" si="26"/>
        <v>72450</v>
      </c>
      <c r="AC24" s="77">
        <v>0.45</v>
      </c>
      <c r="AD24" s="77">
        <f t="shared" si="27"/>
        <v>1035</v>
      </c>
      <c r="AE24" s="45">
        <f t="shared" si="28"/>
        <v>0</v>
      </c>
      <c r="AF24" s="50">
        <f t="shared" si="29"/>
        <v>0</v>
      </c>
    </row>
    <row r="25" spans="1:32" ht="25.5" x14ac:dyDescent="0.2">
      <c r="A25" s="57" t="s">
        <v>345</v>
      </c>
      <c r="B25" s="108" t="s">
        <v>341</v>
      </c>
      <c r="C25" s="90">
        <v>90443400</v>
      </c>
      <c r="D25" s="82" t="s">
        <v>239</v>
      </c>
      <c r="E25" s="82" t="s">
        <v>72</v>
      </c>
      <c r="F25" s="86" t="s">
        <v>216</v>
      </c>
      <c r="G25" s="58" t="s">
        <v>175</v>
      </c>
      <c r="H25" s="57">
        <v>450</v>
      </c>
      <c r="I25" s="57">
        <v>10</v>
      </c>
      <c r="J25" s="57">
        <v>100</v>
      </c>
      <c r="K25" s="4" t="s">
        <v>276</v>
      </c>
      <c r="L25" s="63" t="s">
        <v>21</v>
      </c>
      <c r="M25" s="62">
        <v>3917.22</v>
      </c>
      <c r="N25" s="16">
        <v>800</v>
      </c>
      <c r="O25" s="16">
        <f t="shared" si="20"/>
        <v>8</v>
      </c>
      <c r="Q25" s="66">
        <v>0.06</v>
      </c>
      <c r="R25" s="66">
        <f t="shared" si="21"/>
        <v>0.48</v>
      </c>
      <c r="S25" s="18"/>
      <c r="T25" s="57">
        <v>10</v>
      </c>
      <c r="U25" s="57">
        <f t="shared" si="22"/>
        <v>100</v>
      </c>
      <c r="V25" s="57">
        <f t="shared" si="23"/>
        <v>110</v>
      </c>
      <c r="W25" s="16">
        <f t="shared" si="24"/>
        <v>924</v>
      </c>
      <c r="X25" s="16">
        <f t="shared" si="25"/>
        <v>8</v>
      </c>
      <c r="Y25" s="18"/>
      <c r="Z25" s="50">
        <v>31.5</v>
      </c>
      <c r="AA25" s="50">
        <f t="shared" si="26"/>
        <v>25200</v>
      </c>
      <c r="AC25" s="77">
        <v>0.46</v>
      </c>
      <c r="AD25" s="77">
        <f t="shared" si="27"/>
        <v>368</v>
      </c>
      <c r="AE25" s="45">
        <f t="shared" si="28"/>
        <v>0</v>
      </c>
      <c r="AF25" s="50">
        <f t="shared" si="29"/>
        <v>0</v>
      </c>
    </row>
    <row r="26" spans="1:32" ht="25.5" x14ac:dyDescent="0.2">
      <c r="A26" s="57" t="s">
        <v>346</v>
      </c>
      <c r="B26" s="108" t="s">
        <v>334</v>
      </c>
      <c r="C26" s="89" t="s">
        <v>236</v>
      </c>
      <c r="D26" s="2" t="s">
        <v>236</v>
      </c>
      <c r="E26" s="2" t="s">
        <v>71</v>
      </c>
      <c r="F26" s="53" t="s">
        <v>216</v>
      </c>
      <c r="G26" s="58">
        <v>25</v>
      </c>
      <c r="H26" s="57">
        <v>610</v>
      </c>
      <c r="I26" s="57">
        <v>10</v>
      </c>
      <c r="J26" s="57">
        <v>50</v>
      </c>
      <c r="K26" s="4" t="s">
        <v>124</v>
      </c>
      <c r="L26" s="63" t="s">
        <v>18</v>
      </c>
      <c r="M26" s="62">
        <v>3917.22</v>
      </c>
      <c r="N26" s="16">
        <v>400</v>
      </c>
      <c r="O26" s="16">
        <f t="shared" si="20"/>
        <v>8</v>
      </c>
      <c r="Q26" s="66">
        <v>0.04</v>
      </c>
      <c r="R26" s="66">
        <f t="shared" si="21"/>
        <v>0.32</v>
      </c>
      <c r="S26" s="18"/>
      <c r="T26" s="57">
        <v>5</v>
      </c>
      <c r="U26" s="57">
        <f t="shared" si="22"/>
        <v>50</v>
      </c>
      <c r="V26" s="57">
        <f t="shared" si="23"/>
        <v>55</v>
      </c>
      <c r="W26" s="16">
        <f t="shared" si="24"/>
        <v>462</v>
      </c>
      <c r="X26" s="16">
        <f t="shared" si="25"/>
        <v>4</v>
      </c>
      <c r="Y26" s="18"/>
      <c r="Z26" s="50">
        <v>40.86</v>
      </c>
      <c r="AA26" s="50">
        <f t="shared" si="26"/>
        <v>16344</v>
      </c>
      <c r="AC26" s="77">
        <v>0.57999999999999996</v>
      </c>
      <c r="AD26" s="77">
        <f t="shared" si="27"/>
        <v>231.99999999999997</v>
      </c>
      <c r="AE26" s="45">
        <f t="shared" si="28"/>
        <v>0</v>
      </c>
      <c r="AF26" s="50">
        <f t="shared" si="29"/>
        <v>0</v>
      </c>
    </row>
    <row r="27" spans="1:32" ht="25.5" x14ac:dyDescent="0.2">
      <c r="A27" s="57" t="s">
        <v>310</v>
      </c>
      <c r="B27" s="108" t="s">
        <v>296</v>
      </c>
      <c r="C27" s="90">
        <v>90443600</v>
      </c>
      <c r="D27" s="82" t="s">
        <v>237</v>
      </c>
      <c r="E27" s="82" t="s">
        <v>71</v>
      </c>
      <c r="F27" s="86" t="s">
        <v>216</v>
      </c>
      <c r="G27" s="58" t="s">
        <v>175</v>
      </c>
      <c r="H27" s="57">
        <v>600</v>
      </c>
      <c r="I27" s="57">
        <v>10</v>
      </c>
      <c r="J27" s="57">
        <v>50</v>
      </c>
      <c r="K27" s="4" t="s">
        <v>277</v>
      </c>
      <c r="L27" s="63" t="s">
        <v>19</v>
      </c>
      <c r="M27" s="62">
        <v>3917.22</v>
      </c>
      <c r="N27" s="16">
        <v>500</v>
      </c>
      <c r="O27" s="16">
        <f t="shared" si="20"/>
        <v>10</v>
      </c>
      <c r="Q27" s="66">
        <v>0.04</v>
      </c>
      <c r="R27" s="66">
        <f t="shared" si="21"/>
        <v>0.4</v>
      </c>
      <c r="S27" s="18"/>
      <c r="T27" s="57">
        <v>5</v>
      </c>
      <c r="U27" s="57">
        <f t="shared" si="22"/>
        <v>50</v>
      </c>
      <c r="V27" s="57">
        <f t="shared" si="23"/>
        <v>55</v>
      </c>
      <c r="W27" s="16">
        <f t="shared" si="24"/>
        <v>577.5</v>
      </c>
      <c r="X27" s="16">
        <f t="shared" si="25"/>
        <v>5</v>
      </c>
      <c r="Y27" s="18"/>
      <c r="Z27" s="76">
        <v>40.86</v>
      </c>
      <c r="AA27" s="50">
        <f t="shared" si="26"/>
        <v>20430</v>
      </c>
      <c r="AC27" s="77">
        <v>0.6</v>
      </c>
      <c r="AD27" s="77">
        <f t="shared" si="27"/>
        <v>300</v>
      </c>
      <c r="AE27" s="45">
        <f t="shared" si="28"/>
        <v>0</v>
      </c>
      <c r="AF27" s="50">
        <f t="shared" si="29"/>
        <v>0</v>
      </c>
    </row>
    <row r="28" spans="1:32" ht="25.5" x14ac:dyDescent="0.2">
      <c r="A28" s="57" t="s">
        <v>311</v>
      </c>
      <c r="B28" s="108" t="s">
        <v>296</v>
      </c>
      <c r="C28" s="90">
        <v>90443700</v>
      </c>
      <c r="D28" s="82" t="s">
        <v>235</v>
      </c>
      <c r="E28" s="82" t="s">
        <v>70</v>
      </c>
      <c r="F28" s="86" t="s">
        <v>216</v>
      </c>
      <c r="G28" s="58" t="s">
        <v>175</v>
      </c>
      <c r="H28" s="57">
        <v>750</v>
      </c>
      <c r="I28" s="57">
        <v>10</v>
      </c>
      <c r="J28" s="57">
        <v>50</v>
      </c>
      <c r="K28" s="4" t="s">
        <v>278</v>
      </c>
      <c r="L28" s="63" t="s">
        <v>17</v>
      </c>
      <c r="M28" s="62">
        <v>3917.22</v>
      </c>
      <c r="N28" s="16">
        <v>500</v>
      </c>
      <c r="O28" s="16">
        <f t="shared" si="20"/>
        <v>10</v>
      </c>
      <c r="Q28" s="66">
        <v>0.05</v>
      </c>
      <c r="R28" s="66">
        <f t="shared" si="21"/>
        <v>0.5</v>
      </c>
      <c r="S28" s="18"/>
      <c r="T28" s="57">
        <v>5</v>
      </c>
      <c r="U28" s="57">
        <f t="shared" si="22"/>
        <v>50</v>
      </c>
      <c r="V28" s="57">
        <f t="shared" si="23"/>
        <v>55</v>
      </c>
      <c r="W28" s="16">
        <f t="shared" si="24"/>
        <v>577.5</v>
      </c>
      <c r="X28" s="16">
        <f t="shared" si="25"/>
        <v>5</v>
      </c>
      <c r="Y28" s="18"/>
      <c r="Z28" s="50">
        <v>49.95</v>
      </c>
      <c r="AA28" s="50">
        <f t="shared" si="26"/>
        <v>24975</v>
      </c>
      <c r="AC28" s="77">
        <v>0.72</v>
      </c>
      <c r="AD28" s="77">
        <f t="shared" si="27"/>
        <v>360</v>
      </c>
      <c r="AE28" s="45">
        <f t="shared" si="28"/>
        <v>0</v>
      </c>
      <c r="AF28" s="50">
        <f t="shared" si="29"/>
        <v>0</v>
      </c>
    </row>
    <row r="29" spans="1:32" ht="25.5" customHeight="1" x14ac:dyDescent="0.2">
      <c r="A29" s="57" t="s">
        <v>312</v>
      </c>
      <c r="B29" s="108" t="s">
        <v>296</v>
      </c>
      <c r="C29" s="90">
        <v>90443900</v>
      </c>
      <c r="D29" s="82" t="s">
        <v>234</v>
      </c>
      <c r="E29" s="82" t="s">
        <v>69</v>
      </c>
      <c r="F29" s="86" t="s">
        <v>216</v>
      </c>
      <c r="G29" s="58" t="s">
        <v>175</v>
      </c>
      <c r="H29" s="58">
        <v>1800</v>
      </c>
      <c r="I29" s="58">
        <v>10</v>
      </c>
      <c r="J29" s="58">
        <v>50</v>
      </c>
      <c r="K29" s="4" t="s">
        <v>279</v>
      </c>
      <c r="L29" s="61" t="s">
        <v>180</v>
      </c>
      <c r="M29" s="62">
        <v>3917.22</v>
      </c>
      <c r="N29" s="16">
        <v>200</v>
      </c>
      <c r="O29" s="16">
        <f t="shared" si="20"/>
        <v>4</v>
      </c>
      <c r="Q29" s="66">
        <v>0.12</v>
      </c>
      <c r="R29" s="66">
        <f t="shared" si="21"/>
        <v>0.48</v>
      </c>
      <c r="S29" s="18"/>
      <c r="T29" s="57">
        <v>5</v>
      </c>
      <c r="U29" s="57">
        <f t="shared" si="22"/>
        <v>50</v>
      </c>
      <c r="V29" s="57">
        <f t="shared" si="23"/>
        <v>55</v>
      </c>
      <c r="W29" s="16">
        <f t="shared" si="24"/>
        <v>231</v>
      </c>
      <c r="X29" s="16">
        <f t="shared" si="25"/>
        <v>2</v>
      </c>
      <c r="Y29" s="18"/>
      <c r="Z29" s="50">
        <v>112.5</v>
      </c>
      <c r="AA29" s="50">
        <f t="shared" si="26"/>
        <v>22500</v>
      </c>
      <c r="AC29" s="77">
        <v>1.66</v>
      </c>
      <c r="AD29" s="77">
        <f t="shared" si="27"/>
        <v>332</v>
      </c>
      <c r="AE29" s="45">
        <f t="shared" si="28"/>
        <v>0</v>
      </c>
      <c r="AF29" s="50">
        <f t="shared" si="29"/>
        <v>0</v>
      </c>
    </row>
    <row r="30" spans="1:32" x14ac:dyDescent="0.2">
      <c r="A30" s="57"/>
      <c r="B30" s="110"/>
      <c r="C30" s="93" t="s">
        <v>23</v>
      </c>
      <c r="D30" s="41" t="s">
        <v>23</v>
      </c>
      <c r="E30" s="41" t="s">
        <v>23</v>
      </c>
      <c r="F30" s="56"/>
      <c r="G30" s="88"/>
      <c r="H30" s="86"/>
      <c r="I30" s="57"/>
      <c r="J30" s="57"/>
      <c r="K30" s="16"/>
      <c r="L30" s="57"/>
      <c r="M30" s="57"/>
      <c r="N30" s="16"/>
      <c r="O30" s="16"/>
      <c r="Q30" s="16"/>
      <c r="R30" s="66"/>
      <c r="S30" s="18"/>
      <c r="T30" s="57"/>
      <c r="U30" s="57"/>
      <c r="V30" s="57"/>
      <c r="W30" s="16"/>
      <c r="X30" s="16"/>
      <c r="Y30" s="18"/>
      <c r="Z30" s="50"/>
      <c r="AA30" s="50"/>
      <c r="AC30" s="77"/>
      <c r="AD30" s="77"/>
      <c r="AE30" s="45"/>
      <c r="AF30" s="50"/>
    </row>
    <row r="31" spans="1:32" ht="25.5" x14ac:dyDescent="0.2">
      <c r="A31" s="57" t="s">
        <v>347</v>
      </c>
      <c r="B31" s="108" t="s">
        <v>334</v>
      </c>
      <c r="C31" s="89" t="s">
        <v>243</v>
      </c>
      <c r="D31" s="2" t="s">
        <v>243</v>
      </c>
      <c r="E31" s="2" t="s">
        <v>73</v>
      </c>
      <c r="F31" s="53" t="s">
        <v>216</v>
      </c>
      <c r="G31" s="58">
        <v>32</v>
      </c>
      <c r="H31" s="58">
        <v>150</v>
      </c>
      <c r="I31" s="58">
        <v>10</v>
      </c>
      <c r="J31" s="58">
        <v>300</v>
      </c>
      <c r="K31" s="4" t="s">
        <v>126</v>
      </c>
      <c r="L31" s="61" t="s">
        <v>27</v>
      </c>
      <c r="M31" s="62">
        <v>3917.22</v>
      </c>
      <c r="N31" s="16">
        <v>600</v>
      </c>
      <c r="O31" s="16">
        <f t="shared" ref="O31:O38" si="30">$N31/$J31</f>
        <v>2</v>
      </c>
      <c r="Q31" s="66">
        <v>0.09</v>
      </c>
      <c r="R31" s="66">
        <f t="shared" ref="R31:R38" si="31">$O31*$Q31</f>
        <v>0.18</v>
      </c>
      <c r="S31" s="18"/>
      <c r="T31" s="57">
        <f t="shared" ref="T31:U38" si="32">I31</f>
        <v>10</v>
      </c>
      <c r="U31" s="57">
        <f t="shared" si="32"/>
        <v>300</v>
      </c>
      <c r="V31" s="57">
        <f t="shared" ref="V31:V38" si="33">U31+T31</f>
        <v>310</v>
      </c>
      <c r="W31" s="16">
        <f t="shared" ref="W31:W38" si="34">$O31*$V31*1.05</f>
        <v>651</v>
      </c>
      <c r="X31" s="16">
        <f t="shared" ref="X31:X38" si="35">ROUNDUP($W31/125,)</f>
        <v>6</v>
      </c>
      <c r="Y31" s="18"/>
      <c r="Z31" s="50">
        <v>18.63</v>
      </c>
      <c r="AA31" s="50">
        <f t="shared" ref="AA31:AA38" si="36">Z31*$N31</f>
        <v>11178</v>
      </c>
      <c r="AC31" s="77">
        <v>0.28000000000000003</v>
      </c>
      <c r="AD31" s="77">
        <f t="shared" ref="AD31:AD38" si="37">$N31*AC31</f>
        <v>168.00000000000003</v>
      </c>
      <c r="AE31" s="45">
        <f t="shared" ref="AE31:AE38" si="38">AF31/N31</f>
        <v>0</v>
      </c>
      <c r="AF31" s="50">
        <f t="shared" ref="AF31:AF38" si="39">AD31*$AF$4</f>
        <v>0</v>
      </c>
    </row>
    <row r="32" spans="1:32" ht="25.5" x14ac:dyDescent="0.2">
      <c r="A32" s="57" t="s">
        <v>313</v>
      </c>
      <c r="B32" s="108" t="s">
        <v>296</v>
      </c>
      <c r="C32" s="90">
        <v>90446200</v>
      </c>
      <c r="D32" s="82" t="s">
        <v>244</v>
      </c>
      <c r="E32" s="82" t="s">
        <v>73</v>
      </c>
      <c r="F32" s="86" t="s">
        <v>216</v>
      </c>
      <c r="G32" s="58" t="s">
        <v>176</v>
      </c>
      <c r="H32" s="58">
        <v>150</v>
      </c>
      <c r="I32" s="58">
        <v>10</v>
      </c>
      <c r="J32" s="58">
        <v>300</v>
      </c>
      <c r="K32" s="4" t="s">
        <v>205</v>
      </c>
      <c r="L32" s="61" t="s">
        <v>206</v>
      </c>
      <c r="M32" s="62">
        <v>3917.22</v>
      </c>
      <c r="N32" s="16">
        <v>300</v>
      </c>
      <c r="O32" s="16">
        <f t="shared" si="30"/>
        <v>1</v>
      </c>
      <c r="Q32" s="66">
        <v>0.09</v>
      </c>
      <c r="R32" s="66">
        <f t="shared" si="31"/>
        <v>0.09</v>
      </c>
      <c r="S32" s="18"/>
      <c r="T32" s="57">
        <f t="shared" si="32"/>
        <v>10</v>
      </c>
      <c r="U32" s="57">
        <f t="shared" si="32"/>
        <v>300</v>
      </c>
      <c r="V32" s="57">
        <f t="shared" si="33"/>
        <v>310</v>
      </c>
      <c r="W32" s="16">
        <f t="shared" si="34"/>
        <v>325.5</v>
      </c>
      <c r="X32" s="16">
        <f t="shared" si="35"/>
        <v>3</v>
      </c>
      <c r="Y32" s="18"/>
      <c r="Z32" s="50">
        <v>18.63</v>
      </c>
      <c r="AA32" s="50">
        <f t="shared" si="36"/>
        <v>5589</v>
      </c>
      <c r="AC32" s="77">
        <v>0.28999999999999998</v>
      </c>
      <c r="AD32" s="77">
        <f t="shared" si="37"/>
        <v>87</v>
      </c>
      <c r="AE32" s="45">
        <f t="shared" si="38"/>
        <v>0</v>
      </c>
      <c r="AF32" s="50">
        <f t="shared" si="39"/>
        <v>0</v>
      </c>
    </row>
    <row r="33" spans="1:32" ht="25.5" x14ac:dyDescent="0.2">
      <c r="A33" s="57" t="s">
        <v>314</v>
      </c>
      <c r="B33" s="108" t="s">
        <v>296</v>
      </c>
      <c r="C33" s="89" t="s">
        <v>245</v>
      </c>
      <c r="D33" s="2" t="s">
        <v>245</v>
      </c>
      <c r="E33" s="2" t="s">
        <v>74</v>
      </c>
      <c r="F33" s="53" t="s">
        <v>216</v>
      </c>
      <c r="G33" s="58">
        <v>32</v>
      </c>
      <c r="H33" s="58">
        <v>450</v>
      </c>
      <c r="I33" s="58">
        <v>10</v>
      </c>
      <c r="J33" s="58">
        <v>100</v>
      </c>
      <c r="K33" s="4" t="s">
        <v>127</v>
      </c>
      <c r="L33" s="61" t="s">
        <v>28</v>
      </c>
      <c r="M33" s="62">
        <v>3917.22</v>
      </c>
      <c r="N33" s="16">
        <v>100</v>
      </c>
      <c r="O33" s="16">
        <f t="shared" si="30"/>
        <v>1</v>
      </c>
      <c r="Q33" s="66">
        <v>0.09</v>
      </c>
      <c r="R33" s="66">
        <f t="shared" si="31"/>
        <v>0.09</v>
      </c>
      <c r="S33" s="18"/>
      <c r="T33" s="57">
        <f t="shared" si="32"/>
        <v>10</v>
      </c>
      <c r="U33" s="58">
        <f t="shared" si="32"/>
        <v>100</v>
      </c>
      <c r="V33" s="57">
        <f t="shared" si="33"/>
        <v>110</v>
      </c>
      <c r="W33" s="16">
        <f t="shared" si="34"/>
        <v>115.5</v>
      </c>
      <c r="X33" s="16">
        <f t="shared" si="35"/>
        <v>1</v>
      </c>
      <c r="Y33" s="18"/>
      <c r="Z33" s="50">
        <v>42.48</v>
      </c>
      <c r="AA33" s="50">
        <f t="shared" si="36"/>
        <v>4248</v>
      </c>
      <c r="AC33" s="77">
        <v>0.6</v>
      </c>
      <c r="AD33" s="77">
        <f t="shared" si="37"/>
        <v>60</v>
      </c>
      <c r="AE33" s="45">
        <f t="shared" si="38"/>
        <v>0</v>
      </c>
      <c r="AF33" s="50">
        <f t="shared" si="39"/>
        <v>0</v>
      </c>
    </row>
    <row r="34" spans="1:32" s="25" customFormat="1" ht="25.5" x14ac:dyDescent="0.2">
      <c r="A34" s="58" t="s">
        <v>315</v>
      </c>
      <c r="B34" s="108" t="s">
        <v>296</v>
      </c>
      <c r="C34" s="90">
        <v>90446400</v>
      </c>
      <c r="D34" s="82" t="s">
        <v>246</v>
      </c>
      <c r="E34" s="82" t="s">
        <v>74</v>
      </c>
      <c r="F34" s="86" t="s">
        <v>216</v>
      </c>
      <c r="G34" s="58" t="s">
        <v>176</v>
      </c>
      <c r="H34" s="58">
        <v>450</v>
      </c>
      <c r="I34" s="58">
        <v>10</v>
      </c>
      <c r="J34" s="58">
        <v>100</v>
      </c>
      <c r="K34" s="4" t="s">
        <v>164</v>
      </c>
      <c r="L34" s="61" t="s">
        <v>165</v>
      </c>
      <c r="M34" s="62">
        <v>3917.22</v>
      </c>
      <c r="N34" s="68">
        <v>100</v>
      </c>
      <c r="O34" s="68">
        <f t="shared" si="30"/>
        <v>1</v>
      </c>
      <c r="Q34" s="69">
        <v>0.09</v>
      </c>
      <c r="R34" s="69">
        <f t="shared" si="31"/>
        <v>0.09</v>
      </c>
      <c r="S34" s="24"/>
      <c r="T34" s="58">
        <f t="shared" si="32"/>
        <v>10</v>
      </c>
      <c r="U34" s="58">
        <f t="shared" si="32"/>
        <v>100</v>
      </c>
      <c r="V34" s="58">
        <f t="shared" si="33"/>
        <v>110</v>
      </c>
      <c r="W34" s="68">
        <f t="shared" si="34"/>
        <v>115.5</v>
      </c>
      <c r="X34" s="68">
        <f t="shared" si="35"/>
        <v>1</v>
      </c>
      <c r="Y34" s="24"/>
      <c r="Z34" s="50">
        <v>42.48</v>
      </c>
      <c r="AA34" s="75">
        <f t="shared" si="36"/>
        <v>4248</v>
      </c>
      <c r="AC34" s="79">
        <v>0.63</v>
      </c>
      <c r="AD34" s="79">
        <f t="shared" si="37"/>
        <v>63</v>
      </c>
      <c r="AE34" s="45">
        <f t="shared" si="38"/>
        <v>0</v>
      </c>
      <c r="AF34" s="50">
        <f t="shared" si="39"/>
        <v>0</v>
      </c>
    </row>
    <row r="35" spans="1:32" s="25" customFormat="1" ht="25.5" x14ac:dyDescent="0.2">
      <c r="A35" s="58" t="s">
        <v>348</v>
      </c>
      <c r="B35" s="108" t="s">
        <v>341</v>
      </c>
      <c r="C35" s="90">
        <v>90446600</v>
      </c>
      <c r="D35" s="82" t="s">
        <v>247</v>
      </c>
      <c r="E35" s="82" t="s">
        <v>75</v>
      </c>
      <c r="F35" s="86" t="s">
        <v>216</v>
      </c>
      <c r="G35" s="58" t="s">
        <v>176</v>
      </c>
      <c r="H35" s="58">
        <v>600</v>
      </c>
      <c r="I35" s="58">
        <v>10</v>
      </c>
      <c r="J35" s="58">
        <v>100</v>
      </c>
      <c r="K35" s="4" t="s">
        <v>166</v>
      </c>
      <c r="L35" s="61" t="s">
        <v>167</v>
      </c>
      <c r="M35" s="62">
        <v>3917.22</v>
      </c>
      <c r="N35" s="68">
        <v>200</v>
      </c>
      <c r="O35" s="68">
        <f t="shared" si="30"/>
        <v>2</v>
      </c>
      <c r="Q35" s="69">
        <v>0.12</v>
      </c>
      <c r="R35" s="69">
        <f t="shared" si="31"/>
        <v>0.24</v>
      </c>
      <c r="S35" s="24"/>
      <c r="T35" s="58">
        <f t="shared" si="32"/>
        <v>10</v>
      </c>
      <c r="U35" s="58">
        <f t="shared" si="32"/>
        <v>100</v>
      </c>
      <c r="V35" s="58">
        <f t="shared" si="33"/>
        <v>110</v>
      </c>
      <c r="W35" s="68">
        <f t="shared" si="34"/>
        <v>231</v>
      </c>
      <c r="X35" s="68">
        <f t="shared" si="35"/>
        <v>2</v>
      </c>
      <c r="Y35" s="24"/>
      <c r="Z35" s="50">
        <v>54.45</v>
      </c>
      <c r="AA35" s="75">
        <f t="shared" si="36"/>
        <v>10890</v>
      </c>
      <c r="AC35" s="79">
        <v>0.8</v>
      </c>
      <c r="AD35" s="79">
        <f t="shared" si="37"/>
        <v>160</v>
      </c>
      <c r="AE35" s="45">
        <f t="shared" si="38"/>
        <v>0</v>
      </c>
      <c r="AF35" s="50">
        <f t="shared" si="39"/>
        <v>0</v>
      </c>
    </row>
    <row r="36" spans="1:32" ht="25.5" x14ac:dyDescent="0.2">
      <c r="A36" s="57" t="s">
        <v>316</v>
      </c>
      <c r="B36" s="108" t="s">
        <v>296</v>
      </c>
      <c r="C36" s="89" t="s">
        <v>248</v>
      </c>
      <c r="D36" s="2" t="s">
        <v>248</v>
      </c>
      <c r="E36" s="2" t="s">
        <v>76</v>
      </c>
      <c r="F36" s="53" t="s">
        <v>216</v>
      </c>
      <c r="G36" s="58">
        <v>32</v>
      </c>
      <c r="H36" s="58">
        <v>750</v>
      </c>
      <c r="I36" s="58">
        <v>10</v>
      </c>
      <c r="J36" s="58">
        <v>60</v>
      </c>
      <c r="K36" s="4" t="s">
        <v>128</v>
      </c>
      <c r="L36" s="61" t="s">
        <v>42</v>
      </c>
      <c r="M36" s="62">
        <v>3917.22</v>
      </c>
      <c r="N36" s="16">
        <v>60</v>
      </c>
      <c r="O36" s="16">
        <f t="shared" si="30"/>
        <v>1</v>
      </c>
      <c r="Q36" s="66">
        <v>0.09</v>
      </c>
      <c r="R36" s="66">
        <f t="shared" si="31"/>
        <v>0.09</v>
      </c>
      <c r="S36" s="18"/>
      <c r="T36" s="57">
        <f t="shared" si="32"/>
        <v>10</v>
      </c>
      <c r="U36" s="58">
        <f t="shared" si="32"/>
        <v>60</v>
      </c>
      <c r="V36" s="57">
        <f t="shared" si="33"/>
        <v>70</v>
      </c>
      <c r="W36" s="16">
        <f t="shared" si="34"/>
        <v>73.5</v>
      </c>
      <c r="X36" s="16">
        <f t="shared" si="35"/>
        <v>1</v>
      </c>
      <c r="Y36" s="18"/>
      <c r="Z36" s="50">
        <v>66.33</v>
      </c>
      <c r="AA36" s="50">
        <f t="shared" si="36"/>
        <v>3979.7999999999997</v>
      </c>
      <c r="AC36" s="77">
        <v>0.93</v>
      </c>
      <c r="AD36" s="77">
        <f t="shared" si="37"/>
        <v>55.800000000000004</v>
      </c>
      <c r="AE36" s="45">
        <f t="shared" si="38"/>
        <v>0</v>
      </c>
      <c r="AF36" s="50">
        <f t="shared" si="39"/>
        <v>0</v>
      </c>
    </row>
    <row r="37" spans="1:32" ht="25.5" x14ac:dyDescent="0.2">
      <c r="A37" s="57" t="s">
        <v>317</v>
      </c>
      <c r="B37" s="109" t="s">
        <v>298</v>
      </c>
      <c r="C37" s="90">
        <v>90446700</v>
      </c>
      <c r="D37" s="82" t="s">
        <v>249</v>
      </c>
      <c r="E37" s="82" t="s">
        <v>77</v>
      </c>
      <c r="F37" s="86" t="s">
        <v>216</v>
      </c>
      <c r="G37" s="58" t="s">
        <v>176</v>
      </c>
      <c r="H37" s="58">
        <v>900</v>
      </c>
      <c r="I37" s="58">
        <v>10</v>
      </c>
      <c r="J37" s="58">
        <v>50</v>
      </c>
      <c r="K37" s="4" t="s">
        <v>181</v>
      </c>
      <c r="L37" s="61" t="s">
        <v>202</v>
      </c>
      <c r="M37" s="62">
        <v>3917.22</v>
      </c>
      <c r="N37" s="16">
        <v>100</v>
      </c>
      <c r="O37" s="16">
        <f t="shared" si="30"/>
        <v>2</v>
      </c>
      <c r="Q37" s="66">
        <v>0.09</v>
      </c>
      <c r="R37" s="66">
        <f t="shared" si="31"/>
        <v>0.18</v>
      </c>
      <c r="S37" s="18"/>
      <c r="T37" s="57">
        <f t="shared" si="32"/>
        <v>10</v>
      </c>
      <c r="U37" s="58">
        <f t="shared" si="32"/>
        <v>50</v>
      </c>
      <c r="V37" s="57">
        <f t="shared" si="33"/>
        <v>60</v>
      </c>
      <c r="W37" s="16">
        <f t="shared" si="34"/>
        <v>126</v>
      </c>
      <c r="X37" s="16">
        <f t="shared" si="35"/>
        <v>2</v>
      </c>
      <c r="Y37" s="18"/>
      <c r="Z37" s="50">
        <v>78.209999999999994</v>
      </c>
      <c r="AA37" s="50">
        <f t="shared" si="36"/>
        <v>7820.9999999999991</v>
      </c>
      <c r="AC37" s="77">
        <v>1.1499999999999999</v>
      </c>
      <c r="AD37" s="77">
        <f t="shared" si="37"/>
        <v>114.99999999999999</v>
      </c>
      <c r="AE37" s="45">
        <f t="shared" si="38"/>
        <v>0</v>
      </c>
      <c r="AF37" s="50">
        <f t="shared" si="39"/>
        <v>0</v>
      </c>
    </row>
    <row r="38" spans="1:32" ht="25.5" x14ac:dyDescent="0.2">
      <c r="A38" s="57" t="s">
        <v>318</v>
      </c>
      <c r="B38" s="108" t="s">
        <v>296</v>
      </c>
      <c r="C38" s="90">
        <v>90446800</v>
      </c>
      <c r="D38" s="82" t="s">
        <v>250</v>
      </c>
      <c r="E38" s="82" t="s">
        <v>200</v>
      </c>
      <c r="F38" s="86" t="s">
        <v>216</v>
      </c>
      <c r="G38" s="58" t="s">
        <v>176</v>
      </c>
      <c r="H38" s="58">
        <v>1800</v>
      </c>
      <c r="I38" s="58">
        <v>5</v>
      </c>
      <c r="J38" s="58">
        <v>25</v>
      </c>
      <c r="K38" s="4" t="s">
        <v>201</v>
      </c>
      <c r="L38" s="61" t="s">
        <v>214</v>
      </c>
      <c r="M38" s="62">
        <v>3917.22</v>
      </c>
      <c r="N38" s="16">
        <v>50</v>
      </c>
      <c r="O38" s="16">
        <f t="shared" si="30"/>
        <v>2</v>
      </c>
      <c r="Q38" s="66">
        <v>0.18</v>
      </c>
      <c r="R38" s="66">
        <f t="shared" si="31"/>
        <v>0.36</v>
      </c>
      <c r="S38" s="18"/>
      <c r="T38" s="57">
        <f t="shared" si="32"/>
        <v>5</v>
      </c>
      <c r="U38" s="58">
        <f t="shared" si="32"/>
        <v>25</v>
      </c>
      <c r="V38" s="57">
        <f t="shared" si="33"/>
        <v>30</v>
      </c>
      <c r="W38" s="16">
        <f t="shared" si="34"/>
        <v>63</v>
      </c>
      <c r="X38" s="16">
        <f t="shared" si="35"/>
        <v>1</v>
      </c>
      <c r="Y38" s="18"/>
      <c r="Z38" s="50">
        <v>127.01</v>
      </c>
      <c r="AA38" s="50">
        <f t="shared" si="36"/>
        <v>6350.5</v>
      </c>
      <c r="AC38" s="77">
        <v>2.2000000000000002</v>
      </c>
      <c r="AD38" s="77">
        <f t="shared" si="37"/>
        <v>110.00000000000001</v>
      </c>
      <c r="AE38" s="45">
        <f t="shared" si="38"/>
        <v>0</v>
      </c>
      <c r="AF38" s="50">
        <f t="shared" si="39"/>
        <v>0</v>
      </c>
    </row>
    <row r="39" spans="1:32" x14ac:dyDescent="0.2">
      <c r="A39" s="57"/>
      <c r="B39" s="110"/>
      <c r="C39" s="93" t="s">
        <v>24</v>
      </c>
      <c r="D39" s="41" t="s">
        <v>24</v>
      </c>
      <c r="E39" s="41" t="s">
        <v>24</v>
      </c>
      <c r="F39" s="56"/>
      <c r="G39" s="88"/>
      <c r="H39" s="86"/>
      <c r="I39" s="58"/>
      <c r="J39" s="58"/>
      <c r="K39" s="1"/>
      <c r="L39" s="86"/>
      <c r="M39" s="86"/>
      <c r="N39" s="16"/>
      <c r="O39" s="16"/>
      <c r="Q39" s="16"/>
      <c r="R39" s="66"/>
      <c r="S39" s="18"/>
      <c r="T39" s="57"/>
      <c r="U39" s="57"/>
      <c r="V39" s="57"/>
      <c r="W39" s="16"/>
      <c r="X39" s="16"/>
      <c r="Y39" s="18"/>
      <c r="Z39" s="50"/>
      <c r="AA39" s="50"/>
      <c r="AC39" s="77"/>
      <c r="AD39" s="77"/>
      <c r="AE39" s="45"/>
      <c r="AF39" s="50"/>
    </row>
    <row r="40" spans="1:32" ht="25.5" x14ac:dyDescent="0.2">
      <c r="A40" s="57" t="s">
        <v>319</v>
      </c>
      <c r="B40" s="109" t="s">
        <v>298</v>
      </c>
      <c r="C40" s="90">
        <v>90447200</v>
      </c>
      <c r="D40" s="82" t="s">
        <v>251</v>
      </c>
      <c r="E40" s="82" t="s">
        <v>78</v>
      </c>
      <c r="F40" s="86" t="s">
        <v>216</v>
      </c>
      <c r="G40" s="58" t="s">
        <v>177</v>
      </c>
      <c r="H40" s="58">
        <v>150</v>
      </c>
      <c r="I40" s="58">
        <v>10</v>
      </c>
      <c r="J40" s="58">
        <v>300</v>
      </c>
      <c r="K40" s="4" t="s">
        <v>203</v>
      </c>
      <c r="L40" s="61" t="s">
        <v>204</v>
      </c>
      <c r="M40" s="62">
        <v>3917.22</v>
      </c>
      <c r="N40" s="16">
        <v>300</v>
      </c>
      <c r="O40" s="16">
        <f t="shared" ref="O40:O43" si="40">$N40/$J40</f>
        <v>1</v>
      </c>
      <c r="Q40" s="66">
        <v>0.13</v>
      </c>
      <c r="R40" s="66">
        <f t="shared" ref="R40:R43" si="41">$O40*$Q40</f>
        <v>0.13</v>
      </c>
      <c r="S40" s="18"/>
      <c r="T40" s="57">
        <f t="shared" ref="T40:U43" si="42">I40</f>
        <v>10</v>
      </c>
      <c r="U40" s="58">
        <f t="shared" si="42"/>
        <v>300</v>
      </c>
      <c r="V40" s="57">
        <f t="shared" ref="V40:V43" si="43">U40+T40</f>
        <v>310</v>
      </c>
      <c r="W40" s="16">
        <f t="shared" ref="W40:W43" si="44">$O40*$V40*1.05</f>
        <v>325.5</v>
      </c>
      <c r="X40" s="16">
        <f t="shared" ref="X40:X43" si="45">ROUNDUP($W40/125,)</f>
        <v>3</v>
      </c>
      <c r="Y40" s="18"/>
      <c r="Z40" s="76">
        <v>23.4</v>
      </c>
      <c r="AA40" s="50">
        <f t="shared" ref="AA40:AA43" si="46">Z40*$N40</f>
        <v>7020</v>
      </c>
      <c r="AC40" s="77">
        <v>0.34</v>
      </c>
      <c r="AD40" s="77">
        <f t="shared" ref="AD40:AD43" si="47">$N40*AC40</f>
        <v>102.00000000000001</v>
      </c>
      <c r="AE40" s="45">
        <f t="shared" ref="AE40:AE43" si="48">AF40/N40</f>
        <v>0</v>
      </c>
      <c r="AF40" s="50">
        <f t="shared" ref="AF40:AF43" si="49">AD40*$AF$4</f>
        <v>0</v>
      </c>
    </row>
    <row r="41" spans="1:32" ht="25.5" x14ac:dyDescent="0.2">
      <c r="A41" s="57" t="s">
        <v>320</v>
      </c>
      <c r="B41" s="109" t="s">
        <v>297</v>
      </c>
      <c r="C41" s="89" t="s">
        <v>252</v>
      </c>
      <c r="D41" s="2" t="s">
        <v>252</v>
      </c>
      <c r="E41" s="2" t="s">
        <v>98</v>
      </c>
      <c r="F41" s="53" t="s">
        <v>216</v>
      </c>
      <c r="G41" s="58">
        <v>40</v>
      </c>
      <c r="H41" s="58">
        <v>200</v>
      </c>
      <c r="I41" s="58">
        <v>10</v>
      </c>
      <c r="J41" s="58">
        <v>150</v>
      </c>
      <c r="K41" s="4" t="s">
        <v>129</v>
      </c>
      <c r="L41" s="61" t="s">
        <v>99</v>
      </c>
      <c r="M41" s="62">
        <v>3917.22</v>
      </c>
      <c r="N41" s="16">
        <v>150</v>
      </c>
      <c r="O41" s="16">
        <f t="shared" si="40"/>
        <v>1</v>
      </c>
      <c r="Q41" s="66">
        <v>0.13</v>
      </c>
      <c r="R41" s="66">
        <f t="shared" si="41"/>
        <v>0.13</v>
      </c>
      <c r="S41" s="18"/>
      <c r="T41" s="57">
        <f t="shared" si="42"/>
        <v>10</v>
      </c>
      <c r="U41" s="58">
        <f t="shared" si="42"/>
        <v>150</v>
      </c>
      <c r="V41" s="57">
        <f t="shared" si="43"/>
        <v>160</v>
      </c>
      <c r="W41" s="16">
        <f t="shared" si="44"/>
        <v>168</v>
      </c>
      <c r="X41" s="16">
        <f t="shared" si="45"/>
        <v>2</v>
      </c>
      <c r="Y41" s="18"/>
      <c r="Z41" s="50">
        <v>29.34</v>
      </c>
      <c r="AA41" s="50">
        <f t="shared" si="46"/>
        <v>4401</v>
      </c>
      <c r="AC41" s="77">
        <v>0.44</v>
      </c>
      <c r="AD41" s="77">
        <f t="shared" si="47"/>
        <v>66</v>
      </c>
      <c r="AE41" s="45">
        <f t="shared" si="48"/>
        <v>0</v>
      </c>
      <c r="AF41" s="50">
        <f t="shared" si="49"/>
        <v>0</v>
      </c>
    </row>
    <row r="42" spans="1:32" ht="25.5" x14ac:dyDescent="0.2">
      <c r="A42" s="57" t="s">
        <v>321</v>
      </c>
      <c r="B42" s="108" t="s">
        <v>296</v>
      </c>
      <c r="C42" s="89" t="s">
        <v>253</v>
      </c>
      <c r="D42" s="2" t="s">
        <v>253</v>
      </c>
      <c r="E42" s="2" t="s">
        <v>79</v>
      </c>
      <c r="F42" s="53" t="s">
        <v>216</v>
      </c>
      <c r="G42" s="58">
        <v>40</v>
      </c>
      <c r="H42" s="58">
        <v>450</v>
      </c>
      <c r="I42" s="58">
        <v>10</v>
      </c>
      <c r="J42" s="58">
        <v>100</v>
      </c>
      <c r="K42" s="4" t="s">
        <v>130</v>
      </c>
      <c r="L42" s="61" t="s">
        <v>29</v>
      </c>
      <c r="M42" s="62">
        <v>3917.22</v>
      </c>
      <c r="N42" s="16">
        <v>100</v>
      </c>
      <c r="O42" s="16">
        <f t="shared" si="40"/>
        <v>1</v>
      </c>
      <c r="Q42" s="66">
        <v>0.13</v>
      </c>
      <c r="R42" s="66">
        <f t="shared" si="41"/>
        <v>0.13</v>
      </c>
      <c r="S42" s="18"/>
      <c r="T42" s="57">
        <f t="shared" si="42"/>
        <v>10</v>
      </c>
      <c r="U42" s="58">
        <f t="shared" si="42"/>
        <v>100</v>
      </c>
      <c r="V42" s="57">
        <f t="shared" si="43"/>
        <v>110</v>
      </c>
      <c r="W42" s="16">
        <f t="shared" si="44"/>
        <v>115.5</v>
      </c>
      <c r="X42" s="16">
        <f t="shared" si="45"/>
        <v>1</v>
      </c>
      <c r="Y42" s="18"/>
      <c r="Z42" s="50">
        <v>57.6</v>
      </c>
      <c r="AA42" s="50">
        <f t="shared" si="46"/>
        <v>5760</v>
      </c>
      <c r="AC42" s="77">
        <v>0.81</v>
      </c>
      <c r="AD42" s="77">
        <f t="shared" si="47"/>
        <v>81</v>
      </c>
      <c r="AE42" s="45">
        <f t="shared" si="48"/>
        <v>0</v>
      </c>
      <c r="AF42" s="50">
        <f t="shared" si="49"/>
        <v>0</v>
      </c>
    </row>
    <row r="43" spans="1:32" s="25" customFormat="1" ht="25.5" x14ac:dyDescent="0.2">
      <c r="A43" s="58" t="s">
        <v>322</v>
      </c>
      <c r="B43" s="108" t="s">
        <v>296</v>
      </c>
      <c r="C43" s="90">
        <v>90447400</v>
      </c>
      <c r="D43" s="82" t="s">
        <v>254</v>
      </c>
      <c r="E43" s="82" t="s">
        <v>79</v>
      </c>
      <c r="F43" s="86" t="s">
        <v>216</v>
      </c>
      <c r="G43" s="58" t="s">
        <v>177</v>
      </c>
      <c r="H43" s="58">
        <v>450</v>
      </c>
      <c r="I43" s="58">
        <v>10</v>
      </c>
      <c r="J43" s="58">
        <v>100</v>
      </c>
      <c r="K43" s="4" t="s">
        <v>168</v>
      </c>
      <c r="L43" s="61" t="s">
        <v>169</v>
      </c>
      <c r="M43" s="62">
        <v>3917.22</v>
      </c>
      <c r="N43" s="68">
        <v>200</v>
      </c>
      <c r="O43" s="68">
        <f t="shared" si="40"/>
        <v>2</v>
      </c>
      <c r="Q43" s="69">
        <v>0.13</v>
      </c>
      <c r="R43" s="69">
        <f t="shared" si="41"/>
        <v>0.26</v>
      </c>
      <c r="S43" s="24"/>
      <c r="T43" s="58">
        <f t="shared" si="42"/>
        <v>10</v>
      </c>
      <c r="U43" s="58">
        <f t="shared" si="42"/>
        <v>100</v>
      </c>
      <c r="V43" s="58">
        <f t="shared" si="43"/>
        <v>110</v>
      </c>
      <c r="W43" s="68">
        <f t="shared" si="44"/>
        <v>231</v>
      </c>
      <c r="X43" s="68">
        <f t="shared" si="45"/>
        <v>2</v>
      </c>
      <c r="Y43" s="24"/>
      <c r="Z43" s="50">
        <v>57.6</v>
      </c>
      <c r="AA43" s="75">
        <f t="shared" si="46"/>
        <v>11520</v>
      </c>
      <c r="AC43" s="79">
        <v>0.86</v>
      </c>
      <c r="AD43" s="79">
        <f t="shared" si="47"/>
        <v>172</v>
      </c>
      <c r="AE43" s="45">
        <f t="shared" si="48"/>
        <v>0</v>
      </c>
      <c r="AF43" s="50">
        <f t="shared" si="49"/>
        <v>0</v>
      </c>
    </row>
    <row r="44" spans="1:32" x14ac:dyDescent="0.2">
      <c r="A44" s="57"/>
      <c r="B44" s="110"/>
      <c r="C44" s="22" t="s">
        <v>25</v>
      </c>
      <c r="D44" s="15" t="s">
        <v>25</v>
      </c>
      <c r="E44" s="15" t="s">
        <v>25</v>
      </c>
      <c r="F44" s="88"/>
      <c r="G44" s="57"/>
      <c r="H44" s="58"/>
      <c r="I44" s="58"/>
      <c r="J44" s="58"/>
      <c r="K44" s="1"/>
      <c r="L44" s="86"/>
      <c r="M44" s="86"/>
      <c r="N44" s="16"/>
      <c r="O44" s="16"/>
      <c r="Q44" s="16"/>
      <c r="R44" s="66"/>
      <c r="S44" s="18"/>
      <c r="T44" s="57"/>
      <c r="U44" s="57"/>
      <c r="V44" s="57"/>
      <c r="W44" s="16"/>
      <c r="X44" s="16"/>
      <c r="Y44" s="18"/>
      <c r="Z44" s="50"/>
      <c r="AA44" s="50"/>
      <c r="AC44" s="77"/>
      <c r="AD44" s="77"/>
      <c r="AE44" s="45"/>
      <c r="AF44" s="50"/>
    </row>
    <row r="45" spans="1:32" ht="25.5" x14ac:dyDescent="0.2">
      <c r="A45" s="57" t="s">
        <v>323</v>
      </c>
      <c r="B45" s="108" t="s">
        <v>296</v>
      </c>
      <c r="C45" s="89" t="s">
        <v>255</v>
      </c>
      <c r="D45" s="2" t="s">
        <v>255</v>
      </c>
      <c r="E45" s="2" t="s">
        <v>80</v>
      </c>
      <c r="F45" s="53" t="s">
        <v>216</v>
      </c>
      <c r="G45" s="58">
        <v>50</v>
      </c>
      <c r="H45" s="58">
        <v>150</v>
      </c>
      <c r="I45" s="58">
        <v>10</v>
      </c>
      <c r="J45" s="58">
        <v>150</v>
      </c>
      <c r="K45" s="4" t="s">
        <v>131</v>
      </c>
      <c r="L45" s="61" t="s">
        <v>30</v>
      </c>
      <c r="M45" s="62">
        <v>3917.22</v>
      </c>
      <c r="N45" s="16">
        <v>150</v>
      </c>
      <c r="O45" s="16">
        <f t="shared" ref="O45:O51" si="50">$N45/$J45</f>
        <v>1</v>
      </c>
      <c r="Q45" s="66">
        <v>0.1</v>
      </c>
      <c r="R45" s="66">
        <f t="shared" ref="R45:R51" si="51">$O45*$Q45</f>
        <v>0.1</v>
      </c>
      <c r="S45" s="18"/>
      <c r="T45" s="57">
        <f t="shared" ref="T45:U51" si="52">I45</f>
        <v>10</v>
      </c>
      <c r="U45" s="57">
        <f t="shared" si="52"/>
        <v>150</v>
      </c>
      <c r="V45" s="57">
        <f t="shared" ref="V45:V51" si="53">U45+T45</f>
        <v>160</v>
      </c>
      <c r="W45" s="16">
        <f t="shared" ref="W45:W51" si="54">$O45*$V45*1.05</f>
        <v>168</v>
      </c>
      <c r="X45" s="16">
        <f t="shared" ref="X45:X51" si="55">ROUNDUP($W45/125,)</f>
        <v>2</v>
      </c>
      <c r="Y45" s="18"/>
      <c r="Z45" s="50">
        <v>28.62</v>
      </c>
      <c r="AA45" s="50">
        <f t="shared" ref="AA45:AA51" si="56">Z45*$N45</f>
        <v>4293</v>
      </c>
      <c r="AC45" s="77">
        <v>0.41</v>
      </c>
      <c r="AD45" s="77">
        <f t="shared" ref="AD45:AD51" si="57">$N45*AC45</f>
        <v>61.499999999999993</v>
      </c>
      <c r="AE45" s="45">
        <f t="shared" ref="AE45:AE51" si="58">AF45/N45</f>
        <v>0</v>
      </c>
      <c r="AF45" s="50">
        <f t="shared" ref="AF45:AF51" si="59">AD45*$AF$4</f>
        <v>0</v>
      </c>
    </row>
    <row r="46" spans="1:32" ht="25.5" x14ac:dyDescent="0.2">
      <c r="A46" s="57" t="s">
        <v>324</v>
      </c>
      <c r="B46" s="108" t="s">
        <v>296</v>
      </c>
      <c r="C46" s="90">
        <v>90448200</v>
      </c>
      <c r="D46" s="82" t="s">
        <v>256</v>
      </c>
      <c r="E46" s="82" t="s">
        <v>80</v>
      </c>
      <c r="F46" s="86" t="s">
        <v>216</v>
      </c>
      <c r="G46" s="58" t="s">
        <v>178</v>
      </c>
      <c r="H46" s="58">
        <v>150</v>
      </c>
      <c r="I46" s="58">
        <v>10</v>
      </c>
      <c r="J46" s="58">
        <v>150</v>
      </c>
      <c r="K46" s="4" t="s">
        <v>280</v>
      </c>
      <c r="L46" s="61" t="s">
        <v>199</v>
      </c>
      <c r="M46" s="62">
        <v>3917.22</v>
      </c>
      <c r="N46" s="16">
        <v>150</v>
      </c>
      <c r="O46" s="16">
        <f t="shared" si="50"/>
        <v>1</v>
      </c>
      <c r="Q46" s="66">
        <v>0.1</v>
      </c>
      <c r="R46" s="66">
        <f t="shared" si="51"/>
        <v>0.1</v>
      </c>
      <c r="S46" s="18"/>
      <c r="T46" s="57">
        <f t="shared" si="52"/>
        <v>10</v>
      </c>
      <c r="U46" s="58">
        <f t="shared" si="52"/>
        <v>150</v>
      </c>
      <c r="V46" s="57">
        <f t="shared" si="53"/>
        <v>160</v>
      </c>
      <c r="W46" s="16">
        <f t="shared" si="54"/>
        <v>168</v>
      </c>
      <c r="X46" s="16">
        <f t="shared" si="55"/>
        <v>2</v>
      </c>
      <c r="Y46" s="18"/>
      <c r="Z46" s="50">
        <v>28.62</v>
      </c>
      <c r="AA46" s="50">
        <f t="shared" si="56"/>
        <v>4293</v>
      </c>
      <c r="AC46" s="77">
        <v>0.42</v>
      </c>
      <c r="AD46" s="77">
        <f t="shared" si="57"/>
        <v>63</v>
      </c>
      <c r="AE46" s="45">
        <f t="shared" si="58"/>
        <v>0</v>
      </c>
      <c r="AF46" s="50">
        <f t="shared" si="59"/>
        <v>0</v>
      </c>
    </row>
    <row r="47" spans="1:32" ht="25.5" x14ac:dyDescent="0.2">
      <c r="A47" s="57" t="s">
        <v>325</v>
      </c>
      <c r="B47" s="108" t="s">
        <v>296</v>
      </c>
      <c r="C47" s="90">
        <v>90448300</v>
      </c>
      <c r="D47" s="82" t="s">
        <v>257</v>
      </c>
      <c r="E47" s="82" t="s">
        <v>81</v>
      </c>
      <c r="F47" s="86" t="s">
        <v>216</v>
      </c>
      <c r="G47" s="58" t="s">
        <v>178</v>
      </c>
      <c r="H47" s="58">
        <v>300</v>
      </c>
      <c r="I47" s="58">
        <v>10</v>
      </c>
      <c r="J47" s="58">
        <v>75</v>
      </c>
      <c r="K47" s="4" t="s">
        <v>281</v>
      </c>
      <c r="L47" s="61" t="s">
        <v>106</v>
      </c>
      <c r="M47" s="62">
        <v>3917.22</v>
      </c>
      <c r="N47" s="16">
        <v>75</v>
      </c>
      <c r="O47" s="16">
        <f t="shared" si="50"/>
        <v>1</v>
      </c>
      <c r="Q47" s="66">
        <v>0.1</v>
      </c>
      <c r="R47" s="66">
        <f t="shared" si="51"/>
        <v>0.1</v>
      </c>
      <c r="S47" s="18"/>
      <c r="T47" s="57">
        <f t="shared" si="52"/>
        <v>10</v>
      </c>
      <c r="U47" s="58">
        <f t="shared" si="52"/>
        <v>75</v>
      </c>
      <c r="V47" s="57">
        <f t="shared" si="53"/>
        <v>85</v>
      </c>
      <c r="W47" s="16">
        <f t="shared" si="54"/>
        <v>89.25</v>
      </c>
      <c r="X47" s="16">
        <f t="shared" si="55"/>
        <v>1</v>
      </c>
      <c r="Y47" s="18"/>
      <c r="Z47" s="50">
        <v>50.4</v>
      </c>
      <c r="AA47" s="50">
        <f t="shared" si="56"/>
        <v>3780</v>
      </c>
      <c r="AC47" s="77">
        <v>0.75</v>
      </c>
      <c r="AD47" s="77">
        <f t="shared" si="57"/>
        <v>56.25</v>
      </c>
      <c r="AE47" s="45">
        <f t="shared" si="58"/>
        <v>0</v>
      </c>
      <c r="AF47" s="50">
        <f t="shared" si="59"/>
        <v>0</v>
      </c>
    </row>
    <row r="48" spans="1:32" ht="25.5" x14ac:dyDescent="0.2">
      <c r="A48" s="57" t="s">
        <v>326</v>
      </c>
      <c r="B48" s="108" t="s">
        <v>296</v>
      </c>
      <c r="C48" s="89" t="s">
        <v>258</v>
      </c>
      <c r="D48" s="2" t="s">
        <v>258</v>
      </c>
      <c r="E48" s="2" t="s">
        <v>82</v>
      </c>
      <c r="F48" s="53" t="s">
        <v>216</v>
      </c>
      <c r="G48" s="58">
        <v>50</v>
      </c>
      <c r="H48" s="58">
        <v>450</v>
      </c>
      <c r="I48" s="58">
        <v>10</v>
      </c>
      <c r="J48" s="58">
        <v>50</v>
      </c>
      <c r="K48" s="4" t="s">
        <v>132</v>
      </c>
      <c r="L48" s="61" t="s">
        <v>31</v>
      </c>
      <c r="M48" s="62">
        <v>3917.22</v>
      </c>
      <c r="N48" s="16">
        <v>100</v>
      </c>
      <c r="O48" s="16">
        <f t="shared" si="50"/>
        <v>2</v>
      </c>
      <c r="Q48" s="66">
        <v>0.1</v>
      </c>
      <c r="R48" s="66">
        <f t="shared" si="51"/>
        <v>0.2</v>
      </c>
      <c r="S48" s="18"/>
      <c r="T48" s="57">
        <f t="shared" si="52"/>
        <v>10</v>
      </c>
      <c r="U48" s="58">
        <f t="shared" si="52"/>
        <v>50</v>
      </c>
      <c r="V48" s="57">
        <f t="shared" si="53"/>
        <v>60</v>
      </c>
      <c r="W48" s="16">
        <f t="shared" si="54"/>
        <v>126</v>
      </c>
      <c r="X48" s="16">
        <f t="shared" si="55"/>
        <v>2</v>
      </c>
      <c r="Y48" s="18"/>
      <c r="Z48" s="50">
        <v>72.45</v>
      </c>
      <c r="AA48" s="50">
        <f t="shared" si="56"/>
        <v>7245</v>
      </c>
      <c r="AC48" s="77">
        <v>1.02</v>
      </c>
      <c r="AD48" s="77">
        <f t="shared" si="57"/>
        <v>102</v>
      </c>
      <c r="AE48" s="45">
        <f t="shared" si="58"/>
        <v>0</v>
      </c>
      <c r="AF48" s="50">
        <f t="shared" si="59"/>
        <v>0</v>
      </c>
    </row>
    <row r="49" spans="1:32" ht="25.5" x14ac:dyDescent="0.2">
      <c r="A49" s="57" t="s">
        <v>327</v>
      </c>
      <c r="B49" s="108" t="s">
        <v>296</v>
      </c>
      <c r="C49" s="90">
        <v>90448400</v>
      </c>
      <c r="D49" s="82" t="s">
        <v>259</v>
      </c>
      <c r="E49" s="82" t="s">
        <v>82</v>
      </c>
      <c r="F49" s="86" t="s">
        <v>216</v>
      </c>
      <c r="G49" s="58" t="s">
        <v>178</v>
      </c>
      <c r="H49" s="58">
        <v>450</v>
      </c>
      <c r="I49" s="58">
        <v>10</v>
      </c>
      <c r="J49" s="58">
        <v>50</v>
      </c>
      <c r="K49" s="4" t="s">
        <v>282</v>
      </c>
      <c r="L49" s="61" t="s">
        <v>107</v>
      </c>
      <c r="M49" s="62">
        <v>3917.22</v>
      </c>
      <c r="N49" s="16">
        <v>100</v>
      </c>
      <c r="O49" s="16">
        <f t="shared" si="50"/>
        <v>2</v>
      </c>
      <c r="Q49" s="66">
        <v>0.1</v>
      </c>
      <c r="R49" s="66">
        <f t="shared" si="51"/>
        <v>0.2</v>
      </c>
      <c r="S49" s="18"/>
      <c r="T49" s="57">
        <f t="shared" si="52"/>
        <v>10</v>
      </c>
      <c r="U49" s="58">
        <f t="shared" si="52"/>
        <v>50</v>
      </c>
      <c r="V49" s="57">
        <f t="shared" si="53"/>
        <v>60</v>
      </c>
      <c r="W49" s="16">
        <f t="shared" si="54"/>
        <v>126</v>
      </c>
      <c r="X49" s="16">
        <f t="shared" si="55"/>
        <v>2</v>
      </c>
      <c r="Y49" s="18"/>
      <c r="Z49" s="50">
        <v>72.45</v>
      </c>
      <c r="AA49" s="50">
        <f t="shared" si="56"/>
        <v>7245</v>
      </c>
      <c r="AC49" s="77">
        <v>1.07</v>
      </c>
      <c r="AD49" s="77">
        <f t="shared" si="57"/>
        <v>107</v>
      </c>
      <c r="AE49" s="45">
        <f t="shared" si="58"/>
        <v>0</v>
      </c>
      <c r="AF49" s="50">
        <f t="shared" si="59"/>
        <v>0</v>
      </c>
    </row>
    <row r="50" spans="1:32" ht="25.5" x14ac:dyDescent="0.2">
      <c r="A50" s="57" t="s">
        <v>328</v>
      </c>
      <c r="B50" s="109" t="s">
        <v>299</v>
      </c>
      <c r="C50" s="90">
        <v>90448800</v>
      </c>
      <c r="D50" s="82" t="s">
        <v>260</v>
      </c>
      <c r="E50" s="82" t="s">
        <v>83</v>
      </c>
      <c r="F50" s="86" t="s">
        <v>216</v>
      </c>
      <c r="G50" s="58" t="s">
        <v>178</v>
      </c>
      <c r="H50" s="58">
        <v>1200</v>
      </c>
      <c r="I50" s="58">
        <v>5</v>
      </c>
      <c r="J50" s="58">
        <v>25</v>
      </c>
      <c r="K50" s="4" t="s">
        <v>287</v>
      </c>
      <c r="L50" s="61" t="s">
        <v>191</v>
      </c>
      <c r="M50" s="62">
        <v>3917.22</v>
      </c>
      <c r="N50" s="16">
        <v>50</v>
      </c>
      <c r="O50" s="16">
        <f t="shared" si="50"/>
        <v>2</v>
      </c>
      <c r="Q50" s="66">
        <v>0.13</v>
      </c>
      <c r="R50" s="66">
        <f t="shared" si="51"/>
        <v>0.26</v>
      </c>
      <c r="S50" s="18"/>
      <c r="T50" s="57">
        <f t="shared" si="52"/>
        <v>5</v>
      </c>
      <c r="U50" s="58">
        <f t="shared" si="52"/>
        <v>25</v>
      </c>
      <c r="V50" s="57">
        <f t="shared" si="53"/>
        <v>30</v>
      </c>
      <c r="W50" s="16">
        <f t="shared" si="54"/>
        <v>63</v>
      </c>
      <c r="X50" s="16">
        <f t="shared" si="55"/>
        <v>1</v>
      </c>
      <c r="Y50" s="18"/>
      <c r="Z50" s="50">
        <v>181.8</v>
      </c>
      <c r="AA50" s="50">
        <f t="shared" si="56"/>
        <v>9090</v>
      </c>
      <c r="AC50" s="77">
        <v>2.69</v>
      </c>
      <c r="AD50" s="77">
        <f t="shared" si="57"/>
        <v>134.5</v>
      </c>
      <c r="AE50" s="45">
        <f t="shared" si="58"/>
        <v>0</v>
      </c>
      <c r="AF50" s="50">
        <f t="shared" si="59"/>
        <v>0</v>
      </c>
    </row>
    <row r="51" spans="1:32" ht="25.5" x14ac:dyDescent="0.2">
      <c r="A51" s="57" t="s">
        <v>329</v>
      </c>
      <c r="B51" s="109" t="s">
        <v>299</v>
      </c>
      <c r="C51" s="90">
        <v>90448820</v>
      </c>
      <c r="D51" s="82" t="s">
        <v>284</v>
      </c>
      <c r="E51" s="82" t="s">
        <v>285</v>
      </c>
      <c r="F51" s="86" t="s">
        <v>216</v>
      </c>
      <c r="G51" s="58" t="s">
        <v>178</v>
      </c>
      <c r="H51" s="58">
        <v>1800</v>
      </c>
      <c r="I51" s="58">
        <v>5</v>
      </c>
      <c r="J51" s="58">
        <v>20</v>
      </c>
      <c r="K51" s="4" t="s">
        <v>288</v>
      </c>
      <c r="L51" s="61" t="s">
        <v>286</v>
      </c>
      <c r="M51" s="62">
        <v>3917.22</v>
      </c>
      <c r="N51" s="16">
        <v>60</v>
      </c>
      <c r="O51" s="16">
        <f t="shared" si="50"/>
        <v>3</v>
      </c>
      <c r="Q51" s="66">
        <v>0.13</v>
      </c>
      <c r="R51" s="66">
        <f t="shared" si="51"/>
        <v>0.39</v>
      </c>
      <c r="S51" s="18"/>
      <c r="T51" s="57">
        <f t="shared" si="52"/>
        <v>5</v>
      </c>
      <c r="U51" s="58">
        <f t="shared" si="52"/>
        <v>20</v>
      </c>
      <c r="V51" s="57">
        <f t="shared" si="53"/>
        <v>25</v>
      </c>
      <c r="W51" s="16">
        <f t="shared" si="54"/>
        <v>78.75</v>
      </c>
      <c r="X51" s="16">
        <f t="shared" si="55"/>
        <v>1</v>
      </c>
      <c r="Y51" s="18"/>
      <c r="Z51" s="50">
        <v>272.7</v>
      </c>
      <c r="AA51" s="50">
        <f t="shared" si="56"/>
        <v>16362</v>
      </c>
      <c r="AC51" s="77">
        <v>4.0199999999999996</v>
      </c>
      <c r="AD51" s="77">
        <f t="shared" si="57"/>
        <v>241.2</v>
      </c>
      <c r="AE51" s="45">
        <f t="shared" si="58"/>
        <v>0</v>
      </c>
      <c r="AF51" s="50">
        <f t="shared" si="59"/>
        <v>0</v>
      </c>
    </row>
    <row r="52" spans="1:32" x14ac:dyDescent="0.2">
      <c r="A52" s="57"/>
      <c r="B52" s="110"/>
      <c r="C52" s="23" t="s">
        <v>44</v>
      </c>
      <c r="D52" s="1"/>
      <c r="E52" s="1"/>
      <c r="F52" s="56"/>
      <c r="G52" s="88"/>
      <c r="H52" s="57"/>
      <c r="I52" s="57"/>
      <c r="J52" s="57"/>
      <c r="K52" s="82"/>
      <c r="L52" s="61"/>
      <c r="M52" s="61"/>
      <c r="N52" s="16"/>
      <c r="O52" s="16"/>
      <c r="Q52" s="16"/>
      <c r="R52" s="66"/>
      <c r="S52" s="18"/>
      <c r="T52" s="57"/>
      <c r="U52" s="57"/>
      <c r="V52" s="58"/>
      <c r="W52" s="16"/>
      <c r="X52" s="16"/>
      <c r="Y52" s="18"/>
      <c r="Z52" s="50"/>
      <c r="AA52" s="50"/>
      <c r="AC52" s="77"/>
      <c r="AD52" s="77"/>
      <c r="AE52" s="45"/>
      <c r="AF52" s="50"/>
    </row>
    <row r="53" spans="1:32" ht="25.5" x14ac:dyDescent="0.2">
      <c r="A53" s="57" t="s">
        <v>330</v>
      </c>
      <c r="B53" s="108" t="s">
        <v>296</v>
      </c>
      <c r="C53" s="89" t="s">
        <v>261</v>
      </c>
      <c r="D53" s="2" t="s">
        <v>261</v>
      </c>
      <c r="E53" s="2" t="s">
        <v>96</v>
      </c>
      <c r="F53" s="53" t="s">
        <v>216</v>
      </c>
      <c r="G53" s="58">
        <v>25</v>
      </c>
      <c r="H53" s="57">
        <v>600</v>
      </c>
      <c r="I53" s="57">
        <v>10</v>
      </c>
      <c r="J53" s="57">
        <v>50</v>
      </c>
      <c r="K53" s="4" t="s">
        <v>133</v>
      </c>
      <c r="L53" s="61" t="s">
        <v>32</v>
      </c>
      <c r="M53" s="62">
        <v>3917.22</v>
      </c>
      <c r="N53" s="16">
        <v>100</v>
      </c>
      <c r="O53" s="16">
        <f t="shared" ref="O53:O57" si="60">$N53/$J53</f>
        <v>2</v>
      </c>
      <c r="Q53" s="66">
        <v>0.04</v>
      </c>
      <c r="R53" s="66">
        <f t="shared" ref="R53:R57" si="61">$O53*$Q53</f>
        <v>0.08</v>
      </c>
      <c r="S53" s="18"/>
      <c r="T53" s="57">
        <f t="shared" ref="T53:U57" si="62">I53</f>
        <v>10</v>
      </c>
      <c r="U53" s="57">
        <f t="shared" si="62"/>
        <v>50</v>
      </c>
      <c r="V53" s="57">
        <f t="shared" ref="V53:V57" si="63">U53+T53</f>
        <v>60</v>
      </c>
      <c r="W53" s="16">
        <f t="shared" ref="W53:W57" si="64">$O53*$V53*1.05</f>
        <v>126</v>
      </c>
      <c r="X53" s="16">
        <f t="shared" ref="X53:X57" si="65">ROUNDUP($W53/125,)</f>
        <v>2</v>
      </c>
      <c r="Y53" s="18"/>
      <c r="Z53" s="50">
        <v>42.93</v>
      </c>
      <c r="AA53" s="50">
        <f t="shared" ref="AA53:AA57" si="66">Z53*$N53</f>
        <v>4293</v>
      </c>
      <c r="AC53" s="77">
        <v>0.6</v>
      </c>
      <c r="AD53" s="77">
        <f t="shared" ref="AD53:AD57" si="67">$N53*AC53</f>
        <v>60</v>
      </c>
      <c r="AE53" s="45">
        <f t="shared" ref="AE53:AE57" si="68">AF53/N53</f>
        <v>0</v>
      </c>
      <c r="AF53" s="50">
        <f t="shared" ref="AF53:AF57" si="69">AD53*$AF$4</f>
        <v>0</v>
      </c>
    </row>
    <row r="54" spans="1:32" ht="25.5" x14ac:dyDescent="0.2">
      <c r="A54" s="57" t="s">
        <v>349</v>
      </c>
      <c r="B54" s="109" t="s">
        <v>334</v>
      </c>
      <c r="C54" s="90">
        <v>90445600</v>
      </c>
      <c r="D54" s="82" t="s">
        <v>262</v>
      </c>
      <c r="E54" s="82" t="s">
        <v>96</v>
      </c>
      <c r="F54" s="86" t="s">
        <v>216</v>
      </c>
      <c r="G54" s="58" t="s">
        <v>175</v>
      </c>
      <c r="H54" s="57">
        <v>600</v>
      </c>
      <c r="I54" s="57">
        <v>10</v>
      </c>
      <c r="J54" s="57">
        <v>50</v>
      </c>
      <c r="K54" s="4" t="s">
        <v>193</v>
      </c>
      <c r="L54" s="61" t="s">
        <v>190</v>
      </c>
      <c r="M54" s="62">
        <v>3917.22</v>
      </c>
      <c r="N54" s="16">
        <v>500</v>
      </c>
      <c r="O54" s="16">
        <f t="shared" si="60"/>
        <v>10</v>
      </c>
      <c r="Q54" s="66">
        <v>0.04</v>
      </c>
      <c r="R54" s="66">
        <f t="shared" si="61"/>
        <v>0.4</v>
      </c>
      <c r="S54" s="18"/>
      <c r="T54" s="57">
        <f t="shared" si="62"/>
        <v>10</v>
      </c>
      <c r="U54" s="57">
        <f t="shared" si="62"/>
        <v>50</v>
      </c>
      <c r="V54" s="57">
        <f t="shared" si="63"/>
        <v>60</v>
      </c>
      <c r="W54" s="16">
        <f t="shared" si="64"/>
        <v>630</v>
      </c>
      <c r="X54" s="16">
        <f t="shared" si="65"/>
        <v>6</v>
      </c>
      <c r="Y54" s="18"/>
      <c r="Z54" s="50">
        <v>42.93</v>
      </c>
      <c r="AA54" s="50">
        <f t="shared" si="66"/>
        <v>21465</v>
      </c>
      <c r="AC54" s="77">
        <v>0.63</v>
      </c>
      <c r="AD54" s="77">
        <f t="shared" si="67"/>
        <v>315</v>
      </c>
      <c r="AE54" s="45">
        <f t="shared" si="68"/>
        <v>0</v>
      </c>
      <c r="AF54" s="50">
        <f t="shared" si="69"/>
        <v>0</v>
      </c>
    </row>
    <row r="55" spans="1:32" ht="25.5" x14ac:dyDescent="0.2">
      <c r="A55" s="57" t="s">
        <v>331</v>
      </c>
      <c r="B55" s="108" t="s">
        <v>296</v>
      </c>
      <c r="C55" s="90">
        <v>90445700</v>
      </c>
      <c r="D55" s="82" t="s">
        <v>263</v>
      </c>
      <c r="E55" s="82" t="s">
        <v>179</v>
      </c>
      <c r="F55" s="86" t="s">
        <v>216</v>
      </c>
      <c r="G55" s="58" t="s">
        <v>175</v>
      </c>
      <c r="H55" s="57">
        <v>750</v>
      </c>
      <c r="I55" s="57">
        <v>10</v>
      </c>
      <c r="J55" s="57">
        <v>50</v>
      </c>
      <c r="K55" s="4" t="s">
        <v>194</v>
      </c>
      <c r="L55" s="61" t="s">
        <v>192</v>
      </c>
      <c r="M55" s="62">
        <v>3917.22</v>
      </c>
      <c r="N55" s="16">
        <v>200</v>
      </c>
      <c r="O55" s="16">
        <f t="shared" si="60"/>
        <v>4</v>
      </c>
      <c r="Q55" s="66">
        <v>0.04</v>
      </c>
      <c r="R55" s="66">
        <f t="shared" si="61"/>
        <v>0.16</v>
      </c>
      <c r="S55" s="18"/>
      <c r="T55" s="57">
        <f t="shared" si="62"/>
        <v>10</v>
      </c>
      <c r="U55" s="57">
        <f t="shared" si="62"/>
        <v>50</v>
      </c>
      <c r="V55" s="57">
        <f t="shared" si="63"/>
        <v>60</v>
      </c>
      <c r="W55" s="16">
        <f t="shared" si="64"/>
        <v>252</v>
      </c>
      <c r="X55" s="16">
        <f t="shared" si="65"/>
        <v>3</v>
      </c>
      <c r="Y55" s="18"/>
      <c r="Z55" s="50">
        <v>52.02</v>
      </c>
      <c r="AA55" s="50">
        <f t="shared" si="66"/>
        <v>10404</v>
      </c>
      <c r="AC55" s="77">
        <v>0.77</v>
      </c>
      <c r="AD55" s="77">
        <f t="shared" si="67"/>
        <v>154</v>
      </c>
      <c r="AE55" s="45">
        <f t="shared" si="68"/>
        <v>0</v>
      </c>
      <c r="AF55" s="50">
        <f t="shared" si="69"/>
        <v>0</v>
      </c>
    </row>
    <row r="56" spans="1:32" ht="25.5" x14ac:dyDescent="0.2">
      <c r="A56" s="57" t="s">
        <v>332</v>
      </c>
      <c r="B56" s="108" t="s">
        <v>296</v>
      </c>
      <c r="C56" s="89" t="s">
        <v>264</v>
      </c>
      <c r="D56" s="2" t="s">
        <v>264</v>
      </c>
      <c r="E56" s="2" t="s">
        <v>97</v>
      </c>
      <c r="F56" s="53" t="s">
        <v>216</v>
      </c>
      <c r="G56" s="58">
        <v>25</v>
      </c>
      <c r="H56" s="57">
        <v>900</v>
      </c>
      <c r="I56" s="57">
        <v>10</v>
      </c>
      <c r="J56" s="57">
        <v>50</v>
      </c>
      <c r="K56" s="4" t="s">
        <v>134</v>
      </c>
      <c r="L56" s="61" t="s">
        <v>43</v>
      </c>
      <c r="M56" s="62">
        <v>3917.22</v>
      </c>
      <c r="N56" s="16">
        <v>200</v>
      </c>
      <c r="O56" s="16">
        <f t="shared" si="60"/>
        <v>4</v>
      </c>
      <c r="Q56" s="66">
        <v>0.06</v>
      </c>
      <c r="R56" s="66">
        <f t="shared" si="61"/>
        <v>0.24</v>
      </c>
      <c r="S56" s="18"/>
      <c r="T56" s="57">
        <f t="shared" si="62"/>
        <v>10</v>
      </c>
      <c r="U56" s="57">
        <f t="shared" si="62"/>
        <v>50</v>
      </c>
      <c r="V56" s="57">
        <f t="shared" si="63"/>
        <v>60</v>
      </c>
      <c r="W56" s="16">
        <f t="shared" si="64"/>
        <v>252</v>
      </c>
      <c r="X56" s="16">
        <f t="shared" si="65"/>
        <v>3</v>
      </c>
      <c r="Y56" s="18"/>
      <c r="Z56" s="50">
        <v>61.02</v>
      </c>
      <c r="AA56" s="50">
        <f t="shared" si="66"/>
        <v>12204</v>
      </c>
      <c r="AC56" s="77">
        <v>0.86</v>
      </c>
      <c r="AD56" s="77">
        <f t="shared" si="67"/>
        <v>172</v>
      </c>
      <c r="AE56" s="45">
        <f t="shared" si="68"/>
        <v>0</v>
      </c>
      <c r="AF56" s="50">
        <f t="shared" si="69"/>
        <v>0</v>
      </c>
    </row>
    <row r="57" spans="1:32" ht="25.5" x14ac:dyDescent="0.2">
      <c r="A57" s="57" t="s">
        <v>333</v>
      </c>
      <c r="B57" s="108" t="s">
        <v>296</v>
      </c>
      <c r="C57" s="90">
        <v>90445800</v>
      </c>
      <c r="D57" s="82" t="s">
        <v>265</v>
      </c>
      <c r="E57" s="82" t="s">
        <v>97</v>
      </c>
      <c r="F57" s="86" t="s">
        <v>216</v>
      </c>
      <c r="G57" s="58" t="s">
        <v>175</v>
      </c>
      <c r="H57" s="57">
        <v>900</v>
      </c>
      <c r="I57" s="57">
        <v>10</v>
      </c>
      <c r="J57" s="57">
        <v>50</v>
      </c>
      <c r="K57" s="4" t="s">
        <v>212</v>
      </c>
      <c r="L57" s="61" t="s">
        <v>213</v>
      </c>
      <c r="M57" s="62">
        <v>3917.22</v>
      </c>
      <c r="N57" s="16">
        <v>200</v>
      </c>
      <c r="O57" s="16">
        <f t="shared" si="60"/>
        <v>4</v>
      </c>
      <c r="Q57" s="66">
        <v>0.06</v>
      </c>
      <c r="R57" s="66">
        <f t="shared" si="61"/>
        <v>0.24</v>
      </c>
      <c r="S57" s="18"/>
      <c r="T57" s="57">
        <f t="shared" si="62"/>
        <v>10</v>
      </c>
      <c r="U57" s="57">
        <f t="shared" si="62"/>
        <v>50</v>
      </c>
      <c r="V57" s="57">
        <f t="shared" si="63"/>
        <v>60</v>
      </c>
      <c r="W57" s="16">
        <f t="shared" si="64"/>
        <v>252</v>
      </c>
      <c r="X57" s="16">
        <f t="shared" si="65"/>
        <v>3</v>
      </c>
      <c r="Y57" s="18"/>
      <c r="Z57" s="50">
        <v>61.02</v>
      </c>
      <c r="AA57" s="50">
        <f t="shared" si="66"/>
        <v>12204</v>
      </c>
      <c r="AC57" s="77">
        <v>0.89</v>
      </c>
      <c r="AD57" s="77">
        <f t="shared" si="67"/>
        <v>178</v>
      </c>
      <c r="AE57" s="45">
        <f t="shared" si="68"/>
        <v>0</v>
      </c>
      <c r="AF57" s="50">
        <f t="shared" si="69"/>
        <v>0</v>
      </c>
    </row>
    <row r="58" spans="1:32" x14ac:dyDescent="0.2">
      <c r="C58" s="28"/>
      <c r="D58" s="26"/>
      <c r="E58" s="27"/>
      <c r="F58" s="28"/>
      <c r="G58" s="29"/>
      <c r="H58" s="29"/>
      <c r="I58" s="29"/>
      <c r="J58" s="29"/>
      <c r="K58" s="30"/>
      <c r="L58" s="86" t="s">
        <v>100</v>
      </c>
      <c r="M58" s="86"/>
      <c r="N58" s="1">
        <f>SUBTOTAL(9,N5:N57)</f>
        <v>40395</v>
      </c>
      <c r="O58" s="1">
        <f>SUBTOTAL(9,O5:O57)</f>
        <v>308</v>
      </c>
      <c r="Q58" s="16"/>
      <c r="R58" s="67">
        <f>SUBTOTAL(9,R5:R57)</f>
        <v>17.559999999999992</v>
      </c>
      <c r="S58" s="31"/>
      <c r="T58" s="16"/>
      <c r="U58" s="16"/>
      <c r="V58" s="16"/>
      <c r="W58" s="1">
        <f>SUBTOTAL(9,W5:W57)</f>
        <v>45444</v>
      </c>
      <c r="X58" s="1">
        <f>SUBTOTAL(9,X5:X57)</f>
        <v>388</v>
      </c>
      <c r="Y58" s="31"/>
      <c r="Z58" s="50"/>
      <c r="AA58" s="52">
        <f>SUBTOTAL(9,AA5:AA57)</f>
        <v>943795.3</v>
      </c>
      <c r="AC58" s="16"/>
      <c r="AD58" s="78">
        <f>SUBTOTAL(9,AD5:AD57)</f>
        <v>13313.75</v>
      </c>
      <c r="AE58" s="46"/>
      <c r="AF58" s="52">
        <f>SUBTOTAL(9,AF5:AF57)</f>
        <v>0</v>
      </c>
    </row>
    <row r="59" spans="1:32" x14ac:dyDescent="0.2">
      <c r="C59" s="35"/>
      <c r="D59" s="33"/>
      <c r="E59" s="34"/>
      <c r="F59" s="35"/>
      <c r="G59" s="36"/>
      <c r="H59" s="36"/>
      <c r="I59" s="36"/>
      <c r="J59" s="36"/>
      <c r="K59" s="33"/>
      <c r="L59" s="56"/>
      <c r="M59" s="56"/>
      <c r="N59" s="37"/>
      <c r="O59" s="37"/>
      <c r="P59" s="17"/>
      <c r="Q59" s="3"/>
      <c r="R59" s="7"/>
      <c r="S59" s="38"/>
      <c r="T59" s="16"/>
      <c r="U59" s="16"/>
      <c r="V59" s="16"/>
      <c r="W59" s="1"/>
      <c r="X59" s="1"/>
      <c r="Y59" s="38"/>
      <c r="Z59" s="7"/>
      <c r="AA59" s="16"/>
      <c r="AC59" s="16"/>
      <c r="AD59" s="16"/>
      <c r="AE59" s="45"/>
      <c r="AF59" s="50"/>
    </row>
    <row r="60" spans="1:32" x14ac:dyDescent="0.2">
      <c r="C60" s="15" t="s">
        <v>45</v>
      </c>
      <c r="D60" s="15" t="s">
        <v>45</v>
      </c>
      <c r="E60" s="15" t="s">
        <v>45</v>
      </c>
      <c r="F60" s="23"/>
      <c r="G60" s="86" t="s">
        <v>40</v>
      </c>
      <c r="H60" s="86" t="s">
        <v>46</v>
      </c>
      <c r="I60" s="112" t="s">
        <v>48</v>
      </c>
      <c r="J60" s="113"/>
      <c r="K60" s="16"/>
      <c r="L60" s="57"/>
      <c r="M60" s="57"/>
      <c r="N60" s="3"/>
      <c r="O60" s="3"/>
      <c r="P60" s="17"/>
      <c r="Q60" s="3"/>
      <c r="R60" s="7"/>
      <c r="S60" s="13"/>
      <c r="T60" s="16"/>
      <c r="U60" s="16"/>
      <c r="V60" s="16"/>
      <c r="W60" s="1"/>
      <c r="X60" s="16"/>
      <c r="Y60" s="13"/>
      <c r="Z60" s="111" t="s">
        <v>140</v>
      </c>
      <c r="AA60" s="111"/>
      <c r="AC60" s="111" t="s">
        <v>148</v>
      </c>
      <c r="AD60" s="111"/>
      <c r="AE60" s="47"/>
      <c r="AF60" s="51"/>
    </row>
    <row r="61" spans="1:32" x14ac:dyDescent="0.2">
      <c r="C61" s="82"/>
      <c r="D61" s="82"/>
      <c r="E61" s="82"/>
      <c r="F61" s="82"/>
      <c r="G61" s="86"/>
      <c r="H61" s="86"/>
      <c r="I61" s="86" t="s">
        <v>47</v>
      </c>
      <c r="J61" s="86" t="s">
        <v>49</v>
      </c>
      <c r="K61" s="16"/>
      <c r="L61" s="61"/>
      <c r="M61" s="61"/>
      <c r="N61" s="86" t="s">
        <v>49</v>
      </c>
      <c r="O61" s="86" t="s">
        <v>283</v>
      </c>
      <c r="P61" s="87" t="s">
        <v>105</v>
      </c>
      <c r="Q61" s="3"/>
      <c r="R61" s="7"/>
      <c r="S61" s="9"/>
      <c r="T61" s="16"/>
      <c r="U61" s="16"/>
      <c r="V61" s="16"/>
      <c r="W61" s="16"/>
      <c r="X61" s="16"/>
      <c r="Y61" s="9"/>
      <c r="Z61" s="86" t="s">
        <v>141</v>
      </c>
      <c r="AA61" s="86" t="s">
        <v>142</v>
      </c>
      <c r="AC61" s="1" t="s">
        <v>146</v>
      </c>
      <c r="AD61" s="1" t="s">
        <v>147</v>
      </c>
      <c r="AE61" s="46"/>
      <c r="AF61" s="52"/>
    </row>
    <row r="62" spans="1:32" x14ac:dyDescent="0.2">
      <c r="C62" s="6" t="s">
        <v>114</v>
      </c>
      <c r="D62" s="6" t="s">
        <v>114</v>
      </c>
      <c r="E62" s="6" t="s">
        <v>90</v>
      </c>
      <c r="F62" s="53" t="s">
        <v>218</v>
      </c>
      <c r="G62" s="57">
        <v>13</v>
      </c>
      <c r="H62" s="57">
        <v>5</v>
      </c>
      <c r="I62" s="57">
        <v>10</v>
      </c>
      <c r="J62" s="57">
        <v>50</v>
      </c>
      <c r="K62" s="1" t="s">
        <v>56</v>
      </c>
      <c r="L62" s="61" t="s">
        <v>50</v>
      </c>
      <c r="M62" s="64">
        <v>3917.3290000000002</v>
      </c>
      <c r="N62" s="16">
        <f t="shared" ref="N62:N67" si="70">$P62*$H62</f>
        <v>0</v>
      </c>
      <c r="O62" s="16">
        <f t="shared" ref="O62:O67" si="71">$N62/$J62</f>
        <v>0</v>
      </c>
      <c r="P62" s="65"/>
      <c r="Q62" s="66">
        <v>7.0000000000000007E-2</v>
      </c>
      <c r="R62" s="66">
        <f t="shared" ref="R62:R67" si="72">$O62*$Q62</f>
        <v>0</v>
      </c>
      <c r="S62" s="18"/>
      <c r="T62" s="57"/>
      <c r="U62" s="57">
        <v>20</v>
      </c>
      <c r="V62" s="57">
        <f t="shared" ref="V62:V67" si="73">U62+T62</f>
        <v>20</v>
      </c>
      <c r="W62" s="16">
        <f t="shared" ref="W62:W67" si="74">$O62*$V62*1.05</f>
        <v>0</v>
      </c>
      <c r="X62" s="16">
        <f t="shared" ref="X62:X67" si="75">ROUNDUP($W62/110,)</f>
        <v>0</v>
      </c>
      <c r="Y62" s="18"/>
      <c r="Z62" s="50">
        <v>24.3</v>
      </c>
      <c r="AA62" s="50">
        <f t="shared" ref="AA62:AA67" si="76">Z62*$N62</f>
        <v>0</v>
      </c>
      <c r="AC62" s="77"/>
      <c r="AD62" s="77">
        <f t="shared" ref="AD62:AD67" si="77">$N62*AC62</f>
        <v>0</v>
      </c>
      <c r="AE62" s="45" t="e">
        <f t="shared" ref="AE62:AE67" si="78">AF62/N62</f>
        <v>#DIV/0!</v>
      </c>
      <c r="AF62" s="50">
        <f t="shared" ref="AF62:AF67" si="79">AD62*$AF$4</f>
        <v>0</v>
      </c>
    </row>
    <row r="63" spans="1:32" x14ac:dyDescent="0.2">
      <c r="C63" s="6" t="s">
        <v>115</v>
      </c>
      <c r="D63" s="6" t="s">
        <v>115</v>
      </c>
      <c r="E63" s="6" t="s">
        <v>91</v>
      </c>
      <c r="F63" s="53" t="s">
        <v>218</v>
      </c>
      <c r="G63" s="57">
        <v>13</v>
      </c>
      <c r="H63" s="57">
        <v>10</v>
      </c>
      <c r="I63" s="57">
        <v>5</v>
      </c>
      <c r="J63" s="57">
        <v>50</v>
      </c>
      <c r="K63" s="1" t="s">
        <v>57</v>
      </c>
      <c r="L63" s="61" t="s">
        <v>51</v>
      </c>
      <c r="M63" s="64">
        <v>3917.3290000000002</v>
      </c>
      <c r="N63" s="16">
        <f t="shared" si="70"/>
        <v>0</v>
      </c>
      <c r="O63" s="16">
        <f t="shared" si="71"/>
        <v>0</v>
      </c>
      <c r="P63" s="65"/>
      <c r="Q63" s="66">
        <v>7.0000000000000007E-2</v>
      </c>
      <c r="R63" s="66">
        <f t="shared" si="72"/>
        <v>0</v>
      </c>
      <c r="S63" s="18"/>
      <c r="T63" s="57"/>
      <c r="U63" s="57">
        <v>10</v>
      </c>
      <c r="V63" s="57">
        <f t="shared" si="73"/>
        <v>10</v>
      </c>
      <c r="W63" s="16">
        <f t="shared" si="74"/>
        <v>0</v>
      </c>
      <c r="X63" s="16">
        <f t="shared" si="75"/>
        <v>0</v>
      </c>
      <c r="Y63" s="18"/>
      <c r="Z63" s="50">
        <v>24.3</v>
      </c>
      <c r="AA63" s="50">
        <f t="shared" si="76"/>
        <v>0</v>
      </c>
      <c r="AC63" s="77"/>
      <c r="AD63" s="77">
        <f t="shared" si="77"/>
        <v>0</v>
      </c>
      <c r="AE63" s="45" t="e">
        <f t="shared" si="78"/>
        <v>#DIV/0!</v>
      </c>
      <c r="AF63" s="50">
        <f t="shared" si="79"/>
        <v>0</v>
      </c>
    </row>
    <row r="64" spans="1:32" x14ac:dyDescent="0.2">
      <c r="C64" s="6" t="s">
        <v>116</v>
      </c>
      <c r="D64" s="6" t="s">
        <v>116</v>
      </c>
      <c r="E64" s="6" t="s">
        <v>92</v>
      </c>
      <c r="F64" s="53" t="s">
        <v>218</v>
      </c>
      <c r="G64" s="57">
        <v>13</v>
      </c>
      <c r="H64" s="57">
        <v>25</v>
      </c>
      <c r="I64" s="57">
        <v>5</v>
      </c>
      <c r="J64" s="57">
        <v>125</v>
      </c>
      <c r="K64" s="1" t="s">
        <v>58</v>
      </c>
      <c r="L64" s="61" t="s">
        <v>52</v>
      </c>
      <c r="M64" s="64">
        <v>3917.3290000000002</v>
      </c>
      <c r="N64" s="16">
        <f t="shared" si="70"/>
        <v>0</v>
      </c>
      <c r="O64" s="16">
        <f t="shared" si="71"/>
        <v>0</v>
      </c>
      <c r="P64" s="65"/>
      <c r="Q64" s="66">
        <v>0.09</v>
      </c>
      <c r="R64" s="66">
        <f t="shared" si="72"/>
        <v>0</v>
      </c>
      <c r="S64" s="18"/>
      <c r="T64" s="57"/>
      <c r="U64" s="57">
        <v>5</v>
      </c>
      <c r="V64" s="57">
        <f t="shared" si="73"/>
        <v>5</v>
      </c>
      <c r="W64" s="16">
        <f t="shared" si="74"/>
        <v>0</v>
      </c>
      <c r="X64" s="16">
        <f t="shared" si="75"/>
        <v>0</v>
      </c>
      <c r="Y64" s="18"/>
      <c r="Z64" s="50">
        <v>24.3</v>
      </c>
      <c r="AA64" s="50">
        <f t="shared" si="76"/>
        <v>0</v>
      </c>
      <c r="AC64" s="77"/>
      <c r="AD64" s="77">
        <f t="shared" si="77"/>
        <v>0</v>
      </c>
      <c r="AE64" s="45" t="e">
        <f t="shared" si="78"/>
        <v>#DIV/0!</v>
      </c>
      <c r="AF64" s="50">
        <f t="shared" si="79"/>
        <v>0</v>
      </c>
    </row>
    <row r="65" spans="3:32" x14ac:dyDescent="0.2">
      <c r="C65" s="6" t="s">
        <v>117</v>
      </c>
      <c r="D65" s="6" t="s">
        <v>117</v>
      </c>
      <c r="E65" s="6" t="s">
        <v>93</v>
      </c>
      <c r="F65" s="53" t="s">
        <v>218</v>
      </c>
      <c r="G65" s="57">
        <v>19</v>
      </c>
      <c r="H65" s="57">
        <v>5</v>
      </c>
      <c r="I65" s="57">
        <v>10</v>
      </c>
      <c r="J65" s="57">
        <v>50</v>
      </c>
      <c r="K65" s="1" t="s">
        <v>59</v>
      </c>
      <c r="L65" s="61" t="s">
        <v>53</v>
      </c>
      <c r="M65" s="64">
        <v>3917.3290000000002</v>
      </c>
      <c r="N65" s="16">
        <f t="shared" si="70"/>
        <v>0</v>
      </c>
      <c r="O65" s="16">
        <f t="shared" si="71"/>
        <v>0</v>
      </c>
      <c r="P65" s="65"/>
      <c r="Q65" s="66">
        <v>0.08</v>
      </c>
      <c r="R65" s="66">
        <f t="shared" si="72"/>
        <v>0</v>
      </c>
      <c r="S65" s="18"/>
      <c r="T65" s="57"/>
      <c r="U65" s="57">
        <v>10</v>
      </c>
      <c r="V65" s="57">
        <f t="shared" si="73"/>
        <v>10</v>
      </c>
      <c r="W65" s="16">
        <f t="shared" si="74"/>
        <v>0</v>
      </c>
      <c r="X65" s="16">
        <f t="shared" si="75"/>
        <v>0</v>
      </c>
      <c r="Y65" s="18"/>
      <c r="Z65" s="50">
        <v>38.700000000000003</v>
      </c>
      <c r="AA65" s="50">
        <f t="shared" si="76"/>
        <v>0</v>
      </c>
      <c r="AC65" s="77"/>
      <c r="AD65" s="77">
        <f t="shared" si="77"/>
        <v>0</v>
      </c>
      <c r="AE65" s="45" t="e">
        <f t="shared" si="78"/>
        <v>#DIV/0!</v>
      </c>
      <c r="AF65" s="50">
        <f t="shared" si="79"/>
        <v>0</v>
      </c>
    </row>
    <row r="66" spans="3:32" x14ac:dyDescent="0.2">
      <c r="C66" s="6" t="s">
        <v>118</v>
      </c>
      <c r="D66" s="6" t="s">
        <v>118</v>
      </c>
      <c r="E66" s="6" t="s">
        <v>94</v>
      </c>
      <c r="F66" s="53" t="s">
        <v>218</v>
      </c>
      <c r="G66" s="57">
        <v>19</v>
      </c>
      <c r="H66" s="57">
        <v>10</v>
      </c>
      <c r="I66" s="57">
        <v>5</v>
      </c>
      <c r="J66" s="57">
        <v>50</v>
      </c>
      <c r="K66" s="1" t="s">
        <v>60</v>
      </c>
      <c r="L66" s="61" t="s">
        <v>54</v>
      </c>
      <c r="M66" s="64">
        <v>3917.3290000000002</v>
      </c>
      <c r="N66" s="16">
        <f t="shared" si="70"/>
        <v>0</v>
      </c>
      <c r="O66" s="16">
        <f t="shared" si="71"/>
        <v>0</v>
      </c>
      <c r="P66" s="65"/>
      <c r="Q66" s="66">
        <v>0.08</v>
      </c>
      <c r="R66" s="66">
        <f t="shared" si="72"/>
        <v>0</v>
      </c>
      <c r="S66" s="18"/>
      <c r="T66" s="57"/>
      <c r="U66" s="57">
        <v>5</v>
      </c>
      <c r="V66" s="57">
        <f t="shared" si="73"/>
        <v>5</v>
      </c>
      <c r="W66" s="16">
        <f t="shared" si="74"/>
        <v>0</v>
      </c>
      <c r="X66" s="16">
        <f t="shared" si="75"/>
        <v>0</v>
      </c>
      <c r="Y66" s="18"/>
      <c r="Z66" s="50">
        <v>38.700000000000003</v>
      </c>
      <c r="AA66" s="50">
        <f t="shared" si="76"/>
        <v>0</v>
      </c>
      <c r="AC66" s="77"/>
      <c r="AD66" s="77">
        <f t="shared" si="77"/>
        <v>0</v>
      </c>
      <c r="AE66" s="45" t="e">
        <f t="shared" si="78"/>
        <v>#DIV/0!</v>
      </c>
      <c r="AF66" s="50">
        <f t="shared" si="79"/>
        <v>0</v>
      </c>
    </row>
    <row r="67" spans="3:32" x14ac:dyDescent="0.2">
      <c r="C67" s="6" t="s">
        <v>119</v>
      </c>
      <c r="D67" s="6" t="s">
        <v>119</v>
      </c>
      <c r="E67" s="6" t="s">
        <v>95</v>
      </c>
      <c r="F67" s="53" t="s">
        <v>218</v>
      </c>
      <c r="G67" s="57">
        <v>19</v>
      </c>
      <c r="H67" s="57">
        <v>25</v>
      </c>
      <c r="I67" s="57">
        <v>5</v>
      </c>
      <c r="J67" s="57">
        <v>125</v>
      </c>
      <c r="K67" s="1" t="s">
        <v>61</v>
      </c>
      <c r="L67" s="61" t="s">
        <v>55</v>
      </c>
      <c r="M67" s="64">
        <v>3917.3290000000002</v>
      </c>
      <c r="N67" s="16">
        <f t="shared" si="70"/>
        <v>0</v>
      </c>
      <c r="O67" s="16">
        <f t="shared" si="71"/>
        <v>0</v>
      </c>
      <c r="P67" s="65"/>
      <c r="Q67" s="66">
        <v>0.15</v>
      </c>
      <c r="R67" s="66">
        <f t="shared" si="72"/>
        <v>0</v>
      </c>
      <c r="S67" s="18"/>
      <c r="T67" s="57"/>
      <c r="U67" s="57">
        <v>5</v>
      </c>
      <c r="V67" s="57">
        <f t="shared" si="73"/>
        <v>5</v>
      </c>
      <c r="W67" s="16">
        <f t="shared" si="74"/>
        <v>0</v>
      </c>
      <c r="X67" s="16">
        <f t="shared" si="75"/>
        <v>0</v>
      </c>
      <c r="Y67" s="18"/>
      <c r="Z67" s="50">
        <v>38.700000000000003</v>
      </c>
      <c r="AA67" s="50">
        <f t="shared" si="76"/>
        <v>0</v>
      </c>
      <c r="AC67" s="77"/>
      <c r="AD67" s="77">
        <f t="shared" si="77"/>
        <v>0</v>
      </c>
      <c r="AE67" s="45" t="e">
        <f t="shared" si="78"/>
        <v>#DIV/0!</v>
      </c>
      <c r="AF67" s="50">
        <f t="shared" si="79"/>
        <v>0</v>
      </c>
    </row>
    <row r="68" spans="3:32" x14ac:dyDescent="0.2">
      <c r="E68" s="12"/>
      <c r="L68" s="1" t="s">
        <v>100</v>
      </c>
      <c r="M68" s="1"/>
      <c r="N68" s="1">
        <f>SUBTOTAL(9,N62:N67)</f>
        <v>0</v>
      </c>
      <c r="O68" s="1">
        <f>SUBTOTAL(9,O62:O67)</f>
        <v>0</v>
      </c>
      <c r="P68" s="15">
        <f>SUBTOTAL(9,P62:P67)</f>
        <v>0</v>
      </c>
      <c r="Q68" s="16"/>
      <c r="R68" s="67">
        <f>SUBTOTAL(9,R62:R67)</f>
        <v>0</v>
      </c>
      <c r="S68" s="31"/>
      <c r="T68" s="57"/>
      <c r="U68" s="57"/>
      <c r="V68" s="57"/>
      <c r="W68" s="1">
        <f>SUBTOTAL(9,W62:W67)</f>
        <v>0</v>
      </c>
      <c r="X68" s="1">
        <f>SUBTOTAL(9,X62:X67)</f>
        <v>0</v>
      </c>
      <c r="Y68" s="31"/>
      <c r="Z68" s="50"/>
      <c r="AA68" s="52">
        <f>SUBTOTAL(9,AA62:AA67)</f>
        <v>0</v>
      </c>
      <c r="AC68" s="16"/>
      <c r="AD68" s="78">
        <f>SUBTOTAL(9,AD62:AD67)</f>
        <v>0</v>
      </c>
      <c r="AE68" s="46"/>
      <c r="AF68" s="52">
        <f>SUM(AF62:AF67)</f>
        <v>0</v>
      </c>
    </row>
    <row r="69" spans="3:32" x14ac:dyDescent="0.2">
      <c r="E69" s="12"/>
      <c r="L69" s="1" t="s">
        <v>101</v>
      </c>
      <c r="M69" s="1"/>
      <c r="N69" s="1">
        <f>N68+N58</f>
        <v>40395</v>
      </c>
      <c r="O69" s="1">
        <f>O68+O58</f>
        <v>308</v>
      </c>
      <c r="Q69" s="16"/>
      <c r="R69" s="67">
        <f>R68+R58</f>
        <v>17.559999999999992</v>
      </c>
      <c r="S69" s="31"/>
      <c r="T69" s="74"/>
      <c r="U69" s="74"/>
      <c r="V69" s="74"/>
      <c r="W69" s="70">
        <f>W68+W58</f>
        <v>45444</v>
      </c>
      <c r="X69" s="70">
        <f>X68+X58</f>
        <v>388</v>
      </c>
      <c r="Y69" s="31"/>
      <c r="Z69" s="50"/>
      <c r="AA69" s="52">
        <f>AA68+AA58</f>
        <v>943795.3</v>
      </c>
      <c r="AC69" s="16"/>
      <c r="AD69" s="78">
        <f>AD68+AD58</f>
        <v>13313.75</v>
      </c>
      <c r="AE69" s="46"/>
      <c r="AF69" s="52">
        <f>AF68+AF58</f>
        <v>0</v>
      </c>
    </row>
    <row r="70" spans="3:32" x14ac:dyDescent="0.2">
      <c r="C70" s="40"/>
      <c r="E70" s="39"/>
      <c r="F70" s="40"/>
      <c r="G70" s="17"/>
      <c r="H70" s="17"/>
      <c r="I70" s="17"/>
      <c r="J70" s="17"/>
      <c r="L70" s="22"/>
      <c r="M70" s="22"/>
      <c r="N70" s="37"/>
      <c r="O70" s="37"/>
      <c r="P70" s="17"/>
      <c r="Q70" s="3"/>
      <c r="R70" s="8"/>
      <c r="S70" s="31"/>
      <c r="T70" s="57"/>
      <c r="U70" s="57"/>
      <c r="V70" s="57"/>
      <c r="W70" s="1"/>
      <c r="X70" s="1"/>
      <c r="Y70" s="31"/>
      <c r="Z70" s="7"/>
      <c r="AA70" s="8"/>
      <c r="AC70" s="16"/>
      <c r="AD70" s="32"/>
      <c r="AE70" s="44"/>
      <c r="AF70" s="49"/>
    </row>
    <row r="71" spans="3:32" x14ac:dyDescent="0.2">
      <c r="C71" s="15" t="s">
        <v>187</v>
      </c>
      <c r="D71" s="15"/>
      <c r="E71" s="15"/>
      <c r="F71" s="23"/>
      <c r="G71" s="86" t="s">
        <v>40</v>
      </c>
      <c r="H71" s="86" t="s">
        <v>46</v>
      </c>
      <c r="I71" s="112" t="s">
        <v>48</v>
      </c>
      <c r="J71" s="113"/>
      <c r="K71" s="16"/>
      <c r="L71" s="57"/>
      <c r="M71" s="16"/>
      <c r="N71" s="57"/>
      <c r="O71" s="57"/>
      <c r="P71" s="72"/>
      <c r="Q71" s="57"/>
      <c r="R71" s="73"/>
      <c r="S71" s="43"/>
      <c r="T71" s="57"/>
      <c r="U71" s="57"/>
      <c r="V71" s="57"/>
      <c r="W71" s="1"/>
      <c r="X71" s="16"/>
      <c r="Y71" s="13"/>
      <c r="Z71" s="112" t="s">
        <v>140</v>
      </c>
      <c r="AA71" s="113"/>
      <c r="AC71" s="112" t="s">
        <v>148</v>
      </c>
      <c r="AD71" s="113"/>
      <c r="AE71" s="47"/>
      <c r="AF71" s="51"/>
    </row>
    <row r="72" spans="3:32" x14ac:dyDescent="0.2">
      <c r="C72" s="82"/>
      <c r="D72" s="82"/>
      <c r="E72" s="82"/>
      <c r="F72" s="82"/>
      <c r="G72" s="86"/>
      <c r="H72" s="86"/>
      <c r="I72" s="86" t="s">
        <v>47</v>
      </c>
      <c r="J72" s="86" t="s">
        <v>49</v>
      </c>
      <c r="K72" s="16"/>
      <c r="L72" s="61"/>
      <c r="M72" s="5"/>
      <c r="N72" s="86" t="s">
        <v>49</v>
      </c>
      <c r="O72" s="86" t="s">
        <v>39</v>
      </c>
      <c r="P72" s="87" t="s">
        <v>105</v>
      </c>
      <c r="Q72" s="57"/>
      <c r="R72" s="73"/>
      <c r="S72" s="9"/>
      <c r="T72" s="57"/>
      <c r="U72" s="57"/>
      <c r="V72" s="57"/>
      <c r="W72" s="16"/>
      <c r="X72" s="16"/>
      <c r="Y72" s="9"/>
      <c r="Z72" s="86" t="s">
        <v>141</v>
      </c>
      <c r="AA72" s="86" t="s">
        <v>142</v>
      </c>
      <c r="AC72" s="86" t="s">
        <v>146</v>
      </c>
      <c r="AD72" s="86" t="s">
        <v>147</v>
      </c>
      <c r="AE72" s="47"/>
      <c r="AF72" s="51"/>
    </row>
    <row r="73" spans="3:32" x14ac:dyDescent="0.2">
      <c r="C73" s="6" t="s">
        <v>188</v>
      </c>
      <c r="D73" s="6"/>
      <c r="E73" s="6"/>
      <c r="F73" s="6"/>
      <c r="G73" s="57">
        <v>13</v>
      </c>
      <c r="H73" s="57">
        <v>30</v>
      </c>
      <c r="I73" s="57">
        <v>5</v>
      </c>
      <c r="J73" s="57">
        <v>150</v>
      </c>
      <c r="K73" s="1" t="s">
        <v>189</v>
      </c>
      <c r="L73" s="61"/>
      <c r="M73" s="5"/>
      <c r="N73" s="16">
        <f>$P73*$H73</f>
        <v>0</v>
      </c>
      <c r="O73" s="16">
        <f>$N73/$J73</f>
        <v>0</v>
      </c>
      <c r="P73" s="65"/>
      <c r="Q73" s="66">
        <v>0.12</v>
      </c>
      <c r="R73" s="66">
        <f>$O73*$Q73</f>
        <v>0</v>
      </c>
      <c r="S73" s="18"/>
      <c r="T73" s="57"/>
      <c r="U73" s="57">
        <v>20</v>
      </c>
      <c r="V73" s="57">
        <f t="shared" ref="V73" si="80">U73+T73</f>
        <v>20</v>
      </c>
      <c r="W73" s="16">
        <f>$O73*$V73*1.05</f>
        <v>0</v>
      </c>
      <c r="X73" s="16">
        <f>ROUNDUP($W73/125,)</f>
        <v>0</v>
      </c>
      <c r="Y73" s="18"/>
      <c r="Z73" s="50"/>
      <c r="AA73" s="50">
        <f>Z73*$N73</f>
        <v>0</v>
      </c>
      <c r="AC73" s="77"/>
      <c r="AD73" s="77">
        <f>$N73*AC73</f>
        <v>0</v>
      </c>
      <c r="AE73" s="45" t="e">
        <f>AF73/N73</f>
        <v>#DIV/0!</v>
      </c>
      <c r="AF73" s="50">
        <f>AD73*$AF$4</f>
        <v>0</v>
      </c>
    </row>
    <row r="74" spans="3:32" x14ac:dyDescent="0.2">
      <c r="E74" s="12"/>
      <c r="L74" s="1" t="s">
        <v>100</v>
      </c>
      <c r="M74" s="1"/>
      <c r="N74" s="1">
        <f>SUBTOTAL(9,N73:N73)</f>
        <v>0</v>
      </c>
      <c r="O74" s="1">
        <f>SUBTOTAL(9,O73:O73)</f>
        <v>0</v>
      </c>
      <c r="P74" s="15">
        <f>SUBTOTAL(9,P73:P73)</f>
        <v>0</v>
      </c>
      <c r="Q74" s="16"/>
      <c r="R74" s="67">
        <f>SUBTOTAL(9,R73:R73)</f>
        <v>0</v>
      </c>
      <c r="S74" s="31"/>
      <c r="T74" s="57"/>
      <c r="U74" s="57"/>
      <c r="V74" s="57"/>
      <c r="W74" s="1">
        <f>SUBTOTAL(9,W73:W73)</f>
        <v>0</v>
      </c>
      <c r="X74" s="1">
        <f>SUBTOTAL(9,X73:X73)</f>
        <v>0</v>
      </c>
      <c r="Y74" s="31"/>
      <c r="Z74" s="50"/>
      <c r="AA74" s="52">
        <f>SUBTOTAL(9,AA73:AA73)</f>
        <v>0</v>
      </c>
      <c r="AC74" s="16"/>
      <c r="AD74" s="78">
        <f>SUBTOTAL(9,AD73:AD73)</f>
        <v>0</v>
      </c>
      <c r="AE74" s="46"/>
      <c r="AF74" s="52">
        <f>AF73</f>
        <v>0</v>
      </c>
    </row>
    <row r="75" spans="3:32" x14ac:dyDescent="0.2">
      <c r="N75" s="17"/>
      <c r="O75" s="17"/>
      <c r="P75" s="17"/>
      <c r="Q75" s="3"/>
      <c r="R75" s="7"/>
      <c r="S75" s="38"/>
      <c r="T75" s="74"/>
      <c r="U75" s="74"/>
      <c r="V75" s="74"/>
      <c r="W75" s="71"/>
      <c r="X75" s="71"/>
      <c r="Y75" s="38"/>
      <c r="Z75" s="16"/>
      <c r="AA75" s="16"/>
      <c r="AC75" s="16"/>
      <c r="AD75" s="16"/>
      <c r="AE75" s="16"/>
      <c r="AF75" s="50"/>
    </row>
    <row r="76" spans="3:32" x14ac:dyDescent="0.2">
      <c r="N76" s="17"/>
      <c r="O76" s="17"/>
      <c r="P76" s="17"/>
      <c r="Q76" s="3"/>
      <c r="R76" s="7"/>
      <c r="S76" s="38"/>
      <c r="T76" s="57"/>
      <c r="U76" s="57"/>
      <c r="V76" s="58"/>
      <c r="W76" s="16"/>
      <c r="X76" s="16"/>
      <c r="Y76" s="38"/>
      <c r="Z76" s="16"/>
      <c r="AA76" s="16"/>
      <c r="AC76" s="16"/>
      <c r="AD76" s="16"/>
      <c r="AE76" s="16"/>
      <c r="AF76" s="50"/>
    </row>
    <row r="77" spans="3:32" x14ac:dyDescent="0.2">
      <c r="C77" s="15" t="s">
        <v>26</v>
      </c>
      <c r="D77" s="15"/>
      <c r="E77" s="22"/>
      <c r="F77" s="22"/>
      <c r="G77" s="23"/>
      <c r="H77" s="82"/>
      <c r="I77" s="16"/>
      <c r="J77" s="16"/>
      <c r="K77" s="16"/>
      <c r="L77" s="86"/>
      <c r="M77" s="1"/>
      <c r="N77" s="3"/>
      <c r="O77" s="3"/>
      <c r="P77" s="17"/>
      <c r="Q77" s="3"/>
      <c r="R77" s="7"/>
      <c r="S77" s="38"/>
      <c r="T77" s="57"/>
      <c r="U77" s="57"/>
      <c r="V77" s="58"/>
      <c r="W77" s="16"/>
      <c r="X77" s="16"/>
      <c r="Y77" s="38"/>
      <c r="Z77" s="16"/>
      <c r="AA77" s="16"/>
      <c r="AC77" s="16"/>
      <c r="AD77" s="16"/>
      <c r="AE77" s="16"/>
      <c r="AF77" s="50"/>
    </row>
    <row r="78" spans="3:32" x14ac:dyDescent="0.2">
      <c r="C78" s="6" t="s">
        <v>108</v>
      </c>
      <c r="D78" s="6" t="s">
        <v>108</v>
      </c>
      <c r="E78" s="6" t="s">
        <v>84</v>
      </c>
      <c r="F78" s="6"/>
      <c r="G78" s="58">
        <v>15</v>
      </c>
      <c r="H78" s="58">
        <v>3000</v>
      </c>
      <c r="I78" s="57">
        <v>10</v>
      </c>
      <c r="J78" s="57">
        <v>50</v>
      </c>
      <c r="K78" s="16"/>
      <c r="L78" s="86" t="s">
        <v>37</v>
      </c>
      <c r="M78" s="1"/>
      <c r="N78" s="16"/>
      <c r="O78" s="16">
        <f t="shared" ref="O78:O83" si="81">N78/J78</f>
        <v>0</v>
      </c>
      <c r="Q78" s="66">
        <v>0.09</v>
      </c>
      <c r="R78" s="66">
        <f t="shared" ref="R78:R83" si="82">$O78*$Q78</f>
        <v>0</v>
      </c>
      <c r="S78" s="18"/>
      <c r="T78" s="57">
        <v>5</v>
      </c>
      <c r="U78" s="57">
        <v>50</v>
      </c>
      <c r="V78" s="57">
        <f t="shared" ref="V78:V83" si="83">U78+T78</f>
        <v>55</v>
      </c>
      <c r="W78" s="16">
        <f t="shared" ref="W78:W83" si="84">$O78*$V78*1.05</f>
        <v>0</v>
      </c>
      <c r="X78" s="16">
        <f t="shared" ref="X78:X83" si="85">ROUNDUP($W78/125,)</f>
        <v>0</v>
      </c>
      <c r="Y78" s="18"/>
      <c r="Z78" s="66"/>
      <c r="AA78" s="66">
        <f t="shared" ref="AA78:AA83" si="86">Z78*T78</f>
        <v>0</v>
      </c>
      <c r="AC78" s="16"/>
      <c r="AD78" s="77" t="e">
        <f>#REF!*AC78</f>
        <v>#REF!</v>
      </c>
      <c r="AE78" s="77"/>
      <c r="AF78" s="50"/>
    </row>
    <row r="79" spans="3:32" x14ac:dyDescent="0.2">
      <c r="C79" s="6" t="s">
        <v>109</v>
      </c>
      <c r="D79" s="6" t="s">
        <v>109</v>
      </c>
      <c r="E79" s="6" t="s">
        <v>85</v>
      </c>
      <c r="F79" s="6"/>
      <c r="G79" s="58">
        <v>20</v>
      </c>
      <c r="H79" s="58">
        <v>4000</v>
      </c>
      <c r="I79" s="57">
        <v>10</v>
      </c>
      <c r="J79" s="57">
        <v>50</v>
      </c>
      <c r="K79" s="16"/>
      <c r="L79" s="86" t="s">
        <v>38</v>
      </c>
      <c r="M79" s="1"/>
      <c r="N79" s="16"/>
      <c r="O79" s="16">
        <f t="shared" si="81"/>
        <v>0</v>
      </c>
      <c r="Q79" s="66">
        <v>0.18</v>
      </c>
      <c r="R79" s="66">
        <f t="shared" si="82"/>
        <v>0</v>
      </c>
      <c r="S79" s="18"/>
      <c r="T79" s="57">
        <v>5</v>
      </c>
      <c r="U79" s="57">
        <v>50</v>
      </c>
      <c r="V79" s="57">
        <f t="shared" si="83"/>
        <v>55</v>
      </c>
      <c r="W79" s="16">
        <f t="shared" si="84"/>
        <v>0</v>
      </c>
      <c r="X79" s="16">
        <f t="shared" si="85"/>
        <v>0</v>
      </c>
      <c r="Y79" s="18"/>
      <c r="Z79" s="66"/>
      <c r="AA79" s="66">
        <f t="shared" si="86"/>
        <v>0</v>
      </c>
      <c r="AC79" s="16"/>
      <c r="AD79" s="77" t="e">
        <f>#REF!*AC79</f>
        <v>#REF!</v>
      </c>
      <c r="AE79" s="77"/>
      <c r="AF79" s="50"/>
    </row>
    <row r="80" spans="3:32" x14ac:dyDescent="0.2">
      <c r="C80" s="6" t="s">
        <v>110</v>
      </c>
      <c r="D80" s="6" t="s">
        <v>110</v>
      </c>
      <c r="E80" s="6" t="s">
        <v>86</v>
      </c>
      <c r="F80" s="6"/>
      <c r="G80" s="57">
        <v>25</v>
      </c>
      <c r="H80" s="58">
        <v>3000</v>
      </c>
      <c r="I80" s="57">
        <v>10</v>
      </c>
      <c r="J80" s="57">
        <v>50</v>
      </c>
      <c r="K80" s="16"/>
      <c r="L80" s="86" t="s">
        <v>33</v>
      </c>
      <c r="M80" s="1"/>
      <c r="N80" s="16"/>
      <c r="O80" s="16">
        <f t="shared" si="81"/>
        <v>0</v>
      </c>
      <c r="Q80" s="66">
        <v>0.2</v>
      </c>
      <c r="R80" s="66">
        <f t="shared" si="82"/>
        <v>0</v>
      </c>
      <c r="S80" s="18"/>
      <c r="T80" s="57">
        <v>5</v>
      </c>
      <c r="U80" s="57">
        <v>50</v>
      </c>
      <c r="V80" s="57">
        <f t="shared" si="83"/>
        <v>55</v>
      </c>
      <c r="W80" s="16">
        <f t="shared" si="84"/>
        <v>0</v>
      </c>
      <c r="X80" s="16">
        <f t="shared" si="85"/>
        <v>0</v>
      </c>
      <c r="Y80" s="18"/>
      <c r="Z80" s="66"/>
      <c r="AA80" s="66">
        <f t="shared" si="86"/>
        <v>0</v>
      </c>
      <c r="AC80" s="16"/>
      <c r="AD80" s="77" t="e">
        <f>#REF!*AC80</f>
        <v>#REF!</v>
      </c>
      <c r="AE80" s="77"/>
      <c r="AF80" s="50"/>
    </row>
    <row r="81" spans="3:32" x14ac:dyDescent="0.2">
      <c r="C81" s="6" t="s">
        <v>111</v>
      </c>
      <c r="D81" s="6" t="s">
        <v>111</v>
      </c>
      <c r="E81" s="6" t="s">
        <v>87</v>
      </c>
      <c r="F81" s="6"/>
      <c r="G81" s="57">
        <v>32</v>
      </c>
      <c r="H81" s="57">
        <v>3000</v>
      </c>
      <c r="I81" s="57">
        <v>5</v>
      </c>
      <c r="J81" s="57">
        <v>20</v>
      </c>
      <c r="K81" s="16"/>
      <c r="L81" s="86" t="s">
        <v>34</v>
      </c>
      <c r="M81" s="1"/>
      <c r="N81" s="16"/>
      <c r="O81" s="16">
        <f t="shared" si="81"/>
        <v>0</v>
      </c>
      <c r="Q81" s="66">
        <v>0.3</v>
      </c>
      <c r="R81" s="66">
        <f t="shared" si="82"/>
        <v>0</v>
      </c>
      <c r="S81" s="18"/>
      <c r="T81" s="57">
        <v>4</v>
      </c>
      <c r="U81" s="57">
        <v>20</v>
      </c>
      <c r="V81" s="57">
        <f t="shared" si="83"/>
        <v>24</v>
      </c>
      <c r="W81" s="16">
        <f t="shared" si="84"/>
        <v>0</v>
      </c>
      <c r="X81" s="16">
        <f t="shared" si="85"/>
        <v>0</v>
      </c>
      <c r="Y81" s="18"/>
      <c r="Z81" s="66"/>
      <c r="AA81" s="66">
        <f t="shared" si="86"/>
        <v>0</v>
      </c>
      <c r="AC81" s="16"/>
      <c r="AD81" s="77" t="e">
        <f>#REF!*AC81</f>
        <v>#REF!</v>
      </c>
      <c r="AE81" s="77"/>
      <c r="AF81" s="50"/>
    </row>
    <row r="82" spans="3:32" x14ac:dyDescent="0.2">
      <c r="C82" s="6" t="s">
        <v>112</v>
      </c>
      <c r="D82" s="6" t="s">
        <v>112</v>
      </c>
      <c r="E82" s="6" t="s">
        <v>88</v>
      </c>
      <c r="F82" s="6"/>
      <c r="G82" s="57">
        <v>40</v>
      </c>
      <c r="H82" s="57">
        <v>3000</v>
      </c>
      <c r="I82" s="57">
        <v>5</v>
      </c>
      <c r="J82" s="57">
        <v>20</v>
      </c>
      <c r="K82" s="16"/>
      <c r="L82" s="86" t="s">
        <v>35</v>
      </c>
      <c r="M82" s="1"/>
      <c r="N82" s="16"/>
      <c r="O82" s="16">
        <f t="shared" si="81"/>
        <v>0</v>
      </c>
      <c r="Q82" s="66">
        <v>0.21</v>
      </c>
      <c r="R82" s="66">
        <f t="shared" si="82"/>
        <v>0</v>
      </c>
      <c r="S82" s="18"/>
      <c r="T82" s="57">
        <v>4</v>
      </c>
      <c r="U82" s="57">
        <v>20</v>
      </c>
      <c r="V82" s="57">
        <f t="shared" si="83"/>
        <v>24</v>
      </c>
      <c r="W82" s="16">
        <f t="shared" si="84"/>
        <v>0</v>
      </c>
      <c r="X82" s="16">
        <f t="shared" si="85"/>
        <v>0</v>
      </c>
      <c r="Y82" s="18"/>
      <c r="Z82" s="66"/>
      <c r="AA82" s="66">
        <f t="shared" si="86"/>
        <v>0</v>
      </c>
      <c r="AC82" s="16"/>
      <c r="AD82" s="77" t="e">
        <f>#REF!*AC82</f>
        <v>#REF!</v>
      </c>
      <c r="AE82" s="77"/>
      <c r="AF82" s="50"/>
    </row>
    <row r="83" spans="3:32" x14ac:dyDescent="0.2">
      <c r="C83" s="6" t="s">
        <v>113</v>
      </c>
      <c r="D83" s="6" t="s">
        <v>113</v>
      </c>
      <c r="E83" s="6" t="s">
        <v>89</v>
      </c>
      <c r="F83" s="6"/>
      <c r="G83" s="57">
        <v>50</v>
      </c>
      <c r="H83" s="57">
        <v>3000</v>
      </c>
      <c r="I83" s="57">
        <v>5</v>
      </c>
      <c r="J83" s="57">
        <v>20</v>
      </c>
      <c r="K83" s="16"/>
      <c r="L83" s="86" t="s">
        <v>36</v>
      </c>
      <c r="M83" s="1"/>
      <c r="N83" s="16"/>
      <c r="O83" s="16">
        <f t="shared" si="81"/>
        <v>0</v>
      </c>
      <c r="Q83" s="66">
        <v>0.32</v>
      </c>
      <c r="R83" s="66">
        <f t="shared" si="82"/>
        <v>0</v>
      </c>
      <c r="S83" s="18"/>
      <c r="T83" s="57">
        <v>4</v>
      </c>
      <c r="U83" s="57">
        <v>20</v>
      </c>
      <c r="V83" s="57">
        <f t="shared" si="83"/>
        <v>24</v>
      </c>
      <c r="W83" s="16">
        <f t="shared" si="84"/>
        <v>0</v>
      </c>
      <c r="X83" s="16">
        <f t="shared" si="85"/>
        <v>0</v>
      </c>
      <c r="Y83" s="18"/>
      <c r="Z83" s="66"/>
      <c r="AA83" s="66">
        <f t="shared" si="86"/>
        <v>0</v>
      </c>
      <c r="AC83" s="16"/>
      <c r="AD83" s="77" t="e">
        <f>#REF!*AC83</f>
        <v>#REF!</v>
      </c>
      <c r="AE83" s="77"/>
      <c r="AF83" s="50"/>
    </row>
  </sheetData>
  <mergeCells count="20">
    <mergeCell ref="A3:A4"/>
    <mergeCell ref="B3:B4"/>
    <mergeCell ref="I71:J71"/>
    <mergeCell ref="Z71:AA71"/>
    <mergeCell ref="AC71:AD71"/>
    <mergeCell ref="F3:F4"/>
    <mergeCell ref="I3:J3"/>
    <mergeCell ref="K3:K4"/>
    <mergeCell ref="L3:L4"/>
    <mergeCell ref="M3:M4"/>
    <mergeCell ref="AE3:AF3"/>
    <mergeCell ref="I60:J60"/>
    <mergeCell ref="Z60:AA60"/>
    <mergeCell ref="AC60:AD60"/>
    <mergeCell ref="AC2:AD2"/>
    <mergeCell ref="N3:O3"/>
    <mergeCell ref="Q3:R3"/>
    <mergeCell ref="T3:V3"/>
    <mergeCell ref="Z3:AA3"/>
    <mergeCell ref="AC3:AD3"/>
  </mergeCells>
  <pageMargins left="0.39370078740157499" right="0.39370078740157499" top="0.39370078740157499" bottom="0.39370078740157499" header="0" footer="0"/>
  <pageSetup paperSize="9" scale="40" fitToHeight="0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2020-08-01T04:34:25Z</cp:lastPrinted>
  <dcterms:created xsi:type="dcterms:W3CDTF">2008-09-30T09:18:06Z</dcterms:created>
  <dcterms:modified xsi:type="dcterms:W3CDTF">2026-05-29T10:24:53Z</dcterms:modified>
</cp:coreProperties>
</file>