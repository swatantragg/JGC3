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dmin\OneDrive - Jaikvin Global jaikvinglobal\Current Data\New Shipments\6002-04-05-2026-Corecomp-Risers, Fittings &amp; Boxes\"/>
    </mc:Choice>
  </mc:AlternateContent>
  <bookViews>
    <workbookView xWindow="-105" yWindow="-105" windowWidth="19425" windowHeight="10305"/>
  </bookViews>
  <sheets>
    <sheet name="Page1" sheetId="1" r:id="rId1"/>
    <sheet name="Page2" sheetId="10" r:id="rId2"/>
  </sheets>
  <definedNames>
    <definedName name="_xlnm.Print_Area" localSheetId="0">Page1!$A$1:$K$87</definedName>
    <definedName name="_xlnm.Print_Area" localSheetId="1">Page2!$A$1:$K$82</definedName>
  </definedNames>
  <calcPr calcId="162913"/>
</workbook>
</file>

<file path=xl/calcChain.xml><?xml version="1.0" encoding="utf-8"?>
<calcChain xmlns="http://schemas.openxmlformats.org/spreadsheetml/2006/main">
  <c r="A73" i="10" l="1"/>
  <c r="K28" i="10" l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71" i="1"/>
  <c r="K28" i="1"/>
  <c r="K42" i="10" l="1"/>
  <c r="K41" i="10"/>
  <c r="K38" i="10"/>
  <c r="K37" i="10"/>
  <c r="K36" i="10"/>
  <c r="K35" i="10"/>
  <c r="K34" i="10"/>
  <c r="K33" i="10"/>
  <c r="K32" i="10"/>
  <c r="K31" i="10"/>
  <c r="K30" i="10"/>
  <c r="K29" i="10"/>
  <c r="G81" i="1"/>
  <c r="K79" i="1"/>
  <c r="K78" i="1"/>
  <c r="K75" i="1"/>
  <c r="K74" i="1"/>
  <c r="K73" i="1"/>
  <c r="K72" i="1"/>
  <c r="K81" i="1" s="1"/>
  <c r="A19" i="1" l="1"/>
  <c r="B24" i="10" l="1"/>
  <c r="G8" i="10" l="1"/>
  <c r="A24" i="10" l="1"/>
  <c r="G2" i="10" l="1"/>
  <c r="A27" i="10" l="1"/>
  <c r="A26" i="10"/>
  <c r="A1" i="10" l="1"/>
  <c r="G10" i="10" l="1"/>
  <c r="J25" i="10" l="1"/>
  <c r="J23" i="10" l="1"/>
  <c r="I14" i="10"/>
  <c r="F14" i="10"/>
  <c r="I13" i="10"/>
  <c r="F13" i="10"/>
  <c r="G12" i="10"/>
  <c r="G11" i="10"/>
  <c r="G9" i="10"/>
  <c r="F12" i="10"/>
  <c r="F11" i="10"/>
  <c r="F10" i="10"/>
  <c r="F9" i="10"/>
  <c r="F8" i="10"/>
  <c r="K3" i="10"/>
  <c r="K2" i="10"/>
  <c r="G3" i="10"/>
  <c r="F3" i="10"/>
  <c r="F2" i="10"/>
  <c r="C21" i="10"/>
  <c r="A21" i="10"/>
  <c r="C20" i="10"/>
  <c r="A20" i="10"/>
  <c r="C19" i="10"/>
  <c r="C18" i="10"/>
  <c r="A18" i="10"/>
  <c r="C17" i="10"/>
  <c r="A17" i="10"/>
  <c r="C16" i="10"/>
  <c r="A16" i="10"/>
  <c r="A15" i="10"/>
  <c r="A14" i="10"/>
  <c r="A13" i="10"/>
  <c r="A12" i="10"/>
  <c r="A11" i="10"/>
  <c r="A10" i="10"/>
  <c r="A9" i="10"/>
  <c r="C8" i="10"/>
  <c r="A8" i="10"/>
  <c r="A7" i="10"/>
  <c r="A6" i="10"/>
  <c r="A5" i="10"/>
  <c r="A4" i="10"/>
  <c r="A2" i="10"/>
  <c r="B1" i="10"/>
  <c r="A25" i="10" l="1"/>
  <c r="B23" i="10"/>
  <c r="A23" i="10"/>
  <c r="B15" i="10"/>
  <c r="B14" i="10"/>
  <c r="B13" i="10"/>
  <c r="A19" i="10" l="1"/>
  <c r="K25" i="10" l="1"/>
  <c r="K74" i="10" s="1"/>
</calcChain>
</file>

<file path=xl/sharedStrings.xml><?xml version="1.0" encoding="utf-8"?>
<sst xmlns="http://schemas.openxmlformats.org/spreadsheetml/2006/main" count="204" uniqueCount="148">
  <si>
    <t>Port of Loading:</t>
  </si>
  <si>
    <t>Port of Discharge:</t>
  </si>
  <si>
    <t xml:space="preserve">                                                                                                          </t>
  </si>
  <si>
    <t xml:space="preserve">                                                                                                     </t>
  </si>
  <si>
    <t xml:space="preserve">                                                              </t>
  </si>
  <si>
    <t xml:space="preserve">Invoice No. </t>
  </si>
  <si>
    <t xml:space="preserve">Buyers Order No: </t>
  </si>
  <si>
    <t>Country of Final Destination</t>
  </si>
  <si>
    <t>Country of Origin</t>
  </si>
  <si>
    <t>INDIA</t>
  </si>
  <si>
    <t>Terms of Delivery:</t>
  </si>
  <si>
    <t>Marks &amp; Nos.</t>
  </si>
  <si>
    <t>Shipped per:</t>
  </si>
  <si>
    <t>INVOICE</t>
  </si>
  <si>
    <t>Exporter's Ref.</t>
  </si>
  <si>
    <t>Pre-Carraige by:</t>
  </si>
  <si>
    <t>Place of Receipt by Pre-Carraige</t>
  </si>
  <si>
    <t>Declaration:-</t>
  </si>
  <si>
    <t>On Account &amp; Risks of:</t>
  </si>
  <si>
    <t>Port of destination</t>
  </si>
  <si>
    <t>Invoice of:</t>
  </si>
  <si>
    <t xml:space="preserve">                                                                                                    </t>
  </si>
  <si>
    <t xml:space="preserve">                                                                                                   </t>
  </si>
  <si>
    <t>Through:</t>
  </si>
  <si>
    <t>S/B No:</t>
  </si>
  <si>
    <t>Terms of Payment:</t>
  </si>
  <si>
    <t>Date:</t>
  </si>
  <si>
    <t>T/A G.D.Watermark</t>
  </si>
  <si>
    <t>Messrs Corecomp Pty Ltd.,</t>
  </si>
  <si>
    <t>AUSTRALIA</t>
  </si>
  <si>
    <t>D.P.SIGHT DRAFT</t>
  </si>
  <si>
    <t>FREMANTLE</t>
  </si>
  <si>
    <t xml:space="preserve">FREMANTLE </t>
  </si>
  <si>
    <t>FOB VALUE</t>
  </si>
  <si>
    <t>Freight</t>
  </si>
  <si>
    <t>KGS</t>
  </si>
  <si>
    <t xml:space="preserve">Wangara WA 6065 (Australia) </t>
  </si>
  <si>
    <t>13, Tesla Link,</t>
  </si>
  <si>
    <t>Shipped Per</t>
  </si>
  <si>
    <t>Quantity</t>
  </si>
  <si>
    <t>Amount</t>
  </si>
  <si>
    <t>Rate</t>
  </si>
  <si>
    <t>No &amp; Kinds of Pkgs   Description of Goods</t>
  </si>
  <si>
    <t>We declare that this invoice shows the actual price of the goods described and that all particulars are true and correct.</t>
  </si>
  <si>
    <t>FOB MUMBAI IN US$</t>
  </si>
  <si>
    <t>GDW NOS :</t>
  </si>
  <si>
    <t>CODE</t>
  </si>
  <si>
    <t>PIECES</t>
  </si>
  <si>
    <t>PER PC</t>
  </si>
  <si>
    <t>1"</t>
  </si>
  <si>
    <t>Container No.</t>
  </si>
  <si>
    <t>Seal No.</t>
  </si>
  <si>
    <t>Nett Wt.</t>
  </si>
  <si>
    <t>Gross Wt</t>
  </si>
  <si>
    <t>JAIKVIN GLOBAL</t>
  </si>
  <si>
    <t>Merchant Exporters</t>
  </si>
  <si>
    <t>A-101, Rajshree Royale, Navroji Lane, Ghatkopar (W),</t>
  </si>
  <si>
    <t>MUMBAI-400 086. Maharashtra (State Code : 27)</t>
  </si>
  <si>
    <t>Tel: 9987122600 E-Mail: aalok.shah@jaikvinglobal.com</t>
  </si>
  <si>
    <t>IEC AVIPS4808H</t>
  </si>
  <si>
    <t>GSTIN : 27AVIPS4808H1Z8 w.e.f 20.01.2021</t>
  </si>
  <si>
    <t>PAN No: AVIPS4808H</t>
  </si>
  <si>
    <t>Page 2</t>
  </si>
  <si>
    <t>Total C/F Page :2</t>
  </si>
  <si>
    <t>HDFC BANK LTD, GHATKOPAR (E) BRANCH</t>
  </si>
  <si>
    <t>GHATKOPAR (E), MUMBAI 400 077 (INDIA)</t>
  </si>
  <si>
    <t>SIZE (IN / MM)</t>
  </si>
  <si>
    <t>LEN (MM)</t>
  </si>
  <si>
    <t>NHAVA SHEVA-MUMBAI (INDIA)</t>
  </si>
  <si>
    <t>SUPPLY MEANT FOR EXPORT WITH PAYMENT OF INTEGRATED TAX</t>
  </si>
  <si>
    <t>3/4"</t>
  </si>
  <si>
    <t>Payable at</t>
  </si>
  <si>
    <t>Destination</t>
  </si>
  <si>
    <t>Total FOB Mumbai Value :</t>
  </si>
  <si>
    <t>FOB MUMBAI</t>
  </si>
  <si>
    <t>BL. NO.</t>
  </si>
  <si>
    <t>PER 100 PCS</t>
  </si>
  <si>
    <t>MERCHANT</t>
  </si>
  <si>
    <t>PP1509</t>
  </si>
  <si>
    <t>PE2518</t>
  </si>
  <si>
    <t>2"</t>
  </si>
  <si>
    <t>PP1518</t>
  </si>
  <si>
    <t>PP1524</t>
  </si>
  <si>
    <t>1/2"</t>
  </si>
  <si>
    <t>PE2515</t>
  </si>
  <si>
    <t>CORRUGATED BOXES</t>
  </si>
  <si>
    <t>PE1548</t>
  </si>
  <si>
    <t>PE2024</t>
  </si>
  <si>
    <t>PET1512</t>
  </si>
  <si>
    <t>PP1501 / 5</t>
  </si>
  <si>
    <t>GRC15</t>
  </si>
  <si>
    <t>GRC20</t>
  </si>
  <si>
    <t>GRC25</t>
  </si>
  <si>
    <t>GRMFE25</t>
  </si>
  <si>
    <t>GRRS2015</t>
  </si>
  <si>
    <t>GRRS2520</t>
  </si>
  <si>
    <t>GRS25</t>
  </si>
  <si>
    <t>GRT15</t>
  </si>
  <si>
    <t>GRT20</t>
  </si>
  <si>
    <t>20*15</t>
  </si>
  <si>
    <t>25*20</t>
  </si>
  <si>
    <t>GRT25</t>
  </si>
  <si>
    <t>SIZE ( MM)</t>
  </si>
  <si>
    <t>JG/26-27/6002 DT 04.05.2026</t>
  </si>
  <si>
    <t>2421</t>
  </si>
  <si>
    <t>421 PACKAGES (343 CARTONS &amp; 78 HDP BUNDLES) CONTAINING</t>
  </si>
  <si>
    <t>PE1536</t>
  </si>
  <si>
    <t>PP2004</t>
  </si>
  <si>
    <t>PE2018</t>
  </si>
  <si>
    <t>PP2508</t>
  </si>
  <si>
    <t>PE2524</t>
  </si>
  <si>
    <t>PE3206</t>
  </si>
  <si>
    <t>PE3218</t>
  </si>
  <si>
    <t>PE3230</t>
  </si>
  <si>
    <t>PE4008</t>
  </si>
  <si>
    <t>PE4018</t>
  </si>
  <si>
    <t>PE5006</t>
  </si>
  <si>
    <t>PE5018</t>
  </si>
  <si>
    <t>1-1/4"</t>
  </si>
  <si>
    <t>1-1/2"</t>
  </si>
  <si>
    <t>PMF2524</t>
  </si>
  <si>
    <t>PMF2536</t>
  </si>
  <si>
    <t>GRT32</t>
  </si>
  <si>
    <t>GD4</t>
  </si>
  <si>
    <t>570 X 368 X 267</t>
  </si>
  <si>
    <t>GD3</t>
  </si>
  <si>
    <t>570 X 368 X 178</t>
  </si>
  <si>
    <t>US DOLLARS TWENTY THOUSAND FOUR HUNDRED TWENTY ONE AND CENTS NINETY ONLY</t>
  </si>
  <si>
    <t>2001 - 2421</t>
  </si>
  <si>
    <t>2945305 DT. 04.05.2026</t>
  </si>
  <si>
    <t>OOCU0793142</t>
  </si>
  <si>
    <t>IND-0054079</t>
  </si>
  <si>
    <t>SFPM2605165498  DT. 19.05.2026</t>
  </si>
  <si>
    <t>CAPE SYROS VOYAGE 092E</t>
  </si>
  <si>
    <t xml:space="preserve">03320 DT 08.08.2025, 03455 DT.04.11.2025, </t>
  </si>
  <si>
    <t>03539 DT 08.01.2026, 03583 DT 12.02.2026,</t>
  </si>
  <si>
    <t xml:space="preserve">03605 DT. 25.02.2026, 03616 DT 04.03.2026, </t>
  </si>
  <si>
    <t>03658 DT. 02.04.2026</t>
  </si>
  <si>
    <t xml:space="preserve">PP EXTRUDED PIPES, PP &amp; NYLON MOULDED </t>
  </si>
  <si>
    <t>FITTINGS AND CORRUGATED BOXES</t>
  </si>
  <si>
    <t>PP EXTRUDED PIPES, PP &amp; NYLON  MOULDED FITTINGS &amp; CORRUGATED BOXES</t>
  </si>
  <si>
    <t>PP EXTRUDED PIPES : BOTH SIDE THREADED PIPES</t>
  </si>
  <si>
    <t>PP EXTRUDED PIPES : M / F THREADED PIPES</t>
  </si>
  <si>
    <t>PP MOULDED FITTINGS</t>
  </si>
  <si>
    <t>NYLON MOULDED FITTINGS</t>
  </si>
  <si>
    <t>SIZE (MM)</t>
  </si>
  <si>
    <t>FOR JAIKVIN GLOBAL</t>
  </si>
  <si>
    <t>PROPRIETOR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</si>
</sst>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7" formatCode="&quot;₹&quot;\ #,##0.00;&quot;₹&quot;\ \-#,##0.00"/>
    <numFmt numFmtId="164" formatCode="&quot;$&quot;0.00;\-0.00;;@"/>
    <numFmt numFmtId="165" formatCode="\$0.00;\-\$0.00;;@"/>
    <numFmt numFmtId="166" formatCode="0.000"/>
    <numFmt numFmtId="167" formatCode="&quot;$&quot;0.00;\-&quot;$&quot;0.00;;@"/>
    <numFmt numFmtId="168" formatCode="[$Rs.-4009]\ #,##0.00"/>
    <numFmt numFmtId="169" formatCode="0.00;\-0.00;;@"/>
    <numFmt numFmtId="170" formatCode="0.000;\-0.000;;@"/>
    <numFmt numFmtId="171" formatCode="[$$-409]#,##0.00_ ;\-[$$-409]#,##0.00\ "/>
    <numFmt numFmtId="172" formatCode="&quot;₹&quot;\ #,##0.00"/>
    <numFmt numFmtId="173" formatCode="[$$-409]#,##0.00"/>
  </numFmts>
  <fonts count="11" x14ac:knownFonts="1">
    <font>
      <sz val="10"/>
      <name val="Times New Roman"/>
    </font>
    <font>
      <sz val="9"/>
      <name val="Arial"/>
      <family val="2"/>
    </font>
    <font>
      <sz val="9"/>
      <color indexed="8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u/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9"/>
      <name val="Arial"/>
      <family val="2"/>
    </font>
    <font>
      <sz val="10"/>
      <name val="Arial"/>
      <family val="2"/>
    </font>
    <font>
      <b/>
      <sz val="10"/>
      <name val="Times New Roman"/>
      <family val="1"/>
    </font>
    <font>
      <b/>
      <sz val="18"/>
      <color indexed="8"/>
      <name val="Centaur"/>
      <family val="1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8" fillId="0" borderId="0"/>
    <xf numFmtId="0" fontId="4" fillId="0" borderId="0"/>
  </cellStyleXfs>
  <cellXfs count="359">
    <xf numFmtId="0" fontId="0" fillId="0" borderId="0" xfId="0"/>
    <xf numFmtId="0" fontId="1" fillId="0" borderId="0" xfId="0" applyFont="1" applyAlignment="1" applyProtection="1">
      <alignment shrinkToFit="1"/>
      <protection hidden="1"/>
    </xf>
    <xf numFmtId="0" fontId="5" fillId="0" borderId="0" xfId="0" applyFont="1" applyAlignment="1" applyProtection="1">
      <alignment shrinkToFit="1"/>
      <protection locked="0" hidden="1"/>
    </xf>
    <xf numFmtId="0" fontId="6" fillId="0" borderId="1" xfId="0" applyFont="1" applyBorder="1" applyAlignment="1" applyProtection="1">
      <alignment shrinkToFit="1"/>
      <protection hidden="1"/>
    </xf>
    <xf numFmtId="0" fontId="6" fillId="0" borderId="2" xfId="0" applyFont="1" applyBorder="1" applyAlignment="1" applyProtection="1">
      <alignment shrinkToFit="1"/>
      <protection hidden="1"/>
    </xf>
    <xf numFmtId="0" fontId="2" fillId="0" borderId="3" xfId="0" applyFont="1" applyBorder="1" applyAlignment="1" applyProtection="1">
      <alignment shrinkToFit="1"/>
      <protection hidden="1"/>
    </xf>
    <xf numFmtId="0" fontId="6" fillId="0" borderId="1" xfId="0" applyFont="1" applyBorder="1" applyAlignment="1" applyProtection="1">
      <alignment shrinkToFit="1"/>
      <protection locked="0" hidden="1"/>
    </xf>
    <xf numFmtId="0" fontId="2" fillId="0" borderId="6" xfId="0" applyFont="1" applyBorder="1" applyAlignment="1" applyProtection="1">
      <alignment shrinkToFit="1"/>
      <protection hidden="1"/>
    </xf>
    <xf numFmtId="0" fontId="6" fillId="0" borderId="3" xfId="0" applyFont="1" applyBorder="1" applyAlignment="1" applyProtection="1">
      <alignment shrinkToFit="1"/>
      <protection locked="0" hidden="1"/>
    </xf>
    <xf numFmtId="0" fontId="6" fillId="0" borderId="8" xfId="0" applyFont="1" applyBorder="1" applyAlignment="1" applyProtection="1">
      <alignment shrinkToFit="1"/>
      <protection hidden="1"/>
    </xf>
    <xf numFmtId="0" fontId="6" fillId="0" borderId="8" xfId="0" applyFont="1" applyBorder="1" applyAlignment="1" applyProtection="1">
      <alignment horizontal="center" shrinkToFit="1"/>
      <protection hidden="1"/>
    </xf>
    <xf numFmtId="0" fontId="2" fillId="0" borderId="9" xfId="0" applyFont="1" applyBorder="1" applyAlignment="1" applyProtection="1">
      <alignment shrinkToFit="1"/>
      <protection locked="0" hidden="1"/>
    </xf>
    <xf numFmtId="0" fontId="6" fillId="0" borderId="9" xfId="0" applyFont="1" applyBorder="1" applyAlignment="1" applyProtection="1">
      <alignment horizontal="center" shrinkToFit="1"/>
      <protection locked="0" hidden="1"/>
    </xf>
    <xf numFmtId="164" fontId="2" fillId="0" borderId="9" xfId="0" applyNumberFormat="1" applyFont="1" applyBorder="1" applyAlignment="1" applyProtection="1">
      <alignment horizontal="center" shrinkToFit="1"/>
      <protection locked="0" hidden="1"/>
    </xf>
    <xf numFmtId="0" fontId="2" fillId="0" borderId="9" xfId="0" quotePrefix="1" applyFont="1" applyBorder="1" applyAlignment="1" applyProtection="1">
      <alignment shrinkToFit="1"/>
      <protection locked="0" hidden="1"/>
    </xf>
    <xf numFmtId="0" fontId="6" fillId="0" borderId="4" xfId="0" applyFont="1" applyBorder="1" applyAlignment="1" applyProtection="1">
      <alignment shrinkToFit="1"/>
      <protection locked="0" hidden="1"/>
    </xf>
    <xf numFmtId="165" fontId="2" fillId="0" borderId="4" xfId="0" applyNumberFormat="1" applyFont="1" applyBorder="1" applyAlignment="1" applyProtection="1">
      <alignment shrinkToFit="1"/>
      <protection hidden="1"/>
    </xf>
    <xf numFmtId="0" fontId="6" fillId="0" borderId="6" xfId="0" applyFont="1" applyBorder="1" applyAlignment="1" applyProtection="1">
      <alignment shrinkToFit="1"/>
      <protection locked="0" hidden="1"/>
    </xf>
    <xf numFmtId="0" fontId="6" fillId="0" borderId="3" xfId="0" applyFont="1" applyBorder="1" applyAlignment="1" applyProtection="1">
      <alignment shrinkToFit="1"/>
      <protection hidden="1"/>
    </xf>
    <xf numFmtId="0" fontId="6" fillId="0" borderId="4" xfId="0" applyFont="1" applyBorder="1" applyAlignment="1" applyProtection="1">
      <alignment shrinkToFit="1"/>
      <protection hidden="1"/>
    </xf>
    <xf numFmtId="9" fontId="2" fillId="0" borderId="9" xfId="0" applyNumberFormat="1" applyFont="1" applyBorder="1" applyAlignment="1" applyProtection="1">
      <alignment horizontal="center" shrinkToFit="1"/>
      <protection locked="0" hidden="1"/>
    </xf>
    <xf numFmtId="0" fontId="1" fillId="0" borderId="13" xfId="0" applyFont="1" applyBorder="1" applyAlignment="1">
      <alignment horizontal="center"/>
    </xf>
    <xf numFmtId="164" fontId="2" fillId="0" borderId="13" xfId="0" applyNumberFormat="1" applyFont="1" applyBorder="1" applyAlignment="1" applyProtection="1">
      <alignment horizontal="center" shrinkToFit="1"/>
      <protection locked="0" hidden="1"/>
    </xf>
    <xf numFmtId="164" fontId="2" fillId="0" borderId="13" xfId="0" applyNumberFormat="1" applyFont="1" applyBorder="1" applyAlignment="1" applyProtection="1">
      <alignment shrinkToFit="1"/>
      <protection locked="0" hidden="1"/>
    </xf>
    <xf numFmtId="168" fontId="2" fillId="0" borderId="4" xfId="0" applyNumberFormat="1" applyFont="1" applyBorder="1" applyAlignment="1" applyProtection="1">
      <alignment shrinkToFit="1"/>
      <protection locked="0" hidden="1"/>
    </xf>
    <xf numFmtId="164" fontId="2" fillId="0" borderId="4" xfId="0" applyNumberFormat="1" applyFont="1" applyBorder="1" applyAlignment="1" applyProtection="1">
      <alignment shrinkToFit="1"/>
      <protection locked="0" hidden="1"/>
    </xf>
    <xf numFmtId="0" fontId="1" fillId="0" borderId="13" xfId="0" applyFont="1" applyBorder="1" applyAlignment="1">
      <alignment horizontal="center" shrinkToFit="1"/>
    </xf>
    <xf numFmtId="0" fontId="1" fillId="0" borderId="23" xfId="0" applyFont="1" applyBorder="1" applyAlignment="1">
      <alignment horizontal="center" shrinkToFit="1"/>
    </xf>
    <xf numFmtId="164" fontId="2" fillId="0" borderId="24" xfId="0" applyNumberFormat="1" applyFont="1" applyBorder="1" applyAlignment="1" applyProtection="1">
      <alignment shrinkToFit="1"/>
      <protection locked="0" hidden="1"/>
    </xf>
    <xf numFmtId="166" fontId="2" fillId="0" borderId="9" xfId="0" applyNumberFormat="1" applyFont="1" applyBorder="1" applyAlignment="1" applyProtection="1">
      <alignment horizontal="center" shrinkToFit="1"/>
      <protection locked="0" hidden="1"/>
    </xf>
    <xf numFmtId="0" fontId="2" fillId="0" borderId="9" xfId="0" applyFont="1" applyBorder="1" applyAlignment="1" applyProtection="1">
      <alignment horizontal="center" shrinkToFit="1"/>
      <protection locked="0" hidden="1"/>
    </xf>
    <xf numFmtId="164" fontId="2" fillId="0" borderId="14" xfId="0" applyNumberFormat="1" applyFont="1" applyBorder="1" applyAlignment="1" applyProtection="1">
      <alignment horizontal="center" shrinkToFit="1"/>
      <protection locked="0" hidden="1"/>
    </xf>
    <xf numFmtId="169" fontId="5" fillId="0" borderId="0" xfId="0" applyNumberFormat="1" applyFont="1" applyAlignment="1" applyProtection="1">
      <alignment shrinkToFit="1"/>
      <protection locked="0" hidden="1"/>
    </xf>
    <xf numFmtId="169" fontId="6" fillId="0" borderId="10" xfId="0" applyNumberFormat="1" applyFont="1" applyBorder="1" applyAlignment="1" applyProtection="1">
      <alignment horizontal="right" shrinkToFit="1"/>
      <protection hidden="1"/>
    </xf>
    <xf numFmtId="169" fontId="1" fillId="0" borderId="0" xfId="0" applyNumberFormat="1" applyFont="1" applyAlignment="1" applyProtection="1">
      <alignment shrinkToFit="1"/>
      <protection hidden="1"/>
    </xf>
    <xf numFmtId="169" fontId="6" fillId="0" borderId="1" xfId="0" applyNumberFormat="1" applyFont="1" applyBorder="1" applyAlignment="1" applyProtection="1">
      <alignment shrinkToFit="1"/>
      <protection hidden="1"/>
    </xf>
    <xf numFmtId="169" fontId="6" fillId="0" borderId="2" xfId="0" applyNumberFormat="1" applyFont="1" applyBorder="1" applyAlignment="1" applyProtection="1">
      <alignment shrinkToFit="1"/>
      <protection hidden="1"/>
    </xf>
    <xf numFmtId="169" fontId="6" fillId="0" borderId="3" xfId="0" applyNumberFormat="1" applyFont="1" applyBorder="1" applyAlignment="1" applyProtection="1">
      <alignment shrinkToFit="1"/>
      <protection hidden="1"/>
    </xf>
    <xf numFmtId="169" fontId="6" fillId="0" borderId="4" xfId="0" applyNumberFormat="1" applyFont="1" applyBorder="1" applyAlignment="1" applyProtection="1">
      <alignment shrinkToFit="1"/>
      <protection hidden="1"/>
    </xf>
    <xf numFmtId="169" fontId="6" fillId="0" borderId="1" xfId="0" applyNumberFormat="1" applyFont="1" applyBorder="1" applyAlignment="1" applyProtection="1">
      <alignment shrinkToFit="1"/>
      <protection locked="0" hidden="1"/>
    </xf>
    <xf numFmtId="169" fontId="6" fillId="0" borderId="6" xfId="0" applyNumberFormat="1" applyFont="1" applyBorder="1" applyAlignment="1" applyProtection="1">
      <alignment shrinkToFit="1"/>
      <protection locked="0" hidden="1"/>
    </xf>
    <xf numFmtId="169" fontId="2" fillId="0" borderId="6" xfId="0" applyNumberFormat="1" applyFont="1" applyBorder="1" applyAlignment="1" applyProtection="1">
      <alignment shrinkToFit="1"/>
      <protection locked="0" hidden="1"/>
    </xf>
    <xf numFmtId="169" fontId="6" fillId="0" borderId="3" xfId="0" applyNumberFormat="1" applyFont="1" applyBorder="1" applyAlignment="1" applyProtection="1">
      <alignment shrinkToFit="1"/>
      <protection locked="0" hidden="1"/>
    </xf>
    <xf numFmtId="169" fontId="2" fillId="0" borderId="6" xfId="0" applyNumberFormat="1" applyFont="1" applyBorder="1" applyAlignment="1" applyProtection="1">
      <alignment shrinkToFit="1"/>
      <protection hidden="1"/>
    </xf>
    <xf numFmtId="169" fontId="2" fillId="0" borderId="3" xfId="0" applyNumberFormat="1" applyFont="1" applyBorder="1" applyAlignment="1" applyProtection="1">
      <alignment shrinkToFit="1"/>
      <protection hidden="1"/>
    </xf>
    <xf numFmtId="169" fontId="6" fillId="0" borderId="8" xfId="0" applyNumberFormat="1" applyFont="1" applyBorder="1" applyAlignment="1" applyProtection="1">
      <alignment shrinkToFit="1"/>
      <protection hidden="1"/>
    </xf>
    <xf numFmtId="169" fontId="6" fillId="0" borderId="8" xfId="0" applyNumberFormat="1" applyFont="1" applyBorder="1" applyAlignment="1" applyProtection="1">
      <alignment horizontal="center" shrinkToFit="1"/>
      <protection hidden="1"/>
    </xf>
    <xf numFmtId="169" fontId="2" fillId="0" borderId="9" xfId="0" applyNumberFormat="1" applyFont="1" applyBorder="1" applyAlignment="1" applyProtection="1">
      <alignment shrinkToFit="1"/>
      <protection locked="0" hidden="1"/>
    </xf>
    <xf numFmtId="169" fontId="2" fillId="0" borderId="9" xfId="0" applyNumberFormat="1" applyFont="1" applyBorder="1" applyAlignment="1" applyProtection="1">
      <alignment horizontal="center" shrinkToFit="1"/>
      <protection locked="0" hidden="1"/>
    </xf>
    <xf numFmtId="169" fontId="2" fillId="0" borderId="9" xfId="0" quotePrefix="1" applyNumberFormat="1" applyFont="1" applyBorder="1" applyAlignment="1" applyProtection="1">
      <alignment shrinkToFit="1"/>
      <protection locked="0" hidden="1"/>
    </xf>
    <xf numFmtId="169" fontId="2" fillId="0" borderId="4" xfId="0" applyNumberFormat="1" applyFont="1" applyBorder="1" applyAlignment="1" applyProtection="1">
      <alignment shrinkToFit="1"/>
      <protection locked="0" hidden="1"/>
    </xf>
    <xf numFmtId="169" fontId="2" fillId="0" borderId="4" xfId="0" applyNumberFormat="1" applyFont="1" applyBorder="1" applyAlignment="1" applyProtection="1">
      <alignment horizontal="center" shrinkToFit="1"/>
      <protection locked="0" hidden="1"/>
    </xf>
    <xf numFmtId="169" fontId="6" fillId="0" borderId="9" xfId="0" applyNumberFormat="1" applyFont="1" applyBorder="1" applyAlignment="1" applyProtection="1">
      <alignment horizontal="center" shrinkToFit="1"/>
      <protection locked="0" hidden="1"/>
    </xf>
    <xf numFmtId="169" fontId="6" fillId="0" borderId="9" xfId="0" applyNumberFormat="1" applyFont="1" applyBorder="1" applyAlignment="1" applyProtection="1">
      <alignment shrinkToFit="1"/>
      <protection locked="0" hidden="1"/>
    </xf>
    <xf numFmtId="169" fontId="6" fillId="0" borderId="2" xfId="0" applyNumberFormat="1" applyFont="1" applyBorder="1" applyAlignment="1" applyProtection="1">
      <alignment horizontal="center" shrinkToFit="1"/>
      <protection locked="0" hidden="1"/>
    </xf>
    <xf numFmtId="169" fontId="6" fillId="0" borderId="4" xfId="0" applyNumberFormat="1" applyFont="1" applyBorder="1" applyAlignment="1" applyProtection="1">
      <alignment horizontal="center" shrinkToFit="1"/>
      <protection locked="0" hidden="1"/>
    </xf>
    <xf numFmtId="169" fontId="2" fillId="0" borderId="4" xfId="0" applyNumberFormat="1" applyFont="1" applyBorder="1" applyAlignment="1" applyProtection="1">
      <alignment shrinkToFit="1"/>
      <protection hidden="1"/>
    </xf>
    <xf numFmtId="169" fontId="6" fillId="0" borderId="4" xfId="0" applyNumberFormat="1" applyFont="1" applyBorder="1" applyAlignment="1" applyProtection="1">
      <alignment shrinkToFit="1"/>
      <protection locked="0" hidden="1"/>
    </xf>
    <xf numFmtId="1" fontId="2" fillId="0" borderId="4" xfId="0" applyNumberFormat="1" applyFont="1" applyBorder="1" applyAlignment="1" applyProtection="1">
      <alignment horizontal="center" shrinkToFit="1"/>
      <protection locked="0" hidden="1"/>
    </xf>
    <xf numFmtId="171" fontId="6" fillId="0" borderId="9" xfId="0" applyNumberFormat="1" applyFont="1" applyBorder="1" applyAlignment="1" applyProtection="1">
      <alignment horizontal="center" shrinkToFit="1"/>
      <protection locked="0" hidden="1"/>
    </xf>
    <xf numFmtId="7" fontId="6" fillId="0" borderId="9" xfId="0" applyNumberFormat="1" applyFont="1" applyBorder="1" applyAlignment="1" applyProtection="1">
      <alignment horizontal="center" shrinkToFit="1"/>
      <protection locked="0" hidden="1"/>
    </xf>
    <xf numFmtId="9" fontId="2" fillId="0" borderId="2" xfId="0" applyNumberFormat="1" applyFont="1" applyBorder="1" applyAlignment="1" applyProtection="1">
      <alignment horizontal="center" shrinkToFit="1"/>
      <protection locked="0" hidden="1"/>
    </xf>
    <xf numFmtId="0" fontId="1" fillId="0" borderId="14" xfId="0" applyFont="1" applyBorder="1" applyAlignment="1">
      <alignment horizontal="center"/>
    </xf>
    <xf numFmtId="164" fontId="2" fillId="0" borderId="4" xfId="0" applyNumberFormat="1" applyFont="1" applyBorder="1" applyAlignment="1" applyProtection="1">
      <alignment horizontal="center" shrinkToFit="1"/>
      <protection locked="0" hidden="1"/>
    </xf>
    <xf numFmtId="7" fontId="2" fillId="0" borderId="7" xfId="0" applyNumberFormat="1" applyFont="1" applyBorder="1" applyAlignment="1" applyProtection="1">
      <alignment shrinkToFit="1"/>
      <protection locked="0" hidden="1"/>
    </xf>
    <xf numFmtId="0" fontId="1" fillId="0" borderId="24" xfId="0" applyFont="1" applyBorder="1" applyAlignment="1">
      <alignment horizontal="center" shrinkToFit="1"/>
    </xf>
    <xf numFmtId="172" fontId="2" fillId="0" borderId="9" xfId="0" applyNumberFormat="1" applyFont="1" applyBorder="1" applyAlignment="1" applyProtection="1">
      <alignment shrinkToFit="1"/>
      <protection locked="0" hidden="1"/>
    </xf>
    <xf numFmtId="168" fontId="2" fillId="0" borderId="9" xfId="0" applyNumberFormat="1" applyFont="1" applyBorder="1" applyAlignment="1" applyProtection="1">
      <alignment shrinkToFit="1"/>
      <protection hidden="1"/>
    </xf>
    <xf numFmtId="0" fontId="2" fillId="0" borderId="8" xfId="0" applyFont="1" applyBorder="1" applyAlignment="1" applyProtection="1">
      <alignment horizontal="center" shrinkToFit="1"/>
      <protection locked="0" hidden="1"/>
    </xf>
    <xf numFmtId="0" fontId="2" fillId="0" borderId="3" xfId="0" applyFont="1" applyBorder="1" applyAlignment="1" applyProtection="1">
      <alignment horizontal="center"/>
      <protection locked="0" hidden="1"/>
    </xf>
    <xf numFmtId="0" fontId="2" fillId="0" borderId="6" xfId="0" applyFont="1" applyBorder="1" applyAlignment="1" applyProtection="1">
      <alignment shrinkToFit="1"/>
      <protection locked="0" hidden="1"/>
    </xf>
    <xf numFmtId="172" fontId="1" fillId="0" borderId="0" xfId="0" applyNumberFormat="1" applyFont="1" applyAlignment="1" applyProtection="1">
      <alignment shrinkToFit="1"/>
      <protection hidden="1"/>
    </xf>
    <xf numFmtId="0" fontId="1" fillId="0" borderId="12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170" fontId="2" fillId="0" borderId="9" xfId="0" applyNumberFormat="1" applyFont="1" applyBorder="1" applyAlignment="1" applyProtection="1">
      <alignment horizontal="center" shrinkToFit="1"/>
      <protection locked="0" hidden="1"/>
    </xf>
    <xf numFmtId="164" fontId="2" fillId="0" borderId="7" xfId="0" applyNumberFormat="1" applyFont="1" applyBorder="1" applyAlignment="1" applyProtection="1">
      <alignment horizontal="center" shrinkToFit="1"/>
      <protection locked="0" hidden="1"/>
    </xf>
    <xf numFmtId="168" fontId="2" fillId="0" borderId="2" xfId="0" applyNumberFormat="1" applyFont="1" applyBorder="1" applyAlignment="1" applyProtection="1">
      <alignment shrinkToFit="1"/>
      <protection locked="0" hidden="1"/>
    </xf>
    <xf numFmtId="0" fontId="1" fillId="0" borderId="14" xfId="0" applyFont="1" applyBorder="1" applyAlignment="1">
      <alignment horizontal="center" shrinkToFit="1"/>
    </xf>
    <xf numFmtId="0" fontId="1" fillId="0" borderId="0" xfId="0" applyFont="1" applyBorder="1" applyAlignment="1">
      <alignment horizontal="center"/>
    </xf>
    <xf numFmtId="0" fontId="1" fillId="0" borderId="6" xfId="0" applyFont="1" applyBorder="1" applyAlignment="1">
      <alignment horizontal="center" shrinkToFit="1"/>
    </xf>
    <xf numFmtId="0" fontId="2" fillId="0" borderId="3" xfId="0" applyFont="1" applyFill="1" applyBorder="1" applyAlignment="1" applyProtection="1">
      <alignment horizontal="center"/>
      <protection locked="0" hidden="1"/>
    </xf>
    <xf numFmtId="1" fontId="2" fillId="0" borderId="4" xfId="0" applyNumberFormat="1" applyFont="1" applyFill="1" applyBorder="1" applyAlignment="1" applyProtection="1">
      <alignment horizontal="center" shrinkToFit="1"/>
      <protection locked="0" hidden="1"/>
    </xf>
    <xf numFmtId="164" fontId="2" fillId="0" borderId="4" xfId="0" applyNumberFormat="1" applyFont="1" applyFill="1" applyBorder="1" applyAlignment="1" applyProtection="1">
      <alignment horizontal="center" shrinkToFit="1"/>
      <protection locked="0" hidden="1"/>
    </xf>
    <xf numFmtId="164" fontId="2" fillId="0" borderId="4" xfId="0" applyNumberFormat="1" applyFont="1" applyFill="1" applyBorder="1" applyAlignment="1" applyProtection="1">
      <alignment shrinkToFit="1"/>
      <protection locked="0" hidden="1"/>
    </xf>
    <xf numFmtId="164" fontId="2" fillId="0" borderId="13" xfId="0" applyNumberFormat="1" applyFont="1" applyFill="1" applyBorder="1" applyAlignment="1" applyProtection="1">
      <alignment horizontal="center" shrinkToFit="1"/>
      <protection locked="0" hidden="1"/>
    </xf>
    <xf numFmtId="164" fontId="2" fillId="0" borderId="13" xfId="0" applyNumberFormat="1" applyFont="1" applyFill="1" applyBorder="1" applyAlignment="1" applyProtection="1">
      <alignment shrinkToFit="1"/>
      <protection locked="0" hidden="1"/>
    </xf>
    <xf numFmtId="0" fontId="1" fillId="0" borderId="0" xfId="0" applyNumberFormat="1" applyFont="1" applyAlignment="1" applyProtection="1">
      <alignment shrinkToFit="1"/>
      <protection hidden="1"/>
    </xf>
    <xf numFmtId="2" fontId="1" fillId="0" borderId="0" xfId="0" applyNumberFormat="1" applyFont="1" applyAlignment="1" applyProtection="1">
      <alignment shrinkToFit="1"/>
      <protection hidden="1"/>
    </xf>
    <xf numFmtId="168" fontId="2" fillId="0" borderId="2" xfId="0" applyNumberFormat="1" applyFont="1" applyFill="1" applyBorder="1" applyAlignment="1" applyProtection="1">
      <alignment shrinkToFit="1"/>
      <protection locked="0" hidden="1"/>
    </xf>
    <xf numFmtId="0" fontId="1" fillId="0" borderId="25" xfId="0" applyFont="1" applyBorder="1" applyAlignment="1">
      <alignment horizontal="center"/>
    </xf>
    <xf numFmtId="164" fontId="2" fillId="0" borderId="14" xfId="0" applyNumberFormat="1" applyFont="1" applyFill="1" applyBorder="1" applyAlignment="1" applyProtection="1">
      <alignment horizontal="center" shrinkToFit="1"/>
      <protection locked="0" hidden="1"/>
    </xf>
    <xf numFmtId="164" fontId="2" fillId="0" borderId="14" xfId="0" applyNumberFormat="1" applyFont="1" applyFill="1" applyBorder="1" applyAlignment="1" applyProtection="1">
      <alignment shrinkToFit="1"/>
      <protection locked="0" hidden="1"/>
    </xf>
    <xf numFmtId="0" fontId="1" fillId="0" borderId="4" xfId="0" applyFont="1" applyBorder="1" applyAlignment="1">
      <alignment horizontal="center" shrinkToFit="1"/>
    </xf>
    <xf numFmtId="0" fontId="1" fillId="0" borderId="4" xfId="0" applyFont="1" applyBorder="1" applyAlignment="1">
      <alignment horizontal="center"/>
    </xf>
    <xf numFmtId="172" fontId="2" fillId="0" borderId="4" xfId="0" applyNumberFormat="1" applyFont="1" applyBorder="1" applyAlignment="1" applyProtection="1">
      <alignment shrinkToFit="1"/>
      <protection locked="0" hidden="1"/>
    </xf>
    <xf numFmtId="170" fontId="2" fillId="0" borderId="9" xfId="0" applyNumberFormat="1" applyFont="1" applyFill="1" applyBorder="1" applyAlignment="1" applyProtection="1">
      <alignment horizontal="center" shrinkToFit="1"/>
      <protection locked="0" hidden="1"/>
    </xf>
    <xf numFmtId="164" fontId="2" fillId="0" borderId="14" xfId="0" applyNumberFormat="1" applyFont="1" applyBorder="1" applyAlignment="1" applyProtection="1">
      <alignment shrinkToFit="1"/>
      <protection locked="0" hidden="1"/>
    </xf>
    <xf numFmtId="164" fontId="2" fillId="0" borderId="7" xfId="0" applyNumberFormat="1" applyFont="1" applyFill="1" applyBorder="1" applyAlignment="1" applyProtection="1">
      <alignment horizontal="center" shrinkToFit="1"/>
      <protection locked="0" hidden="1"/>
    </xf>
    <xf numFmtId="169" fontId="2" fillId="0" borderId="5" xfId="0" applyNumberFormat="1" applyFont="1" applyBorder="1" applyAlignment="1" applyProtection="1">
      <alignment horizontal="center" shrinkToFit="1"/>
      <protection locked="0" hidden="1"/>
    </xf>
    <xf numFmtId="169" fontId="2" fillId="0" borderId="7" xfId="0" applyNumberFormat="1" applyFont="1" applyBorder="1" applyAlignment="1" applyProtection="1">
      <alignment horizontal="center" shrinkToFit="1"/>
      <protection locked="0" hidden="1"/>
    </xf>
    <xf numFmtId="0" fontId="1" fillId="0" borderId="28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2" fillId="0" borderId="2" xfId="0" applyFont="1" applyBorder="1" applyAlignment="1" applyProtection="1">
      <alignment horizontal="center" shrinkToFit="1"/>
      <protection locked="0" hidden="1"/>
    </xf>
    <xf numFmtId="0" fontId="2" fillId="0" borderId="18" xfId="0" applyFont="1" applyBorder="1" applyAlignment="1" applyProtection="1">
      <alignment horizontal="center"/>
      <protection locked="0" hidden="1"/>
    </xf>
    <xf numFmtId="1" fontId="2" fillId="0" borderId="19" xfId="0" applyNumberFormat="1" applyFont="1" applyBorder="1" applyAlignment="1" applyProtection="1">
      <alignment horizontal="center" shrinkToFit="1"/>
      <protection locked="0" hidden="1"/>
    </xf>
    <xf numFmtId="164" fontId="2" fillId="0" borderId="19" xfId="0" applyNumberFormat="1" applyFont="1" applyBorder="1" applyAlignment="1" applyProtection="1">
      <alignment horizontal="center" shrinkToFit="1"/>
      <protection locked="0" hidden="1"/>
    </xf>
    <xf numFmtId="164" fontId="2" fillId="0" borderId="19" xfId="0" applyNumberFormat="1" applyFont="1" applyBorder="1" applyAlignment="1" applyProtection="1">
      <alignment shrinkToFit="1"/>
      <protection locked="0" hidden="1"/>
    </xf>
    <xf numFmtId="168" fontId="2" fillId="0" borderId="27" xfId="0" applyNumberFormat="1" applyFont="1" applyBorder="1" applyAlignment="1" applyProtection="1">
      <alignment horizontal="center" shrinkToFit="1"/>
      <protection locked="0" hidden="1"/>
    </xf>
    <xf numFmtId="1" fontId="2" fillId="0" borderId="8" xfId="0" applyNumberFormat="1" applyFont="1" applyBorder="1" applyAlignment="1" applyProtection="1">
      <alignment horizontal="center" shrinkToFit="1"/>
      <protection locked="0" hidden="1"/>
    </xf>
    <xf numFmtId="164" fontId="2" fillId="0" borderId="8" xfId="0" applyNumberFormat="1" applyFont="1" applyBorder="1" applyAlignment="1" applyProtection="1">
      <alignment horizontal="center" shrinkToFit="1"/>
      <protection locked="0" hidden="1"/>
    </xf>
    <xf numFmtId="173" fontId="2" fillId="0" borderId="24" xfId="0" applyNumberFormat="1" applyFont="1" applyBorder="1" applyAlignment="1" applyProtection="1">
      <alignment shrinkToFit="1"/>
      <protection locked="0" hidden="1"/>
    </xf>
    <xf numFmtId="173" fontId="2" fillId="0" borderId="9" xfId="0" applyNumberFormat="1" applyFont="1" applyBorder="1" applyAlignment="1" applyProtection="1">
      <alignment shrinkToFit="1"/>
      <protection locked="0" hidden="1"/>
    </xf>
    <xf numFmtId="173" fontId="2" fillId="0" borderId="16" xfId="0" applyNumberFormat="1" applyFont="1" applyBorder="1" applyAlignment="1" applyProtection="1">
      <alignment shrinkToFit="1"/>
      <protection hidden="1"/>
    </xf>
    <xf numFmtId="0" fontId="2" fillId="0" borderId="28" xfId="0" applyFont="1" applyBorder="1" applyAlignment="1">
      <alignment horizontal="center" shrinkToFit="1"/>
    </xf>
    <xf numFmtId="0" fontId="1" fillId="0" borderId="32" xfId="0" applyFont="1" applyBorder="1" applyAlignment="1">
      <alignment horizontal="center"/>
    </xf>
    <xf numFmtId="164" fontId="2" fillId="0" borderId="32" xfId="0" applyNumberFormat="1" applyFont="1" applyFill="1" applyBorder="1" applyAlignment="1" applyProtection="1">
      <alignment horizontal="center" shrinkToFit="1"/>
      <protection locked="0" hidden="1"/>
    </xf>
    <xf numFmtId="164" fontId="2" fillId="0" borderId="32" xfId="0" applyNumberFormat="1" applyFont="1" applyBorder="1" applyAlignment="1" applyProtection="1">
      <alignment shrinkToFit="1"/>
      <protection locked="0" hidden="1"/>
    </xf>
    <xf numFmtId="172" fontId="2" fillId="0" borderId="29" xfId="0" applyNumberFormat="1" applyFont="1" applyFill="1" applyBorder="1" applyAlignment="1" applyProtection="1">
      <alignment horizontal="center" shrinkToFit="1"/>
      <protection locked="0" hidden="1"/>
    </xf>
    <xf numFmtId="0" fontId="2" fillId="0" borderId="25" xfId="0" applyFont="1" applyBorder="1" applyAlignment="1">
      <alignment horizontal="center" shrinkToFit="1"/>
    </xf>
    <xf numFmtId="0" fontId="1" fillId="0" borderId="21" xfId="0" applyFont="1" applyBorder="1" applyAlignment="1">
      <alignment horizontal="center"/>
    </xf>
    <xf numFmtId="164" fontId="2" fillId="0" borderId="21" xfId="0" applyNumberFormat="1" applyFont="1" applyFill="1" applyBorder="1" applyAlignment="1" applyProtection="1">
      <alignment horizontal="center" shrinkToFit="1"/>
      <protection locked="0" hidden="1"/>
    </xf>
    <xf numFmtId="164" fontId="2" fillId="0" borderId="26" xfId="0" applyNumberFormat="1" applyFont="1" applyBorder="1" applyAlignment="1" applyProtection="1">
      <alignment shrinkToFit="1"/>
      <protection locked="0" hidden="1"/>
    </xf>
    <xf numFmtId="172" fontId="2" fillId="0" borderId="31" xfId="0" applyNumberFormat="1" applyFont="1" applyFill="1" applyBorder="1" applyAlignment="1" applyProtection="1">
      <alignment horizontal="center" shrinkToFit="1"/>
      <protection locked="0" hidden="1"/>
    </xf>
    <xf numFmtId="164" fontId="2" fillId="0" borderId="21" xfId="0" applyNumberFormat="1" applyFont="1" applyBorder="1" applyAlignment="1" applyProtection="1">
      <alignment horizontal="center" shrinkToFit="1"/>
      <protection locked="0" hidden="1"/>
    </xf>
    <xf numFmtId="172" fontId="2" fillId="0" borderId="31" xfId="0" applyNumberFormat="1" applyFont="1" applyBorder="1" applyAlignment="1" applyProtection="1">
      <alignment horizontal="center" shrinkToFit="1"/>
      <protection locked="0" hidden="1"/>
    </xf>
    <xf numFmtId="172" fontId="2" fillId="0" borderId="22" xfId="0" applyNumberFormat="1" applyFont="1" applyBorder="1" applyAlignment="1" applyProtection="1">
      <alignment horizontal="center" shrinkToFit="1"/>
      <protection locked="0" hidden="1"/>
    </xf>
    <xf numFmtId="0" fontId="2" fillId="0" borderId="3" xfId="0" applyFont="1" applyBorder="1" applyAlignment="1">
      <alignment horizontal="center" shrinkToFit="1"/>
    </xf>
    <xf numFmtId="0" fontId="1" fillId="0" borderId="20" xfId="0" applyFont="1" applyBorder="1" applyAlignment="1">
      <alignment horizontal="center"/>
    </xf>
    <xf numFmtId="164" fontId="2" fillId="0" borderId="20" xfId="0" applyNumberFormat="1" applyFont="1" applyBorder="1" applyAlignment="1" applyProtection="1">
      <alignment horizontal="center" shrinkToFit="1"/>
      <protection locked="0" hidden="1"/>
    </xf>
    <xf numFmtId="164" fontId="2" fillId="0" borderId="10" xfId="0" applyNumberFormat="1" applyFont="1" applyBorder="1" applyAlignment="1" applyProtection="1">
      <alignment shrinkToFit="1"/>
      <protection locked="0" hidden="1"/>
    </xf>
    <xf numFmtId="172" fontId="2" fillId="0" borderId="30" xfId="0" applyNumberFormat="1" applyFont="1" applyBorder="1" applyAlignment="1" applyProtection="1">
      <alignment horizontal="center" shrinkToFit="1"/>
      <protection locked="0" hidden="1"/>
    </xf>
    <xf numFmtId="0" fontId="2" fillId="0" borderId="8" xfId="0" applyFont="1" applyBorder="1" applyAlignment="1" applyProtection="1">
      <alignment horizontal="center"/>
      <protection locked="0" hidden="1"/>
    </xf>
    <xf numFmtId="172" fontId="2" fillId="0" borderId="8" xfId="0" applyNumberFormat="1" applyFont="1" applyFill="1" applyBorder="1" applyAlignment="1" applyProtection="1">
      <alignment shrinkToFit="1"/>
      <protection locked="0" hidden="1"/>
    </xf>
    <xf numFmtId="9" fontId="2" fillId="0" borderId="8" xfId="0" applyNumberFormat="1" applyFont="1" applyFill="1" applyBorder="1" applyAlignment="1" applyProtection="1">
      <alignment horizontal="center" shrinkToFit="1"/>
      <protection locked="0" hidden="1"/>
    </xf>
    <xf numFmtId="172" fontId="2" fillId="0" borderId="29" xfId="0" applyNumberFormat="1" applyFont="1" applyBorder="1" applyAlignment="1" applyProtection="1">
      <alignment horizontal="center" shrinkToFit="1"/>
      <protection locked="0" hidden="1"/>
    </xf>
    <xf numFmtId="172" fontId="2" fillId="0" borderId="22" xfId="0" applyNumberFormat="1" applyFont="1" applyFill="1" applyBorder="1" applyAlignment="1" applyProtection="1">
      <alignment horizontal="center" shrinkToFit="1"/>
      <protection locked="0" hidden="1"/>
    </xf>
    <xf numFmtId="164" fontId="2" fillId="0" borderId="21" xfId="0" applyNumberFormat="1" applyFont="1" applyBorder="1" applyAlignment="1" applyProtection="1">
      <alignment shrinkToFit="1"/>
      <protection locked="0" hidden="1"/>
    </xf>
    <xf numFmtId="172" fontId="2" fillId="0" borderId="11" xfId="0" applyNumberFormat="1" applyFont="1" applyBorder="1" applyAlignment="1" applyProtection="1">
      <alignment horizontal="center" shrinkToFit="1"/>
      <protection locked="0" hidden="1"/>
    </xf>
    <xf numFmtId="0" fontId="1" fillId="0" borderId="17" xfId="0" applyFont="1" applyBorder="1" applyAlignment="1">
      <alignment horizontal="center"/>
    </xf>
    <xf numFmtId="164" fontId="2" fillId="0" borderId="17" xfId="0" applyNumberFormat="1" applyFont="1" applyBorder="1" applyAlignment="1" applyProtection="1">
      <alignment horizontal="center" shrinkToFit="1"/>
      <protection locked="0" hidden="1"/>
    </xf>
    <xf numFmtId="164" fontId="2" fillId="0" borderId="0" xfId="0" applyNumberFormat="1" applyFont="1" applyBorder="1" applyAlignment="1" applyProtection="1">
      <alignment horizontal="center" shrinkToFit="1"/>
      <protection locked="0" hidden="1"/>
    </xf>
    <xf numFmtId="0" fontId="2" fillId="0" borderId="18" xfId="0" applyFont="1" applyBorder="1" applyAlignment="1" applyProtection="1">
      <alignment horizontal="center" shrinkToFit="1"/>
      <protection locked="0" hidden="1"/>
    </xf>
    <xf numFmtId="0" fontId="2" fillId="0" borderId="19" xfId="0" applyFont="1" applyBorder="1" applyAlignment="1" applyProtection="1">
      <alignment horizontal="center"/>
      <protection locked="0" hidden="1"/>
    </xf>
    <xf numFmtId="0" fontId="2" fillId="0" borderId="26" xfId="0" applyFont="1" applyBorder="1" applyAlignment="1">
      <alignment horizontal="center" shrinkToFit="1"/>
    </xf>
    <xf numFmtId="0" fontId="2" fillId="0" borderId="20" xfId="0" applyFont="1" applyBorder="1" applyAlignment="1">
      <alignment horizontal="center" shrinkToFit="1"/>
    </xf>
    <xf numFmtId="164" fontId="2" fillId="0" borderId="20" xfId="0" applyNumberFormat="1" applyFont="1" applyBorder="1" applyAlignment="1" applyProtection="1">
      <alignment shrinkToFit="1"/>
      <protection locked="0" hidden="1"/>
    </xf>
    <xf numFmtId="1" fontId="2" fillId="0" borderId="10" xfId="0" applyNumberFormat="1" applyFont="1" applyBorder="1" applyAlignment="1" applyProtection="1">
      <alignment horizontal="center" shrinkToFit="1"/>
      <protection locked="0" hidden="1"/>
    </xf>
    <xf numFmtId="165" fontId="2" fillId="0" borderId="10" xfId="0" applyNumberFormat="1" applyFont="1" applyBorder="1" applyAlignment="1" applyProtection="1">
      <alignment shrinkToFit="1"/>
      <protection hidden="1"/>
    </xf>
    <xf numFmtId="167" fontId="2" fillId="0" borderId="10" xfId="0" applyNumberFormat="1" applyFont="1" applyBorder="1" applyAlignment="1" applyProtection="1">
      <alignment shrinkToFit="1"/>
      <protection hidden="1"/>
    </xf>
    <xf numFmtId="165" fontId="2" fillId="0" borderId="11" xfId="0" applyNumberFormat="1" applyFont="1" applyBorder="1" applyAlignment="1" applyProtection="1">
      <alignment shrinkToFit="1"/>
      <protection hidden="1"/>
    </xf>
    <xf numFmtId="164" fontId="2" fillId="0" borderId="6" xfId="0" applyNumberFormat="1" applyFont="1" applyBorder="1" applyAlignment="1" applyProtection="1">
      <alignment horizontal="center" shrinkToFit="1"/>
      <protection locked="0" hidden="1"/>
    </xf>
    <xf numFmtId="0" fontId="1" fillId="0" borderId="3" xfId="0" applyFont="1" applyBorder="1" applyAlignment="1">
      <alignment horizontal="center"/>
    </xf>
    <xf numFmtId="0" fontId="2" fillId="0" borderId="10" xfId="0" applyFont="1" applyBorder="1" applyAlignment="1">
      <alignment horizontal="center" shrinkToFit="1"/>
    </xf>
    <xf numFmtId="1" fontId="2" fillId="0" borderId="19" xfId="0" applyNumberFormat="1" applyFont="1" applyFill="1" applyBorder="1" applyAlignment="1" applyProtection="1">
      <alignment horizontal="center" shrinkToFit="1"/>
      <protection locked="0" hidden="1"/>
    </xf>
    <xf numFmtId="164" fontId="2" fillId="0" borderId="19" xfId="0" applyNumberFormat="1" applyFont="1" applyFill="1" applyBorder="1" applyAlignment="1" applyProtection="1">
      <alignment horizontal="center" shrinkToFit="1"/>
      <protection locked="0" hidden="1"/>
    </xf>
    <xf numFmtId="164" fontId="2" fillId="0" borderId="19" xfId="0" applyNumberFormat="1" applyFont="1" applyFill="1" applyBorder="1" applyAlignment="1" applyProtection="1">
      <alignment shrinkToFit="1"/>
      <protection locked="0" hidden="1"/>
    </xf>
    <xf numFmtId="172" fontId="2" fillId="0" borderId="27" xfId="0" applyNumberFormat="1" applyFont="1" applyFill="1" applyBorder="1" applyAlignment="1" applyProtection="1">
      <alignment horizontal="center" shrinkToFit="1"/>
      <protection locked="0" hidden="1"/>
    </xf>
    <xf numFmtId="164" fontId="2" fillId="0" borderId="21" xfId="0" applyNumberFormat="1" applyFont="1" applyFill="1" applyBorder="1" applyAlignment="1" applyProtection="1">
      <alignment shrinkToFit="1"/>
      <protection locked="0" hidden="1"/>
    </xf>
    <xf numFmtId="164" fontId="2" fillId="0" borderId="20" xfId="0" applyNumberFormat="1" applyFont="1" applyFill="1" applyBorder="1" applyAlignment="1" applyProtection="1">
      <alignment horizontal="center" shrinkToFit="1"/>
      <protection locked="0" hidden="1"/>
    </xf>
    <xf numFmtId="164" fontId="2" fillId="0" borderId="20" xfId="0" applyNumberFormat="1" applyFont="1" applyFill="1" applyBorder="1" applyAlignment="1" applyProtection="1">
      <alignment shrinkToFit="1"/>
      <protection locked="0" hidden="1"/>
    </xf>
    <xf numFmtId="0" fontId="1" fillId="0" borderId="32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1" xfId="0" applyFont="1" applyBorder="1" applyAlignment="1">
      <alignment horizontal="center" shrinkToFit="1"/>
    </xf>
    <xf numFmtId="0" fontId="1" fillId="0" borderId="17" xfId="0" applyFont="1" applyBorder="1" applyAlignment="1">
      <alignment horizontal="center" shrinkToFit="1"/>
    </xf>
    <xf numFmtId="164" fontId="2" fillId="0" borderId="17" xfId="0" applyNumberFormat="1" applyFont="1" applyBorder="1" applyAlignment="1" applyProtection="1">
      <alignment shrinkToFit="1"/>
      <protection locked="0" hidden="1"/>
    </xf>
    <xf numFmtId="172" fontId="2" fillId="0" borderId="5" xfId="0" applyNumberFormat="1" applyFont="1" applyBorder="1" applyAlignment="1" applyProtection="1">
      <alignment horizontal="center" shrinkToFit="1"/>
      <protection locked="0" hidden="1"/>
    </xf>
    <xf numFmtId="0" fontId="1" fillId="0" borderId="0" xfId="0" applyFont="1" applyBorder="1" applyAlignment="1">
      <alignment horizontal="center" shrinkToFit="1"/>
    </xf>
    <xf numFmtId="164" fontId="2" fillId="0" borderId="0" xfId="0" applyNumberFormat="1" applyFont="1" applyBorder="1" applyAlignment="1" applyProtection="1">
      <alignment shrinkToFit="1"/>
      <protection locked="0" hidden="1"/>
    </xf>
    <xf numFmtId="172" fontId="2" fillId="0" borderId="7" xfId="0" applyNumberFormat="1" applyFont="1" applyBorder="1" applyAlignment="1" applyProtection="1">
      <alignment horizontal="center" shrinkToFit="1"/>
      <protection locked="0" hidden="1"/>
    </xf>
    <xf numFmtId="164" fontId="2" fillId="0" borderId="16" xfId="0" applyNumberFormat="1" applyFont="1" applyFill="1" applyBorder="1" applyAlignment="1" applyProtection="1">
      <alignment shrinkToFit="1"/>
      <protection locked="0" hidden="1"/>
    </xf>
    <xf numFmtId="173" fontId="1" fillId="0" borderId="0" xfId="0" applyNumberFormat="1" applyFont="1" applyAlignment="1" applyProtection="1">
      <alignment shrinkToFit="1"/>
      <protection hidden="1"/>
    </xf>
    <xf numFmtId="164" fontId="2" fillId="0" borderId="32" xfId="0" applyNumberFormat="1" applyFont="1" applyBorder="1" applyAlignment="1" applyProtection="1">
      <alignment horizontal="center" shrinkToFit="1"/>
      <protection locked="0" hidden="1"/>
    </xf>
    <xf numFmtId="0" fontId="2" fillId="0" borderId="33" xfId="0" applyFont="1" applyBorder="1" applyAlignment="1">
      <alignment horizontal="center" shrinkToFit="1"/>
    </xf>
    <xf numFmtId="0" fontId="2" fillId="0" borderId="15" xfId="0" applyFont="1" applyBorder="1" applyAlignment="1">
      <alignment horizontal="center" shrinkToFit="1"/>
    </xf>
    <xf numFmtId="168" fontId="2" fillId="0" borderId="8" xfId="0" applyNumberFormat="1" applyFont="1" applyFill="1" applyBorder="1" applyAlignment="1" applyProtection="1">
      <alignment shrinkToFit="1"/>
      <protection locked="0" hidden="1"/>
    </xf>
    <xf numFmtId="9" fontId="2" fillId="0" borderId="8" xfId="0" applyNumberFormat="1" applyFont="1" applyBorder="1" applyAlignment="1" applyProtection="1">
      <alignment horizontal="center" shrinkToFit="1"/>
      <protection locked="0" hidden="1"/>
    </xf>
    <xf numFmtId="172" fontId="2" fillId="0" borderId="2" xfId="0" applyNumberFormat="1" applyFont="1" applyFill="1" applyBorder="1" applyAlignment="1" applyProtection="1">
      <alignment shrinkToFit="1"/>
      <protection locked="0" hidden="1"/>
    </xf>
    <xf numFmtId="0" fontId="2" fillId="0" borderId="0" xfId="0" applyFont="1" applyAlignment="1" applyProtection="1">
      <alignment horizontal="left" shrinkToFit="1"/>
      <protection locked="0" hidden="1"/>
    </xf>
    <xf numFmtId="0" fontId="0" fillId="0" borderId="0" xfId="0" applyAlignment="1">
      <alignment horizontal="left" shrinkToFit="1"/>
    </xf>
    <xf numFmtId="0" fontId="2" fillId="0" borderId="3" xfId="0" applyFont="1" applyBorder="1" applyAlignment="1" applyProtection="1">
      <alignment shrinkToFit="1"/>
      <protection hidden="1"/>
    </xf>
    <xf numFmtId="0" fontId="2" fillId="0" borderId="10" xfId="0" applyFont="1" applyBorder="1" applyAlignment="1" applyProtection="1">
      <alignment shrinkToFit="1"/>
      <protection hidden="1"/>
    </xf>
    <xf numFmtId="0" fontId="0" fillId="0" borderId="10" xfId="0" applyBorder="1" applyAlignment="1">
      <alignment shrinkToFit="1"/>
    </xf>
    <xf numFmtId="0" fontId="2" fillId="0" borderId="17" xfId="0" applyFont="1" applyBorder="1" applyAlignment="1" applyProtection="1">
      <alignment horizontal="left" shrinkToFit="1"/>
      <protection locked="0" hidden="1"/>
    </xf>
    <xf numFmtId="0" fontId="6" fillId="0" borderId="10" xfId="0" applyFont="1" applyBorder="1" applyAlignment="1" applyProtection="1">
      <alignment horizontal="center" shrinkToFit="1"/>
      <protection hidden="1"/>
    </xf>
    <xf numFmtId="0" fontId="6" fillId="0" borderId="1" xfId="0" applyFont="1" applyBorder="1" applyAlignment="1" applyProtection="1">
      <alignment shrinkToFit="1"/>
      <protection hidden="1"/>
    </xf>
    <xf numFmtId="0" fontId="6" fillId="0" borderId="17" xfId="0" applyFont="1" applyBorder="1" applyAlignment="1" applyProtection="1">
      <alignment shrinkToFit="1"/>
      <protection hidden="1"/>
    </xf>
    <xf numFmtId="0" fontId="10" fillId="0" borderId="1" xfId="0" applyFont="1" applyBorder="1" applyAlignment="1" applyProtection="1">
      <alignment horizontal="right" shrinkToFit="1"/>
      <protection hidden="1"/>
    </xf>
    <xf numFmtId="0" fontId="10" fillId="0" borderId="17" xfId="0" applyFont="1" applyBorder="1" applyAlignment="1" applyProtection="1">
      <alignment horizontal="right" shrinkToFit="1"/>
      <protection hidden="1"/>
    </xf>
    <xf numFmtId="0" fontId="10" fillId="0" borderId="6" xfId="0" applyFont="1" applyBorder="1" applyAlignment="1" applyProtection="1">
      <alignment horizontal="right" shrinkToFit="1"/>
      <protection hidden="1"/>
    </xf>
    <xf numFmtId="0" fontId="10" fillId="0" borderId="0" xfId="0" applyFont="1" applyAlignment="1" applyProtection="1">
      <alignment horizontal="right" shrinkToFit="1"/>
      <protection hidden="1"/>
    </xf>
    <xf numFmtId="0" fontId="2" fillId="0" borderId="6" xfId="0" applyFont="1" applyBorder="1" applyAlignment="1" applyProtection="1">
      <alignment horizontal="right" shrinkToFit="1"/>
      <protection hidden="1"/>
    </xf>
    <xf numFmtId="0" fontId="2" fillId="0" borderId="0" xfId="0" applyFont="1" applyAlignment="1" applyProtection="1">
      <alignment horizontal="right" shrinkToFit="1"/>
      <protection hidden="1"/>
    </xf>
    <xf numFmtId="0" fontId="6" fillId="0" borderId="6" xfId="0" applyFont="1" applyBorder="1" applyAlignment="1" applyProtection="1">
      <alignment shrinkToFit="1"/>
      <protection hidden="1"/>
    </xf>
    <xf numFmtId="0" fontId="6" fillId="0" borderId="0" xfId="0" applyFont="1" applyBorder="1" applyAlignment="1" applyProtection="1">
      <alignment shrinkToFit="1"/>
      <protection hidden="1"/>
    </xf>
    <xf numFmtId="0" fontId="2" fillId="0" borderId="11" xfId="0" applyFont="1" applyBorder="1" applyAlignment="1" applyProtection="1">
      <alignment shrinkToFit="1"/>
      <protection hidden="1"/>
    </xf>
    <xf numFmtId="0" fontId="2" fillId="0" borderId="6" xfId="0" applyFont="1" applyBorder="1" applyAlignment="1" applyProtection="1">
      <alignment shrinkToFit="1"/>
      <protection hidden="1"/>
    </xf>
    <xf numFmtId="0" fontId="2" fillId="0" borderId="0" xfId="0" applyFont="1" applyBorder="1" applyAlignment="1" applyProtection="1">
      <alignment shrinkToFit="1"/>
      <protection hidden="1"/>
    </xf>
    <xf numFmtId="0" fontId="2" fillId="0" borderId="3" xfId="0" applyFont="1" applyBorder="1" applyAlignment="1" applyProtection="1">
      <alignment horizontal="right" shrinkToFit="1"/>
      <protection hidden="1"/>
    </xf>
    <xf numFmtId="0" fontId="2" fillId="0" borderId="10" xfId="0" applyFont="1" applyBorder="1" applyAlignment="1" applyProtection="1">
      <alignment horizontal="right" shrinkToFit="1"/>
      <protection hidden="1"/>
    </xf>
    <xf numFmtId="0" fontId="2" fillId="0" borderId="17" xfId="0" applyFont="1" applyBorder="1" applyAlignment="1" applyProtection="1">
      <alignment shrinkToFit="1"/>
      <protection locked="0" hidden="1"/>
    </xf>
    <xf numFmtId="0" fontId="2" fillId="0" borderId="5" xfId="0" applyFont="1" applyBorder="1" applyAlignment="1" applyProtection="1">
      <alignment shrinkToFit="1"/>
      <protection locked="0" hidden="1"/>
    </xf>
    <xf numFmtId="0" fontId="2" fillId="0" borderId="0" xfId="0" applyFont="1" applyBorder="1" applyAlignment="1" applyProtection="1">
      <alignment shrinkToFit="1"/>
      <protection locked="0" hidden="1"/>
    </xf>
    <xf numFmtId="0" fontId="2" fillId="0" borderId="7" xfId="0" applyFont="1" applyBorder="1" applyAlignment="1" applyProtection="1">
      <alignment shrinkToFit="1"/>
      <protection locked="0" hidden="1"/>
    </xf>
    <xf numFmtId="0" fontId="2" fillId="0" borderId="17" xfId="0" quotePrefix="1" applyFont="1" applyBorder="1" applyAlignment="1" applyProtection="1">
      <alignment shrinkToFit="1"/>
      <protection locked="0" hidden="1"/>
    </xf>
    <xf numFmtId="0" fontId="4" fillId="0" borderId="17" xfId="0" applyFont="1" applyBorder="1" applyAlignment="1">
      <alignment shrinkToFit="1"/>
    </xf>
    <xf numFmtId="0" fontId="4" fillId="0" borderId="5" xfId="0" applyFont="1" applyBorder="1" applyAlignment="1">
      <alignment shrinkToFit="1"/>
    </xf>
    <xf numFmtId="0" fontId="7" fillId="0" borderId="17" xfId="0" applyFont="1" applyBorder="1" applyAlignment="1" applyProtection="1">
      <alignment horizontal="right" shrinkToFit="1"/>
      <protection locked="0" hidden="1"/>
    </xf>
    <xf numFmtId="0" fontId="2" fillId="0" borderId="17" xfId="0" applyFont="1" applyBorder="1" applyAlignment="1" applyProtection="1">
      <alignment shrinkToFit="1"/>
      <protection hidden="1"/>
    </xf>
    <xf numFmtId="0" fontId="2" fillId="0" borderId="5" xfId="0" applyFont="1" applyBorder="1" applyAlignment="1" applyProtection="1">
      <alignment shrinkToFit="1"/>
      <protection hidden="1"/>
    </xf>
    <xf numFmtId="0" fontId="2" fillId="0" borderId="0" xfId="0" applyFont="1" applyAlignment="1" applyProtection="1">
      <alignment shrinkToFit="1"/>
      <protection locked="0" hidden="1"/>
    </xf>
    <xf numFmtId="0" fontId="0" fillId="0" borderId="0" xfId="0" applyAlignment="1">
      <alignment shrinkToFit="1"/>
    </xf>
    <xf numFmtId="0" fontId="0" fillId="0" borderId="7" xfId="0" applyBorder="1" applyAlignment="1">
      <alignment shrinkToFit="1"/>
    </xf>
    <xf numFmtId="0" fontId="2" fillId="0" borderId="10" xfId="0" applyFont="1" applyBorder="1" applyAlignment="1" applyProtection="1">
      <alignment horizontal="left" shrinkToFit="1"/>
      <protection locked="0" hidden="1"/>
    </xf>
    <xf numFmtId="0" fontId="0" fillId="0" borderId="10" xfId="0" applyBorder="1" applyAlignment="1">
      <alignment horizontal="left" shrinkToFit="1"/>
    </xf>
    <xf numFmtId="0" fontId="6" fillId="0" borderId="1" xfId="0" applyFont="1" applyBorder="1" applyAlignment="1" applyProtection="1">
      <alignment horizontal="center" shrinkToFit="1"/>
      <protection hidden="1"/>
    </xf>
    <xf numFmtId="0" fontId="6" fillId="0" borderId="17" xfId="0" applyFont="1" applyBorder="1" applyAlignment="1" applyProtection="1">
      <alignment horizontal="center" shrinkToFit="1"/>
      <protection hidden="1"/>
    </xf>
    <xf numFmtId="0" fontId="6" fillId="0" borderId="5" xfId="0" applyFont="1" applyBorder="1" applyAlignment="1" applyProtection="1">
      <alignment horizontal="center" shrinkToFit="1"/>
      <protection hidden="1"/>
    </xf>
    <xf numFmtId="0" fontId="6" fillId="0" borderId="3" xfId="0" applyFont="1" applyBorder="1" applyAlignment="1" applyProtection="1">
      <alignment horizontal="center" shrinkToFit="1"/>
      <protection locked="0" hidden="1"/>
    </xf>
    <xf numFmtId="0" fontId="6" fillId="0" borderId="10" xfId="0" applyFont="1" applyBorder="1" applyAlignment="1" applyProtection="1">
      <alignment horizontal="center" shrinkToFit="1"/>
      <protection locked="0" hidden="1"/>
    </xf>
    <xf numFmtId="0" fontId="6" fillId="0" borderId="11" xfId="0" applyFont="1" applyBorder="1" applyAlignment="1" applyProtection="1">
      <alignment horizontal="center" shrinkToFit="1"/>
      <protection locked="0" hidden="1"/>
    </xf>
    <xf numFmtId="0" fontId="2" fillId="0" borderId="0" xfId="0" quotePrefix="1" applyFont="1" applyAlignment="1" applyProtection="1">
      <alignment wrapText="1" shrinkToFit="1"/>
      <protection locked="0" hidden="1"/>
    </xf>
    <xf numFmtId="0" fontId="4" fillId="0" borderId="0" xfId="0" applyFont="1" applyAlignment="1">
      <alignment shrinkToFit="1"/>
    </xf>
    <xf numFmtId="0" fontId="4" fillId="0" borderId="7" xfId="0" applyFont="1" applyBorder="1" applyAlignment="1">
      <alignment shrinkToFit="1"/>
    </xf>
    <xf numFmtId="0" fontId="2" fillId="0" borderId="10" xfId="0" applyFont="1" applyBorder="1" applyAlignment="1" applyProtection="1">
      <alignment shrinkToFit="1"/>
      <protection locked="0" hidden="1"/>
    </xf>
    <xf numFmtId="0" fontId="2" fillId="0" borderId="11" xfId="0" applyFont="1" applyBorder="1" applyAlignment="1" applyProtection="1">
      <alignment shrinkToFit="1"/>
      <protection locked="0" hidden="1"/>
    </xf>
    <xf numFmtId="22" fontId="2" fillId="0" borderId="10" xfId="0" quotePrefix="1" applyNumberFormat="1" applyFont="1" applyBorder="1" applyAlignment="1" applyProtection="1">
      <alignment shrinkToFit="1"/>
      <protection locked="0" hidden="1"/>
    </xf>
    <xf numFmtId="0" fontId="4" fillId="0" borderId="10" xfId="0" applyFont="1" applyBorder="1" applyAlignment="1">
      <alignment shrinkToFit="1"/>
    </xf>
    <xf numFmtId="0" fontId="4" fillId="0" borderId="11" xfId="0" applyFont="1" applyBorder="1" applyAlignment="1">
      <alignment shrinkToFit="1"/>
    </xf>
    <xf numFmtId="0" fontId="2" fillId="0" borderId="0" xfId="0" applyFont="1" applyAlignment="1" applyProtection="1">
      <alignment shrinkToFit="1"/>
      <protection hidden="1"/>
    </xf>
    <xf numFmtId="0" fontId="2" fillId="0" borderId="0" xfId="0" quotePrefix="1" applyFont="1" applyAlignment="1" applyProtection="1">
      <alignment shrinkToFit="1"/>
      <protection locked="0" hidden="1"/>
    </xf>
    <xf numFmtId="0" fontId="0" fillId="0" borderId="3" xfId="0" applyBorder="1" applyAlignment="1">
      <alignment horizontal="center" shrinkToFit="1"/>
    </xf>
    <xf numFmtId="0" fontId="0" fillId="0" borderId="10" xfId="0" applyBorder="1" applyAlignment="1">
      <alignment horizontal="center" shrinkToFit="1"/>
    </xf>
    <xf numFmtId="0" fontId="0" fillId="0" borderId="11" xfId="0" applyBorder="1" applyAlignment="1">
      <alignment horizontal="center" shrinkToFit="1"/>
    </xf>
    <xf numFmtId="0" fontId="2" fillId="0" borderId="3" xfId="0" applyFont="1" applyBorder="1" applyAlignment="1" applyProtection="1">
      <alignment horizontal="center" shrinkToFit="1"/>
      <protection locked="0" hidden="1"/>
    </xf>
    <xf numFmtId="0" fontId="2" fillId="0" borderId="10" xfId="0" applyFont="1" applyBorder="1" applyAlignment="1" applyProtection="1">
      <alignment horizontal="center" shrinkToFit="1"/>
      <protection locked="0" hidden="1"/>
    </xf>
    <xf numFmtId="0" fontId="6" fillId="0" borderId="0" xfId="0" applyFont="1" applyAlignment="1" applyProtection="1">
      <alignment shrinkToFit="1"/>
      <protection hidden="1"/>
    </xf>
    <xf numFmtId="0" fontId="6" fillId="0" borderId="10" xfId="0" applyFont="1" applyBorder="1" applyAlignment="1" applyProtection="1">
      <alignment shrinkToFit="1"/>
      <protection hidden="1"/>
    </xf>
    <xf numFmtId="0" fontId="0" fillId="0" borderId="11" xfId="0" applyBorder="1" applyAlignment="1">
      <alignment shrinkToFit="1"/>
    </xf>
    <xf numFmtId="0" fontId="2" fillId="0" borderId="11" xfId="0" applyFont="1" applyBorder="1" applyAlignment="1" applyProtection="1">
      <alignment horizontal="center" shrinkToFit="1"/>
      <protection locked="0" hidden="1"/>
    </xf>
    <xf numFmtId="0" fontId="3" fillId="0" borderId="6" xfId="0" applyFont="1" applyBorder="1" applyAlignment="1" applyProtection="1">
      <alignment shrinkToFit="1"/>
      <protection hidden="1"/>
    </xf>
    <xf numFmtId="0" fontId="3" fillId="0" borderId="0" xfId="0" applyFont="1" applyAlignment="1" applyProtection="1">
      <alignment shrinkToFit="1"/>
      <protection hidden="1"/>
    </xf>
    <xf numFmtId="169" fontId="6" fillId="0" borderId="17" xfId="0" applyNumberFormat="1" applyFont="1" applyFill="1" applyBorder="1" applyAlignment="1" applyProtection="1">
      <alignment horizontal="right" shrinkToFit="1"/>
      <protection hidden="1"/>
    </xf>
    <xf numFmtId="169" fontId="9" fillId="0" borderId="17" xfId="0" applyNumberFormat="1" applyFont="1" applyFill="1" applyBorder="1" applyAlignment="1">
      <alignment horizontal="right" shrinkToFit="1"/>
    </xf>
    <xf numFmtId="169" fontId="9" fillId="0" borderId="5" xfId="0" applyNumberFormat="1" applyFont="1" applyFill="1" applyBorder="1" applyAlignment="1">
      <alignment horizontal="right" shrinkToFit="1"/>
    </xf>
    <xf numFmtId="0" fontId="0" fillId="0" borderId="0" xfId="0" applyAlignment="1">
      <alignment horizontal="right" shrinkToFit="1"/>
    </xf>
    <xf numFmtId="0" fontId="0" fillId="0" borderId="7" xfId="0" applyBorder="1" applyAlignment="1">
      <alignment horizontal="right" shrinkToFit="1"/>
    </xf>
    <xf numFmtId="0" fontId="3" fillId="0" borderId="1" xfId="0" applyFont="1" applyBorder="1" applyAlignment="1" applyProtection="1">
      <alignment shrinkToFit="1"/>
      <protection hidden="1"/>
    </xf>
    <xf numFmtId="0" fontId="3" fillId="0" borderId="17" xfId="0" applyFont="1" applyBorder="1" applyAlignment="1" applyProtection="1">
      <alignment shrinkToFit="1"/>
      <protection hidden="1"/>
    </xf>
    <xf numFmtId="0" fontId="0" fillId="0" borderId="17" xfId="0" applyBorder="1" applyAlignment="1">
      <alignment shrinkToFit="1"/>
    </xf>
    <xf numFmtId="0" fontId="3" fillId="0" borderId="3" xfId="0" applyFont="1" applyBorder="1" applyProtection="1">
      <protection hidden="1"/>
    </xf>
    <xf numFmtId="0" fontId="3" fillId="0" borderId="10" xfId="0" applyFont="1" applyBorder="1" applyProtection="1">
      <protection hidden="1"/>
    </xf>
    <xf numFmtId="169" fontId="6" fillId="0" borderId="10" xfId="0" applyNumberFormat="1" applyFont="1" applyFill="1" applyBorder="1" applyAlignment="1" applyProtection="1">
      <alignment horizontal="right" shrinkToFit="1"/>
      <protection hidden="1"/>
    </xf>
    <xf numFmtId="169" fontId="6" fillId="0" borderId="11" xfId="0" applyNumberFormat="1" applyFont="1" applyFill="1" applyBorder="1" applyAlignment="1" applyProtection="1">
      <alignment horizontal="right" shrinkToFit="1"/>
      <protection hidden="1"/>
    </xf>
    <xf numFmtId="0" fontId="9" fillId="0" borderId="0" xfId="0" applyFont="1" applyAlignment="1">
      <alignment shrinkToFit="1"/>
    </xf>
    <xf numFmtId="0" fontId="2" fillId="0" borderId="6" xfId="0" applyFont="1" applyBorder="1" applyAlignment="1" applyProtection="1">
      <alignment horizontal="left" shrinkToFit="1"/>
      <protection locked="0" hidden="1"/>
    </xf>
    <xf numFmtId="0" fontId="2" fillId="0" borderId="7" xfId="0" applyFont="1" applyBorder="1" applyAlignment="1" applyProtection="1">
      <alignment horizontal="left" shrinkToFit="1"/>
      <protection locked="0" hidden="1"/>
    </xf>
    <xf numFmtId="0" fontId="1" fillId="0" borderId="6" xfId="0" applyFont="1" applyBorder="1" applyAlignment="1">
      <alignment shrinkToFit="1"/>
    </xf>
    <xf numFmtId="0" fontId="1" fillId="0" borderId="0" xfId="0" applyFont="1" applyBorder="1" applyAlignment="1">
      <alignment shrinkToFit="1"/>
    </xf>
    <xf numFmtId="0" fontId="1" fillId="0" borderId="7" xfId="0" applyFont="1" applyBorder="1" applyAlignment="1">
      <alignment shrinkToFit="1"/>
    </xf>
    <xf numFmtId="0" fontId="1" fillId="0" borderId="18" xfId="0" applyFont="1" applyFill="1" applyBorder="1" applyAlignment="1">
      <alignment shrinkToFit="1"/>
    </xf>
    <xf numFmtId="0" fontId="1" fillId="0" borderId="19" xfId="0" applyFont="1" applyFill="1" applyBorder="1" applyAlignment="1">
      <alignment shrinkToFit="1"/>
    </xf>
    <xf numFmtId="0" fontId="2" fillId="0" borderId="18" xfId="0" applyFont="1" applyBorder="1" applyAlignment="1" applyProtection="1">
      <alignment shrinkToFit="1"/>
      <protection locked="0" hidden="1"/>
    </xf>
    <xf numFmtId="0" fontId="2" fillId="0" borderId="19" xfId="0" applyFont="1" applyBorder="1" applyAlignment="1" applyProtection="1">
      <alignment shrinkToFit="1"/>
      <protection locked="0" hidden="1"/>
    </xf>
    <xf numFmtId="0" fontId="2" fillId="0" borderId="27" xfId="0" applyFont="1" applyBorder="1" applyAlignment="1" applyProtection="1">
      <alignment shrinkToFit="1"/>
      <protection locked="0" hidden="1"/>
    </xf>
    <xf numFmtId="0" fontId="1" fillId="0" borderId="1" xfId="0" applyFont="1" applyBorder="1" applyAlignment="1">
      <alignment horizontal="center" shrinkToFit="1"/>
    </xf>
    <xf numFmtId="0" fontId="1" fillId="0" borderId="17" xfId="0" applyFont="1" applyBorder="1" applyAlignment="1">
      <alignment horizontal="center" shrinkToFit="1"/>
    </xf>
    <xf numFmtId="0" fontId="1" fillId="0" borderId="5" xfId="0" applyFont="1" applyBorder="1" applyAlignment="1">
      <alignment horizontal="center" shrinkToFit="1"/>
    </xf>
    <xf numFmtId="0" fontId="6" fillId="0" borderId="6" xfId="0" applyFont="1" applyBorder="1" applyAlignment="1" applyProtection="1">
      <alignment shrinkToFit="1"/>
      <protection locked="0" hidden="1"/>
    </xf>
    <xf numFmtId="0" fontId="6" fillId="0" borderId="0" xfId="0" applyFont="1" applyBorder="1" applyAlignment="1" applyProtection="1">
      <alignment shrinkToFit="1"/>
      <protection locked="0" hidden="1"/>
    </xf>
    <xf numFmtId="0" fontId="2" fillId="0" borderId="1" xfId="0" applyFont="1" applyBorder="1" applyAlignment="1" applyProtection="1">
      <alignment horizontal="center" shrinkToFit="1"/>
      <protection locked="0" hidden="1"/>
    </xf>
    <xf numFmtId="0" fontId="2" fillId="0" borderId="5" xfId="0" applyFont="1" applyBorder="1" applyAlignment="1" applyProtection="1">
      <alignment horizontal="center" shrinkToFit="1"/>
      <protection locked="0" hidden="1"/>
    </xf>
    <xf numFmtId="0" fontId="6" fillId="0" borderId="18" xfId="0" applyFont="1" applyBorder="1" applyAlignment="1" applyProtection="1">
      <alignment horizontal="center" shrinkToFit="1"/>
      <protection hidden="1"/>
    </xf>
    <xf numFmtId="0" fontId="6" fillId="0" borderId="19" xfId="0" applyFont="1" applyBorder="1" applyAlignment="1" applyProtection="1">
      <alignment horizontal="center" shrinkToFit="1"/>
      <protection hidden="1"/>
    </xf>
    <xf numFmtId="0" fontId="2" fillId="0" borderId="1" xfId="0" applyFont="1" applyBorder="1" applyAlignment="1" applyProtection="1">
      <alignment shrinkToFit="1"/>
      <protection locked="0" hidden="1"/>
    </xf>
    <xf numFmtId="0" fontId="2" fillId="0" borderId="0" xfId="0" applyFont="1" applyBorder="1" applyAlignment="1" applyProtection="1">
      <alignment horizontal="left" shrinkToFit="1"/>
      <protection locked="0" hidden="1"/>
    </xf>
    <xf numFmtId="0" fontId="1" fillId="0" borderId="28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169" fontId="2" fillId="0" borderId="1" xfId="0" applyNumberFormat="1" applyFont="1" applyBorder="1" applyAlignment="1" applyProtection="1">
      <alignment horizontal="center" shrinkToFit="1"/>
      <protection locked="0" hidden="1"/>
    </xf>
    <xf numFmtId="169" fontId="2" fillId="0" borderId="5" xfId="0" applyNumberFormat="1" applyFont="1" applyBorder="1" applyAlignment="1" applyProtection="1">
      <alignment horizontal="center" shrinkToFit="1"/>
      <protection locked="0" hidden="1"/>
    </xf>
    <xf numFmtId="169" fontId="3" fillId="0" borderId="3" xfId="0" applyNumberFormat="1" applyFont="1" applyBorder="1" applyProtection="1">
      <protection hidden="1"/>
    </xf>
    <xf numFmtId="169" fontId="3" fillId="0" borderId="10" xfId="0" applyNumberFormat="1" applyFont="1" applyBorder="1" applyProtection="1">
      <protection hidden="1"/>
    </xf>
    <xf numFmtId="169" fontId="3" fillId="0" borderId="1" xfId="0" applyNumberFormat="1" applyFont="1" applyBorder="1" applyAlignment="1" applyProtection="1">
      <alignment shrinkToFit="1"/>
      <protection hidden="1"/>
    </xf>
    <xf numFmtId="169" fontId="3" fillId="0" borderId="17" xfId="0" applyNumberFormat="1" applyFont="1" applyBorder="1" applyAlignment="1" applyProtection="1">
      <alignment shrinkToFit="1"/>
      <protection hidden="1"/>
    </xf>
    <xf numFmtId="169" fontId="0" fillId="0" borderId="17" xfId="0" applyNumberFormat="1" applyBorder="1" applyAlignment="1">
      <alignment shrinkToFit="1"/>
    </xf>
    <xf numFmtId="169" fontId="3" fillId="0" borderId="6" xfId="0" applyNumberFormat="1" applyFont="1" applyBorder="1" applyAlignment="1" applyProtection="1">
      <alignment shrinkToFit="1"/>
      <protection hidden="1"/>
    </xf>
    <xf numFmtId="169" fontId="3" fillId="0" borderId="0" xfId="0" applyNumberFormat="1" applyFont="1" applyAlignment="1" applyProtection="1">
      <alignment shrinkToFit="1"/>
      <protection hidden="1"/>
    </xf>
    <xf numFmtId="169" fontId="0" fillId="0" borderId="0" xfId="0" applyNumberFormat="1" applyAlignment="1">
      <alignment shrinkToFit="1"/>
    </xf>
    <xf numFmtId="169" fontId="2" fillId="0" borderId="0" xfId="0" applyNumberFormat="1" applyFont="1" applyAlignment="1" applyProtection="1">
      <alignment horizontal="right" shrinkToFit="1"/>
      <protection hidden="1"/>
    </xf>
    <xf numFmtId="169" fontId="2" fillId="0" borderId="6" xfId="0" applyNumberFormat="1" applyFont="1" applyBorder="1" applyAlignment="1" applyProtection="1">
      <alignment shrinkToFit="1"/>
      <protection hidden="1"/>
    </xf>
    <xf numFmtId="169" fontId="2" fillId="0" borderId="0" xfId="0" applyNumberFormat="1" applyFont="1" applyAlignment="1" applyProtection="1">
      <alignment shrinkToFit="1"/>
      <protection hidden="1"/>
    </xf>
    <xf numFmtId="169" fontId="6" fillId="0" borderId="6" xfId="0" applyNumberFormat="1" applyFont="1" applyBorder="1" applyAlignment="1" applyProtection="1">
      <alignment shrinkToFit="1"/>
      <protection hidden="1"/>
    </xf>
    <xf numFmtId="169" fontId="6" fillId="0" borderId="0" xfId="0" applyNumberFormat="1" applyFont="1" applyAlignment="1" applyProtection="1">
      <alignment shrinkToFit="1"/>
      <protection hidden="1"/>
    </xf>
    <xf numFmtId="169" fontId="9" fillId="0" borderId="0" xfId="0" applyNumberFormat="1" applyFont="1" applyAlignment="1">
      <alignment shrinkToFit="1"/>
    </xf>
    <xf numFmtId="169" fontId="2" fillId="0" borderId="3" xfId="0" applyNumberFormat="1" applyFont="1" applyFill="1" applyBorder="1" applyAlignment="1" applyProtection="1">
      <alignment shrinkToFit="1"/>
      <protection locked="0" hidden="1"/>
    </xf>
    <xf numFmtId="169" fontId="2" fillId="0" borderId="10" xfId="0" applyNumberFormat="1" applyFont="1" applyFill="1" applyBorder="1" applyAlignment="1" applyProtection="1">
      <alignment shrinkToFit="1"/>
      <protection locked="0" hidden="1"/>
    </xf>
    <xf numFmtId="169" fontId="2" fillId="0" borderId="11" xfId="0" applyNumberFormat="1" applyFont="1" applyFill="1" applyBorder="1" applyAlignment="1" applyProtection="1">
      <alignment shrinkToFit="1"/>
      <protection locked="0" hidden="1"/>
    </xf>
    <xf numFmtId="169" fontId="2" fillId="0" borderId="6" xfId="0" applyNumberFormat="1" applyFont="1" applyFill="1" applyBorder="1" applyAlignment="1" applyProtection="1">
      <alignment shrinkToFit="1"/>
      <protection locked="0" hidden="1"/>
    </xf>
    <xf numFmtId="169" fontId="2" fillId="0" borderId="0" xfId="0" applyNumberFormat="1" applyFont="1" applyFill="1" applyAlignment="1" applyProtection="1">
      <alignment shrinkToFit="1"/>
      <protection locked="0" hidden="1"/>
    </xf>
    <xf numFmtId="169" fontId="2" fillId="0" borderId="7" xfId="0" applyNumberFormat="1" applyFont="1" applyFill="1" applyBorder="1" applyAlignment="1" applyProtection="1">
      <alignment shrinkToFit="1"/>
      <protection locked="0" hidden="1"/>
    </xf>
    <xf numFmtId="0" fontId="2" fillId="0" borderId="18" xfId="0" applyFont="1" applyFill="1" applyBorder="1" applyAlignment="1" applyProtection="1">
      <alignment horizontal="center" shrinkToFit="1"/>
      <protection locked="0" hidden="1"/>
    </xf>
    <xf numFmtId="0" fontId="2" fillId="0" borderId="19" xfId="0" applyFont="1" applyFill="1" applyBorder="1" applyAlignment="1" applyProtection="1">
      <alignment horizontal="center" shrinkToFit="1"/>
      <protection locked="0" hidden="1"/>
    </xf>
    <xf numFmtId="169" fontId="6" fillId="0" borderId="1" xfId="0" applyNumberFormat="1" applyFont="1" applyBorder="1" applyAlignment="1" applyProtection="1">
      <alignment horizontal="center" shrinkToFit="1"/>
      <protection hidden="1"/>
    </xf>
    <xf numFmtId="169" fontId="6" fillId="0" borderId="17" xfId="0" applyNumberFormat="1" applyFont="1" applyBorder="1" applyAlignment="1" applyProtection="1">
      <alignment horizontal="center" shrinkToFit="1"/>
      <protection hidden="1"/>
    </xf>
    <xf numFmtId="169" fontId="6" fillId="0" borderId="5" xfId="0" applyNumberFormat="1" applyFont="1" applyBorder="1" applyAlignment="1" applyProtection="1">
      <alignment horizontal="center" shrinkToFit="1"/>
      <protection hidden="1"/>
    </xf>
    <xf numFmtId="169" fontId="2" fillId="0" borderId="10" xfId="0" applyNumberFormat="1" applyFont="1" applyBorder="1" applyAlignment="1" applyProtection="1">
      <alignment horizontal="left" shrinkToFit="1"/>
      <protection locked="0" hidden="1"/>
    </xf>
    <xf numFmtId="169" fontId="2" fillId="0" borderId="11" xfId="0" applyNumberFormat="1" applyFont="1" applyBorder="1" applyAlignment="1" applyProtection="1">
      <alignment horizontal="left" shrinkToFit="1"/>
      <protection locked="0" hidden="1"/>
    </xf>
    <xf numFmtId="169" fontId="2" fillId="0" borderId="3" xfId="0" applyNumberFormat="1" applyFont="1" applyBorder="1" applyAlignment="1" applyProtection="1">
      <alignment horizontal="center" shrinkToFit="1"/>
      <protection locked="0" hidden="1"/>
    </xf>
    <xf numFmtId="169" fontId="2" fillId="0" borderId="10" xfId="0" applyNumberFormat="1" applyFont="1" applyBorder="1" applyAlignment="1" applyProtection="1">
      <alignment horizontal="center" shrinkToFit="1"/>
      <protection locked="0" hidden="1"/>
    </xf>
    <xf numFmtId="169" fontId="0" fillId="0" borderId="3" xfId="0" applyNumberFormat="1" applyBorder="1" applyAlignment="1">
      <alignment horizontal="center" shrinkToFit="1"/>
    </xf>
    <xf numFmtId="169" fontId="0" fillId="0" borderId="10" xfId="0" applyNumberFormat="1" applyBorder="1" applyAlignment="1">
      <alignment horizontal="center" shrinkToFit="1"/>
    </xf>
    <xf numFmtId="169" fontId="0" fillId="0" borderId="11" xfId="0" applyNumberFormat="1" applyBorder="1" applyAlignment="1">
      <alignment horizontal="center" shrinkToFit="1"/>
    </xf>
    <xf numFmtId="169" fontId="6" fillId="0" borderId="3" xfId="0" applyNumberFormat="1" applyFont="1" applyBorder="1" applyAlignment="1" applyProtection="1">
      <alignment horizontal="center" shrinkToFit="1"/>
      <protection locked="0" hidden="1"/>
    </xf>
    <xf numFmtId="169" fontId="6" fillId="0" borderId="10" xfId="0" applyNumberFormat="1" applyFont="1" applyBorder="1" applyAlignment="1" applyProtection="1">
      <alignment horizontal="center" shrinkToFit="1"/>
      <protection locked="0" hidden="1"/>
    </xf>
    <xf numFmtId="169" fontId="6" fillId="0" borderId="11" xfId="0" applyNumberFormat="1" applyFont="1" applyBorder="1" applyAlignment="1" applyProtection="1">
      <alignment horizontal="center" shrinkToFit="1"/>
      <protection locked="0" hidden="1"/>
    </xf>
    <xf numFmtId="169" fontId="2" fillId="0" borderId="11" xfId="0" applyNumberFormat="1" applyFont="1" applyBorder="1" applyAlignment="1" applyProtection="1">
      <alignment horizontal="center" shrinkToFit="1"/>
      <protection locked="0" hidden="1"/>
    </xf>
    <xf numFmtId="169" fontId="2" fillId="0" borderId="0" xfId="0" applyNumberFormat="1" applyFont="1" applyAlignment="1" applyProtection="1">
      <alignment horizontal="left" shrinkToFit="1"/>
      <protection locked="0" hidden="1"/>
    </xf>
    <xf numFmtId="169" fontId="2" fillId="0" borderId="7" xfId="0" applyNumberFormat="1" applyFont="1" applyBorder="1" applyAlignment="1" applyProtection="1">
      <alignment horizontal="left" shrinkToFit="1"/>
      <protection locked="0" hidden="1"/>
    </xf>
    <xf numFmtId="169" fontId="2" fillId="0" borderId="17" xfId="0" quotePrefix="1" applyNumberFormat="1" applyFont="1" applyBorder="1" applyAlignment="1" applyProtection="1">
      <alignment shrinkToFit="1"/>
      <protection locked="0" hidden="1"/>
    </xf>
    <xf numFmtId="169" fontId="4" fillId="0" borderId="17" xfId="0" applyNumberFormat="1" applyFont="1" applyBorder="1" applyAlignment="1">
      <alignment shrinkToFit="1"/>
    </xf>
    <xf numFmtId="169" fontId="4" fillId="0" borderId="5" xfId="0" applyNumberFormat="1" applyFont="1" applyBorder="1" applyAlignment="1">
      <alignment shrinkToFit="1"/>
    </xf>
    <xf numFmtId="169" fontId="2" fillId="0" borderId="6" xfId="0" applyNumberFormat="1" applyFont="1" applyBorder="1" applyAlignment="1" applyProtection="1">
      <alignment horizontal="right" shrinkToFit="1"/>
      <protection hidden="1"/>
    </xf>
    <xf numFmtId="169" fontId="6" fillId="0" borderId="1" xfId="0" applyNumberFormat="1" applyFont="1" applyBorder="1" applyAlignment="1" applyProtection="1">
      <alignment shrinkToFit="1"/>
      <protection hidden="1"/>
    </xf>
    <xf numFmtId="169" fontId="6" fillId="0" borderId="17" xfId="0" applyNumberFormat="1" applyFont="1" applyBorder="1" applyAlignment="1" applyProtection="1">
      <alignment shrinkToFit="1"/>
      <protection hidden="1"/>
    </xf>
    <xf numFmtId="169" fontId="7" fillId="0" borderId="17" xfId="0" applyNumberFormat="1" applyFont="1" applyBorder="1" applyAlignment="1" applyProtection="1">
      <alignment horizontal="right" shrinkToFit="1"/>
      <protection locked="0" hidden="1"/>
    </xf>
    <xf numFmtId="169" fontId="2" fillId="0" borderId="3" xfId="0" applyNumberFormat="1" applyFont="1" applyBorder="1" applyAlignment="1" applyProtection="1">
      <alignment shrinkToFit="1"/>
      <protection hidden="1"/>
    </xf>
    <xf numFmtId="169" fontId="2" fillId="0" borderId="10" xfId="0" applyNumberFormat="1" applyFont="1" applyBorder="1" applyAlignment="1" applyProtection="1">
      <alignment shrinkToFit="1"/>
      <protection hidden="1"/>
    </xf>
    <xf numFmtId="169" fontId="0" fillId="0" borderId="10" xfId="0" applyNumberFormat="1" applyBorder="1" applyAlignment="1">
      <alignment shrinkToFit="1"/>
    </xf>
    <xf numFmtId="169" fontId="2" fillId="0" borderId="10" xfId="0" quotePrefix="1" applyNumberFormat="1" applyFont="1" applyBorder="1" applyAlignment="1" applyProtection="1">
      <alignment shrinkToFit="1"/>
      <protection locked="0" hidden="1"/>
    </xf>
    <xf numFmtId="169" fontId="4" fillId="0" borderId="10" xfId="0" applyNumberFormat="1" applyFont="1" applyBorder="1" applyAlignment="1">
      <alignment shrinkToFit="1"/>
    </xf>
    <xf numFmtId="169" fontId="4" fillId="0" borderId="11" xfId="0" applyNumberFormat="1" applyFont="1" applyBorder="1" applyAlignment="1">
      <alignment shrinkToFit="1"/>
    </xf>
    <xf numFmtId="169" fontId="2" fillId="0" borderId="0" xfId="0" applyNumberFormat="1" applyFont="1" applyAlignment="1" applyProtection="1">
      <alignment shrinkToFit="1"/>
      <protection locked="0" hidden="1"/>
    </xf>
    <xf numFmtId="169" fontId="4" fillId="0" borderId="0" xfId="0" applyNumberFormat="1" applyFont="1" applyAlignment="1">
      <alignment shrinkToFit="1"/>
    </xf>
    <xf numFmtId="169" fontId="4" fillId="0" borderId="7" xfId="0" applyNumberFormat="1" applyFont="1" applyBorder="1" applyAlignment="1">
      <alignment shrinkToFit="1"/>
    </xf>
    <xf numFmtId="169" fontId="2" fillId="0" borderId="3" xfId="0" applyNumberFormat="1" applyFont="1" applyBorder="1" applyAlignment="1" applyProtection="1">
      <alignment horizontal="right" shrinkToFit="1"/>
      <protection hidden="1"/>
    </xf>
    <xf numFmtId="169" fontId="2" fillId="0" borderId="10" xfId="0" applyNumberFormat="1" applyFont="1" applyBorder="1" applyAlignment="1" applyProtection="1">
      <alignment horizontal="right" shrinkToFit="1"/>
      <protection hidden="1"/>
    </xf>
    <xf numFmtId="169" fontId="2" fillId="0" borderId="0" xfId="0" quotePrefix="1" applyNumberFormat="1" applyFont="1" applyAlignment="1" applyProtection="1">
      <alignment shrinkToFit="1"/>
      <protection locked="0" hidden="1"/>
    </xf>
    <xf numFmtId="0" fontId="2" fillId="0" borderId="18" xfId="0" applyFont="1" applyFill="1" applyBorder="1" applyAlignment="1" applyProtection="1">
      <alignment shrinkToFit="1"/>
      <protection locked="0" hidden="1"/>
    </xf>
    <xf numFmtId="0" fontId="2" fillId="0" borderId="19" xfId="0" applyFont="1" applyFill="1" applyBorder="1" applyAlignment="1" applyProtection="1">
      <alignment shrinkToFit="1"/>
      <protection locked="0" hidden="1"/>
    </xf>
    <xf numFmtId="0" fontId="2" fillId="0" borderId="27" xfId="0" applyFont="1" applyFill="1" applyBorder="1" applyAlignment="1" applyProtection="1">
      <alignment shrinkToFit="1"/>
      <protection locked="0" hidden="1"/>
    </xf>
    <xf numFmtId="169" fontId="6" fillId="0" borderId="3" xfId="0" applyNumberFormat="1" applyFont="1" applyBorder="1" applyAlignment="1" applyProtection="1">
      <alignment shrinkToFit="1"/>
      <protection locked="0" hidden="1"/>
    </xf>
    <xf numFmtId="169" fontId="6" fillId="0" borderId="10" xfId="0" applyNumberFormat="1" applyFont="1" applyBorder="1" applyAlignment="1" applyProtection="1">
      <alignment shrinkToFit="1"/>
      <protection locked="0" hidden="1"/>
    </xf>
    <xf numFmtId="169" fontId="6" fillId="0" borderId="11" xfId="0" applyNumberFormat="1" applyFont="1" applyBorder="1" applyAlignment="1" applyProtection="1">
      <alignment shrinkToFit="1"/>
      <protection locked="0" hidden="1"/>
    </xf>
    <xf numFmtId="169" fontId="6" fillId="0" borderId="10" xfId="0" applyNumberFormat="1" applyFont="1" applyBorder="1" applyAlignment="1" applyProtection="1">
      <alignment horizontal="center" shrinkToFit="1"/>
      <protection hidden="1"/>
    </xf>
    <xf numFmtId="169" fontId="10" fillId="0" borderId="1" xfId="0" applyNumberFormat="1" applyFont="1" applyBorder="1" applyAlignment="1" applyProtection="1">
      <alignment horizontal="right" shrinkToFit="1"/>
      <protection hidden="1"/>
    </xf>
    <xf numFmtId="169" fontId="10" fillId="0" borderId="17" xfId="0" applyNumberFormat="1" applyFont="1" applyBorder="1" applyAlignment="1" applyProtection="1">
      <alignment horizontal="right" shrinkToFit="1"/>
      <protection hidden="1"/>
    </xf>
    <xf numFmtId="169" fontId="10" fillId="0" borderId="6" xfId="0" applyNumberFormat="1" applyFont="1" applyBorder="1" applyAlignment="1" applyProtection="1">
      <alignment horizontal="right" shrinkToFit="1"/>
      <protection hidden="1"/>
    </xf>
    <xf numFmtId="169" fontId="10" fillId="0" borderId="0" xfId="0" applyNumberFormat="1" applyFont="1" applyAlignment="1" applyProtection="1">
      <alignment horizontal="right" shrinkToFit="1"/>
      <protection hidden="1"/>
    </xf>
    <xf numFmtId="169" fontId="2" fillId="0" borderId="17" xfId="0" applyNumberFormat="1" applyFont="1" applyBorder="1" applyAlignment="1" applyProtection="1">
      <alignment shrinkToFit="1"/>
      <protection hidden="1"/>
    </xf>
    <xf numFmtId="169" fontId="2" fillId="0" borderId="5" xfId="0" applyNumberFormat="1" applyFont="1" applyBorder="1" applyAlignment="1" applyProtection="1">
      <alignment shrinkToFit="1"/>
      <protection hidden="1"/>
    </xf>
    <xf numFmtId="169" fontId="2" fillId="0" borderId="11" xfId="0" applyNumberFormat="1" applyFont="1" applyBorder="1" applyAlignment="1" applyProtection="1">
      <alignment shrinkToFit="1"/>
      <protection hidden="1"/>
    </xf>
    <xf numFmtId="169" fontId="2" fillId="0" borderId="17" xfId="0" applyNumberFormat="1" applyFont="1" applyBorder="1" applyAlignment="1" applyProtection="1">
      <alignment horizontal="left" shrinkToFit="1"/>
      <protection locked="0" hidden="1"/>
    </xf>
    <xf numFmtId="169" fontId="2" fillId="0" borderId="5" xfId="0" applyNumberFormat="1" applyFont="1" applyBorder="1" applyAlignment="1" applyProtection="1">
      <alignment horizontal="left" shrinkToFit="1"/>
      <protection locked="0" hidden="1"/>
    </xf>
    <xf numFmtId="169" fontId="2" fillId="0" borderId="1" xfId="0" applyNumberFormat="1" applyFont="1" applyBorder="1" applyAlignment="1" applyProtection="1">
      <alignment shrinkToFit="1"/>
      <protection locked="0" hidden="1"/>
    </xf>
    <xf numFmtId="169" fontId="2" fillId="0" borderId="17" xfId="0" applyNumberFormat="1" applyFont="1" applyBorder="1" applyAlignment="1" applyProtection="1">
      <alignment shrinkToFit="1"/>
      <protection locked="0" hidden="1"/>
    </xf>
    <xf numFmtId="169" fontId="2" fillId="0" borderId="5" xfId="0" applyNumberFormat="1" applyFont="1" applyBorder="1" applyAlignment="1" applyProtection="1">
      <alignment shrinkToFit="1"/>
      <protection locked="0" hidden="1"/>
    </xf>
    <xf numFmtId="169" fontId="2" fillId="0" borderId="6" xfId="0" applyNumberFormat="1" applyFont="1" applyBorder="1" applyAlignment="1" applyProtection="1">
      <alignment horizontal="left" shrinkToFit="1"/>
      <protection locked="0" hidden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microsoft.com/office/2017/10/relationships/person" Target="persons/person0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76200</xdr:rowOff>
    </xdr:from>
    <xdr:to>
      <xdr:col>1</xdr:col>
      <xdr:colOff>9525</xdr:colOff>
      <xdr:row>6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228600"/>
          <a:ext cx="733425" cy="733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76200</xdr:rowOff>
    </xdr:from>
    <xdr:to>
      <xdr:col>1</xdr:col>
      <xdr:colOff>9525</xdr:colOff>
      <xdr:row>6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228600"/>
          <a:ext cx="733425" cy="73342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11"/>
  <sheetViews>
    <sheetView tabSelected="1" zoomScaleNormal="100" workbookViewId="0"/>
  </sheetViews>
  <sheetFormatPr defaultColWidth="0" defaultRowHeight="12" zeroHeight="1" x14ac:dyDescent="0.2"/>
  <cols>
    <col min="1" max="1" width="13.83203125" style="1" customWidth="1"/>
    <col min="2" max="2" width="14.1640625" style="1" bestFit="1" customWidth="1"/>
    <col min="3" max="5" width="11.83203125" style="1" customWidth="1"/>
    <col min="6" max="8" width="13.33203125" style="1" customWidth="1"/>
    <col min="9" max="9" width="17" style="1" bestFit="1" customWidth="1"/>
    <col min="10" max="11" width="13.33203125" style="1" customWidth="1"/>
    <col min="12" max="12" width="9.33203125" style="86" customWidth="1"/>
    <col min="13" max="16384" width="0" style="1" hidden="1"/>
  </cols>
  <sheetData>
    <row r="1" spans="1:11" x14ac:dyDescent="0.2">
      <c r="A1" s="2" t="s">
        <v>77</v>
      </c>
      <c r="B1" s="184" t="s">
        <v>13</v>
      </c>
      <c r="C1" s="184"/>
      <c r="D1" s="184"/>
      <c r="E1" s="184"/>
      <c r="F1" s="184"/>
      <c r="G1" s="184"/>
      <c r="H1" s="184"/>
      <c r="I1" s="184"/>
      <c r="J1" s="184"/>
      <c r="K1" s="184"/>
    </row>
    <row r="2" spans="1:11" ht="12.75" customHeight="1" x14ac:dyDescent="0.2">
      <c r="A2" s="187" t="s">
        <v>54</v>
      </c>
      <c r="B2" s="188"/>
      <c r="C2" s="188"/>
      <c r="D2" s="188"/>
      <c r="E2" s="188"/>
      <c r="F2" s="3" t="s">
        <v>5</v>
      </c>
      <c r="G2" s="208" t="s">
        <v>103</v>
      </c>
      <c r="H2" s="208"/>
      <c r="I2" s="208"/>
      <c r="J2" s="209"/>
      <c r="K2" s="4" t="s">
        <v>14</v>
      </c>
    </row>
    <row r="3" spans="1:11" ht="12.75" customHeight="1" x14ac:dyDescent="0.2">
      <c r="A3" s="189"/>
      <c r="B3" s="190"/>
      <c r="C3" s="190"/>
      <c r="D3" s="190"/>
      <c r="E3" s="190"/>
      <c r="F3" s="18" t="s">
        <v>26</v>
      </c>
      <c r="G3" s="181"/>
      <c r="H3" s="181"/>
      <c r="I3" s="181"/>
      <c r="J3" s="195"/>
      <c r="K3" s="19" t="s">
        <v>59</v>
      </c>
    </row>
    <row r="4" spans="1:11" x14ac:dyDescent="0.2">
      <c r="A4" s="191" t="s">
        <v>55</v>
      </c>
      <c r="B4" s="192"/>
      <c r="C4" s="192"/>
      <c r="D4" s="192"/>
      <c r="E4" s="192"/>
      <c r="F4" s="185" t="s">
        <v>6</v>
      </c>
      <c r="G4" s="186"/>
      <c r="H4" s="200" t="s">
        <v>134</v>
      </c>
      <c r="I4" s="200"/>
      <c r="J4" s="200"/>
      <c r="K4" s="201"/>
    </row>
    <row r="5" spans="1:11" x14ac:dyDescent="0.2">
      <c r="A5" s="191" t="s">
        <v>56</v>
      </c>
      <c r="B5" s="192"/>
      <c r="C5" s="192"/>
      <c r="D5" s="192"/>
      <c r="E5" s="192"/>
      <c r="F5" s="196" t="s">
        <v>2</v>
      </c>
      <c r="G5" s="197"/>
      <c r="H5" s="202" t="s">
        <v>135</v>
      </c>
      <c r="I5" s="202"/>
      <c r="J5" s="202"/>
      <c r="K5" s="203"/>
    </row>
    <row r="6" spans="1:11" x14ac:dyDescent="0.2">
      <c r="A6" s="191" t="s">
        <v>57</v>
      </c>
      <c r="B6" s="192"/>
      <c r="C6" s="192"/>
      <c r="D6" s="192"/>
      <c r="E6" s="192"/>
      <c r="F6" s="193"/>
      <c r="G6" s="194"/>
      <c r="H6" s="202" t="s">
        <v>136</v>
      </c>
      <c r="I6" s="202"/>
      <c r="J6" s="202"/>
      <c r="K6" s="203"/>
    </row>
    <row r="7" spans="1:11" x14ac:dyDescent="0.2">
      <c r="A7" s="198" t="s">
        <v>58</v>
      </c>
      <c r="B7" s="199"/>
      <c r="C7" s="199"/>
      <c r="D7" s="199"/>
      <c r="E7" s="199"/>
      <c r="F7" s="180" t="s">
        <v>3</v>
      </c>
      <c r="G7" s="181"/>
      <c r="H7" s="224" t="s">
        <v>137</v>
      </c>
      <c r="I7" s="224"/>
      <c r="J7" s="224"/>
      <c r="K7" s="225"/>
    </row>
    <row r="8" spans="1:11" ht="12.75" x14ac:dyDescent="0.2">
      <c r="A8" s="185" t="s">
        <v>18</v>
      </c>
      <c r="B8" s="186"/>
      <c r="C8" s="207"/>
      <c r="D8" s="207"/>
      <c r="E8" s="207"/>
      <c r="F8" s="6" t="s">
        <v>75</v>
      </c>
      <c r="G8" s="204" t="s">
        <v>132</v>
      </c>
      <c r="H8" s="205"/>
      <c r="I8" s="205"/>
      <c r="J8" s="205"/>
      <c r="K8" s="206"/>
    </row>
    <row r="9" spans="1:11" ht="12.75" x14ac:dyDescent="0.2">
      <c r="A9" s="196" t="s">
        <v>28</v>
      </c>
      <c r="B9" s="229"/>
      <c r="C9" s="229"/>
      <c r="D9" s="229"/>
      <c r="E9" s="229"/>
      <c r="F9" s="17"/>
      <c r="G9" s="221"/>
      <c r="H9" s="222"/>
      <c r="I9" s="222"/>
      <c r="J9" s="222"/>
      <c r="K9" s="223"/>
    </row>
    <row r="10" spans="1:11" ht="12.75" x14ac:dyDescent="0.2">
      <c r="A10" s="196" t="s">
        <v>27</v>
      </c>
      <c r="B10" s="229"/>
      <c r="C10" s="229"/>
      <c r="D10" s="211"/>
      <c r="E10" s="211"/>
      <c r="F10" s="17" t="s">
        <v>38</v>
      </c>
      <c r="G10" s="230" t="s">
        <v>133</v>
      </c>
      <c r="H10" s="222"/>
      <c r="I10" s="222"/>
      <c r="J10" s="222"/>
      <c r="K10" s="223"/>
    </row>
    <row r="11" spans="1:11" ht="12.75" x14ac:dyDescent="0.2">
      <c r="A11" s="196" t="s">
        <v>37</v>
      </c>
      <c r="B11" s="229"/>
      <c r="C11" s="229"/>
      <c r="D11" s="211"/>
      <c r="E11" s="211"/>
      <c r="F11" s="70"/>
      <c r="G11" s="210"/>
      <c r="H11" s="222"/>
      <c r="I11" s="222"/>
      <c r="J11" s="222"/>
      <c r="K11" s="223"/>
    </row>
    <row r="12" spans="1:11" ht="12.75" x14ac:dyDescent="0.2">
      <c r="A12" s="180" t="s">
        <v>36</v>
      </c>
      <c r="B12" s="181"/>
      <c r="C12" s="181"/>
      <c r="D12" s="182"/>
      <c r="E12" s="182"/>
      <c r="F12" s="8" t="s">
        <v>24</v>
      </c>
      <c r="G12" s="226" t="s">
        <v>129</v>
      </c>
      <c r="H12" s="227"/>
      <c r="I12" s="227"/>
      <c r="J12" s="227"/>
      <c r="K12" s="228"/>
    </row>
    <row r="13" spans="1:11" x14ac:dyDescent="0.2">
      <c r="A13" s="3" t="s">
        <v>20</v>
      </c>
      <c r="B13" s="183" t="s">
        <v>138</v>
      </c>
      <c r="C13" s="183"/>
      <c r="D13" s="183"/>
      <c r="E13" s="183"/>
      <c r="F13" s="215" t="s">
        <v>8</v>
      </c>
      <c r="G13" s="216"/>
      <c r="H13" s="217"/>
      <c r="I13" s="215" t="s">
        <v>7</v>
      </c>
      <c r="J13" s="216"/>
      <c r="K13" s="217"/>
    </row>
    <row r="14" spans="1:11" ht="12.75" x14ac:dyDescent="0.2">
      <c r="A14" s="7" t="s">
        <v>21</v>
      </c>
      <c r="B14" s="178" t="s">
        <v>139</v>
      </c>
      <c r="C14" s="178"/>
      <c r="D14" s="179"/>
      <c r="E14" s="179"/>
      <c r="F14" s="218" t="s">
        <v>9</v>
      </c>
      <c r="G14" s="219"/>
      <c r="H14" s="220"/>
      <c r="I14" s="218" t="s">
        <v>29</v>
      </c>
      <c r="J14" s="219"/>
      <c r="K14" s="220"/>
    </row>
    <row r="15" spans="1:11" ht="12.75" x14ac:dyDescent="0.2">
      <c r="A15" s="5" t="s">
        <v>22</v>
      </c>
      <c r="B15" s="213"/>
      <c r="C15" s="213"/>
      <c r="D15" s="214"/>
      <c r="E15" s="214"/>
      <c r="F15" s="193"/>
      <c r="G15" s="236"/>
      <c r="H15" s="210"/>
      <c r="I15" s="211"/>
      <c r="J15" s="211"/>
      <c r="K15" s="212"/>
    </row>
    <row r="16" spans="1:11" x14ac:dyDescent="0.2">
      <c r="A16" s="215" t="s">
        <v>15</v>
      </c>
      <c r="B16" s="216"/>
      <c r="C16" s="215" t="s">
        <v>16</v>
      </c>
      <c r="D16" s="216"/>
      <c r="E16" s="217"/>
      <c r="F16" s="268" t="s">
        <v>10</v>
      </c>
      <c r="G16" s="269"/>
      <c r="H16" s="210" t="s">
        <v>74</v>
      </c>
      <c r="I16" s="210"/>
      <c r="J16" s="210"/>
      <c r="K16" s="203"/>
    </row>
    <row r="17" spans="1:12" ht="12.75" x14ac:dyDescent="0.2">
      <c r="A17" s="234" t="s">
        <v>4</v>
      </c>
      <c r="B17" s="235"/>
      <c r="C17" s="231"/>
      <c r="D17" s="232"/>
      <c r="E17" s="233"/>
      <c r="F17" s="193"/>
      <c r="G17" s="211"/>
      <c r="H17" s="210"/>
      <c r="I17" s="211"/>
      <c r="J17" s="211"/>
      <c r="K17" s="212"/>
    </row>
    <row r="18" spans="1:12" ht="12.75" x14ac:dyDescent="0.2">
      <c r="A18" s="215" t="s">
        <v>12</v>
      </c>
      <c r="B18" s="216"/>
      <c r="C18" s="215" t="s">
        <v>0</v>
      </c>
      <c r="D18" s="216"/>
      <c r="E18" s="217"/>
      <c r="F18" s="193" t="s">
        <v>25</v>
      </c>
      <c r="G18" s="211"/>
      <c r="H18" s="210" t="s">
        <v>30</v>
      </c>
      <c r="I18" s="211"/>
      <c r="J18" s="211"/>
      <c r="K18" s="212"/>
    </row>
    <row r="19" spans="1:12" ht="12.75" customHeight="1" x14ac:dyDescent="0.2">
      <c r="A19" s="234" t="str">
        <f>G10</f>
        <v>CAPE SYROS VOYAGE 092E</v>
      </c>
      <c r="B19" s="235"/>
      <c r="C19" s="218" t="s">
        <v>68</v>
      </c>
      <c r="D19" s="219"/>
      <c r="E19" s="220"/>
      <c r="F19" s="193"/>
      <c r="G19" s="211"/>
      <c r="H19" s="210"/>
      <c r="I19" s="211"/>
      <c r="J19" s="211"/>
      <c r="K19" s="212"/>
    </row>
    <row r="20" spans="1:12" ht="12.75" customHeight="1" x14ac:dyDescent="0.2">
      <c r="A20" s="215" t="s">
        <v>1</v>
      </c>
      <c r="B20" s="216"/>
      <c r="C20" s="215" t="s">
        <v>19</v>
      </c>
      <c r="D20" s="216"/>
      <c r="E20" s="217"/>
      <c r="F20" s="193" t="s">
        <v>23</v>
      </c>
      <c r="G20" s="211"/>
      <c r="H20" s="236" t="s">
        <v>64</v>
      </c>
      <c r="I20" s="211"/>
      <c r="J20" s="211"/>
      <c r="K20" s="212"/>
    </row>
    <row r="21" spans="1:12" ht="12.75" customHeight="1" x14ac:dyDescent="0.2">
      <c r="A21" s="234" t="s">
        <v>31</v>
      </c>
      <c r="B21" s="235"/>
      <c r="C21" s="234" t="s">
        <v>32</v>
      </c>
      <c r="D21" s="235"/>
      <c r="E21" s="239"/>
      <c r="F21" s="180"/>
      <c r="G21" s="181"/>
      <c r="H21" s="237" t="s">
        <v>65</v>
      </c>
      <c r="I21" s="182"/>
      <c r="J21" s="182"/>
      <c r="K21" s="238"/>
    </row>
    <row r="22" spans="1:12" x14ac:dyDescent="0.2">
      <c r="A22" s="9" t="s">
        <v>11</v>
      </c>
      <c r="B22" s="272" t="s">
        <v>42</v>
      </c>
      <c r="C22" s="273"/>
      <c r="D22" s="273"/>
      <c r="E22" s="273"/>
      <c r="F22" s="273"/>
      <c r="G22" s="273"/>
      <c r="H22" s="273"/>
      <c r="I22" s="10" t="s">
        <v>39</v>
      </c>
      <c r="J22" s="10" t="s">
        <v>41</v>
      </c>
      <c r="K22" s="10" t="s">
        <v>40</v>
      </c>
    </row>
    <row r="23" spans="1:12" x14ac:dyDescent="0.2">
      <c r="A23" s="11" t="s">
        <v>45</v>
      </c>
      <c r="B23" s="274" t="s">
        <v>105</v>
      </c>
      <c r="C23" s="200"/>
      <c r="D23" s="200"/>
      <c r="E23" s="200"/>
      <c r="F23" s="200"/>
      <c r="G23" s="200"/>
      <c r="H23" s="201"/>
      <c r="I23" s="102"/>
      <c r="J23" s="270" t="s">
        <v>44</v>
      </c>
      <c r="K23" s="271"/>
    </row>
    <row r="24" spans="1:12" x14ac:dyDescent="0.2">
      <c r="A24" s="11" t="s">
        <v>128</v>
      </c>
      <c r="B24" s="255" t="s">
        <v>140</v>
      </c>
      <c r="C24" s="275"/>
      <c r="D24" s="275"/>
      <c r="E24" s="275"/>
      <c r="F24" s="275"/>
      <c r="G24" s="275"/>
      <c r="H24" s="256"/>
      <c r="I24" s="97"/>
      <c r="J24" s="20"/>
      <c r="K24" s="20"/>
    </row>
    <row r="25" spans="1:12" ht="12.75" customHeight="1" x14ac:dyDescent="0.2">
      <c r="A25" s="14" t="s">
        <v>104</v>
      </c>
      <c r="B25" s="255"/>
      <c r="C25" s="178"/>
      <c r="D25" s="178"/>
      <c r="E25" s="178"/>
      <c r="F25" s="178"/>
      <c r="G25" s="178"/>
      <c r="H25" s="256"/>
      <c r="I25" s="75"/>
      <c r="J25" s="20"/>
      <c r="K25" s="20"/>
    </row>
    <row r="26" spans="1:12" ht="12.75" customHeight="1" x14ac:dyDescent="0.2">
      <c r="A26" s="14"/>
      <c r="B26" s="257" t="s">
        <v>141</v>
      </c>
      <c r="C26" s="258"/>
      <c r="D26" s="258"/>
      <c r="E26" s="258"/>
      <c r="F26" s="258"/>
      <c r="G26" s="258"/>
      <c r="H26" s="259"/>
      <c r="I26" s="66"/>
      <c r="J26" s="20"/>
      <c r="K26" s="66"/>
    </row>
    <row r="27" spans="1:12" x14ac:dyDescent="0.2">
      <c r="A27" s="14"/>
      <c r="B27" s="131" t="s">
        <v>46</v>
      </c>
      <c r="C27" s="68" t="s">
        <v>66</v>
      </c>
      <c r="D27" s="103" t="s">
        <v>67</v>
      </c>
      <c r="E27" s="104"/>
      <c r="F27" s="105"/>
      <c r="G27" s="106"/>
      <c r="H27" s="107"/>
      <c r="I27" s="108" t="s">
        <v>47</v>
      </c>
      <c r="J27" s="109" t="s">
        <v>48</v>
      </c>
      <c r="K27" s="24"/>
    </row>
    <row r="28" spans="1:12" x14ac:dyDescent="0.2">
      <c r="A28" s="12"/>
      <c r="B28" s="26" t="s">
        <v>78</v>
      </c>
      <c r="C28" s="72">
        <v>15</v>
      </c>
      <c r="D28" s="113">
        <v>225</v>
      </c>
      <c r="E28" s="114"/>
      <c r="F28" s="115"/>
      <c r="G28" s="116"/>
      <c r="H28" s="117"/>
      <c r="I28" s="21">
        <v>6000</v>
      </c>
      <c r="J28" s="84">
        <v>7.0000000000000007E-2</v>
      </c>
      <c r="K28" s="110">
        <f>I28*J28</f>
        <v>420.00000000000006</v>
      </c>
      <c r="L28" s="87"/>
    </row>
    <row r="29" spans="1:12" x14ac:dyDescent="0.2">
      <c r="A29" s="12"/>
      <c r="B29" s="65" t="s">
        <v>81</v>
      </c>
      <c r="C29" s="73">
        <v>15</v>
      </c>
      <c r="D29" s="118">
        <v>457</v>
      </c>
      <c r="E29" s="119"/>
      <c r="F29" s="120"/>
      <c r="G29" s="121"/>
      <c r="H29" s="122"/>
      <c r="I29" s="21">
        <v>7200</v>
      </c>
      <c r="J29" s="84">
        <v>0.24</v>
      </c>
      <c r="K29" s="110">
        <f>I29*J29</f>
        <v>1728</v>
      </c>
      <c r="L29" s="87"/>
    </row>
    <row r="30" spans="1:12" x14ac:dyDescent="0.2">
      <c r="A30" s="12"/>
      <c r="B30" s="65">
        <v>90441400</v>
      </c>
      <c r="C30" s="73" t="s">
        <v>83</v>
      </c>
      <c r="D30" s="118">
        <v>450</v>
      </c>
      <c r="E30" s="119"/>
      <c r="F30" s="120"/>
      <c r="G30" s="121"/>
      <c r="H30" s="122"/>
      <c r="I30" s="21">
        <v>2600</v>
      </c>
      <c r="J30" s="84">
        <v>0.24</v>
      </c>
      <c r="K30" s="110">
        <f t="shared" ref="K30:K69" si="0">I30*J30</f>
        <v>624</v>
      </c>
      <c r="L30" s="71"/>
    </row>
    <row r="31" spans="1:12" x14ac:dyDescent="0.2">
      <c r="A31" s="12"/>
      <c r="B31" s="65" t="s">
        <v>82</v>
      </c>
      <c r="C31" s="73">
        <v>15</v>
      </c>
      <c r="D31" s="118">
        <v>610</v>
      </c>
      <c r="E31" s="119"/>
      <c r="F31" s="123"/>
      <c r="G31" s="121"/>
      <c r="H31" s="124"/>
      <c r="I31" s="21">
        <v>2300</v>
      </c>
      <c r="J31" s="22">
        <v>0.3</v>
      </c>
      <c r="K31" s="110">
        <f t="shared" si="0"/>
        <v>690</v>
      </c>
      <c r="L31" s="71"/>
    </row>
    <row r="32" spans="1:12" x14ac:dyDescent="0.2">
      <c r="A32" s="12"/>
      <c r="B32" s="65">
        <v>90441600</v>
      </c>
      <c r="C32" s="73" t="s">
        <v>83</v>
      </c>
      <c r="D32" s="118">
        <v>600</v>
      </c>
      <c r="E32" s="119"/>
      <c r="F32" s="123"/>
      <c r="G32" s="121"/>
      <c r="H32" s="124"/>
      <c r="I32" s="21">
        <v>1600</v>
      </c>
      <c r="J32" s="22">
        <v>0.31</v>
      </c>
      <c r="K32" s="110">
        <f t="shared" si="0"/>
        <v>496</v>
      </c>
      <c r="L32" s="71"/>
    </row>
    <row r="33" spans="1:11" x14ac:dyDescent="0.2">
      <c r="A33" s="12"/>
      <c r="B33" s="65" t="s">
        <v>106</v>
      </c>
      <c r="C33" s="73">
        <v>15</v>
      </c>
      <c r="D33" s="118">
        <v>915</v>
      </c>
      <c r="E33" s="119"/>
      <c r="F33" s="123"/>
      <c r="G33" s="121"/>
      <c r="H33" s="124"/>
      <c r="I33" s="21">
        <v>1000</v>
      </c>
      <c r="J33" s="22">
        <v>0.41</v>
      </c>
      <c r="K33" s="110">
        <f t="shared" si="0"/>
        <v>410</v>
      </c>
    </row>
    <row r="34" spans="1:11" x14ac:dyDescent="0.2">
      <c r="A34" s="12"/>
      <c r="B34" s="65">
        <v>90441800</v>
      </c>
      <c r="C34" s="73" t="s">
        <v>83</v>
      </c>
      <c r="D34" s="118">
        <v>900</v>
      </c>
      <c r="E34" s="119"/>
      <c r="F34" s="123"/>
      <c r="G34" s="121"/>
      <c r="H34" s="124"/>
      <c r="I34" s="21">
        <v>700</v>
      </c>
      <c r="J34" s="22">
        <v>0.44</v>
      </c>
      <c r="K34" s="110">
        <f t="shared" si="0"/>
        <v>308</v>
      </c>
    </row>
    <row r="35" spans="1:11" x14ac:dyDescent="0.2">
      <c r="A35" s="12"/>
      <c r="B35" s="65" t="s">
        <v>86</v>
      </c>
      <c r="C35" s="73">
        <v>15</v>
      </c>
      <c r="D35" s="118">
        <v>1220</v>
      </c>
      <c r="E35" s="119"/>
      <c r="F35" s="123"/>
      <c r="G35" s="121"/>
      <c r="H35" s="124"/>
      <c r="I35" s="21">
        <v>50</v>
      </c>
      <c r="J35" s="22">
        <v>0.53</v>
      </c>
      <c r="K35" s="110">
        <f t="shared" si="0"/>
        <v>26.5</v>
      </c>
    </row>
    <row r="36" spans="1:11" x14ac:dyDescent="0.2">
      <c r="A36" s="12"/>
      <c r="B36" s="65" t="s">
        <v>107</v>
      </c>
      <c r="C36" s="73">
        <v>20</v>
      </c>
      <c r="D36" s="118">
        <v>100</v>
      </c>
      <c r="E36" s="119"/>
      <c r="F36" s="123"/>
      <c r="G36" s="121"/>
      <c r="H36" s="124"/>
      <c r="I36" s="21">
        <v>500</v>
      </c>
      <c r="J36" s="22">
        <v>0.13</v>
      </c>
      <c r="K36" s="110">
        <f t="shared" si="0"/>
        <v>65</v>
      </c>
    </row>
    <row r="37" spans="1:11" x14ac:dyDescent="0.2">
      <c r="A37" s="12"/>
      <c r="B37" s="65">
        <v>90447000</v>
      </c>
      <c r="C37" s="73" t="s">
        <v>70</v>
      </c>
      <c r="D37" s="118">
        <v>240</v>
      </c>
      <c r="E37" s="119"/>
      <c r="F37" s="123"/>
      <c r="G37" s="121"/>
      <c r="H37" s="124"/>
      <c r="I37" s="21">
        <v>4000</v>
      </c>
      <c r="J37" s="22">
        <v>0.22</v>
      </c>
      <c r="K37" s="110">
        <f t="shared" si="0"/>
        <v>880</v>
      </c>
    </row>
    <row r="38" spans="1:11" x14ac:dyDescent="0.2">
      <c r="A38" s="12"/>
      <c r="B38" s="65" t="s">
        <v>108</v>
      </c>
      <c r="C38" s="73">
        <v>20</v>
      </c>
      <c r="D38" s="118">
        <v>457</v>
      </c>
      <c r="E38" s="119"/>
      <c r="F38" s="123"/>
      <c r="G38" s="121"/>
      <c r="H38" s="124"/>
      <c r="I38" s="21">
        <v>400</v>
      </c>
      <c r="J38" s="22">
        <v>0.35</v>
      </c>
      <c r="K38" s="110">
        <f t="shared" si="0"/>
        <v>140</v>
      </c>
    </row>
    <row r="39" spans="1:11" x14ac:dyDescent="0.2">
      <c r="A39" s="12"/>
      <c r="B39" s="65">
        <v>90442400</v>
      </c>
      <c r="C39" s="73" t="s">
        <v>70</v>
      </c>
      <c r="D39" s="118">
        <v>450</v>
      </c>
      <c r="E39" s="119"/>
      <c r="F39" s="123"/>
      <c r="G39" s="121"/>
      <c r="H39" s="124"/>
      <c r="I39" s="21">
        <v>1600</v>
      </c>
      <c r="J39" s="22">
        <v>0.36</v>
      </c>
      <c r="K39" s="110">
        <f t="shared" si="0"/>
        <v>576</v>
      </c>
    </row>
    <row r="40" spans="1:11" x14ac:dyDescent="0.2">
      <c r="A40" s="12"/>
      <c r="B40" s="65" t="s">
        <v>87</v>
      </c>
      <c r="C40" s="73">
        <v>20</v>
      </c>
      <c r="D40" s="118">
        <v>610</v>
      </c>
      <c r="E40" s="119"/>
      <c r="F40" s="123"/>
      <c r="G40" s="121"/>
      <c r="H40" s="124"/>
      <c r="I40" s="21">
        <v>1000</v>
      </c>
      <c r="J40" s="22">
        <v>0.45</v>
      </c>
      <c r="K40" s="110">
        <f t="shared" si="0"/>
        <v>450</v>
      </c>
    </row>
    <row r="41" spans="1:11" x14ac:dyDescent="0.2">
      <c r="A41" s="12"/>
      <c r="B41" s="65">
        <v>90442700</v>
      </c>
      <c r="C41" s="73" t="s">
        <v>70</v>
      </c>
      <c r="D41" s="118">
        <v>750</v>
      </c>
      <c r="E41" s="119"/>
      <c r="F41" s="123"/>
      <c r="G41" s="121"/>
      <c r="H41" s="124"/>
      <c r="I41" s="21">
        <v>500</v>
      </c>
      <c r="J41" s="22">
        <v>0.56000000000000005</v>
      </c>
      <c r="K41" s="110">
        <f t="shared" si="0"/>
        <v>280</v>
      </c>
    </row>
    <row r="42" spans="1:11" x14ac:dyDescent="0.2">
      <c r="A42" s="12"/>
      <c r="B42" s="65" t="s">
        <v>109</v>
      </c>
      <c r="C42" s="73">
        <v>25</v>
      </c>
      <c r="D42" s="118">
        <v>200</v>
      </c>
      <c r="E42" s="119"/>
      <c r="F42" s="123"/>
      <c r="G42" s="121"/>
      <c r="H42" s="124"/>
      <c r="I42" s="21">
        <v>600</v>
      </c>
      <c r="J42" s="22">
        <v>0.24</v>
      </c>
      <c r="K42" s="110">
        <f t="shared" si="0"/>
        <v>144</v>
      </c>
    </row>
    <row r="43" spans="1:11" x14ac:dyDescent="0.2">
      <c r="A43" s="52"/>
      <c r="B43" s="65">
        <v>90448000</v>
      </c>
      <c r="C43" s="73" t="s">
        <v>49</v>
      </c>
      <c r="D43" s="118">
        <v>270</v>
      </c>
      <c r="E43" s="119"/>
      <c r="F43" s="123"/>
      <c r="G43" s="121"/>
      <c r="H43" s="124"/>
      <c r="I43" s="21">
        <v>500</v>
      </c>
      <c r="J43" s="22">
        <v>0.35</v>
      </c>
      <c r="K43" s="110">
        <f t="shared" si="0"/>
        <v>175</v>
      </c>
    </row>
    <row r="44" spans="1:11" x14ac:dyDescent="0.2">
      <c r="A44" s="12"/>
      <c r="B44" s="65" t="s">
        <v>84</v>
      </c>
      <c r="C44" s="73">
        <v>25</v>
      </c>
      <c r="D44" s="118">
        <v>375</v>
      </c>
      <c r="E44" s="119"/>
      <c r="F44" s="123"/>
      <c r="G44" s="121"/>
      <c r="H44" s="124"/>
      <c r="I44" s="21">
        <v>1000</v>
      </c>
      <c r="J44" s="22">
        <v>0.39</v>
      </c>
      <c r="K44" s="110">
        <f t="shared" si="0"/>
        <v>390</v>
      </c>
    </row>
    <row r="45" spans="1:11" x14ac:dyDescent="0.2">
      <c r="A45" s="12"/>
      <c r="B45" s="65" t="s">
        <v>79</v>
      </c>
      <c r="C45" s="73">
        <v>25</v>
      </c>
      <c r="D45" s="118">
        <v>457</v>
      </c>
      <c r="E45" s="119"/>
      <c r="F45" s="123"/>
      <c r="G45" s="121"/>
      <c r="H45" s="124"/>
      <c r="I45" s="21">
        <v>2300</v>
      </c>
      <c r="J45" s="22">
        <v>0.45</v>
      </c>
      <c r="K45" s="110">
        <f t="shared" si="0"/>
        <v>1035</v>
      </c>
    </row>
    <row r="46" spans="1:11" x14ac:dyDescent="0.2">
      <c r="A46" s="12"/>
      <c r="B46" s="65">
        <v>90443400</v>
      </c>
      <c r="C46" s="73" t="s">
        <v>49</v>
      </c>
      <c r="D46" s="118">
        <v>450</v>
      </c>
      <c r="E46" s="119"/>
      <c r="F46" s="123"/>
      <c r="G46" s="121"/>
      <c r="H46" s="124"/>
      <c r="I46" s="21">
        <v>800</v>
      </c>
      <c r="J46" s="22">
        <v>0.46</v>
      </c>
      <c r="K46" s="110">
        <f t="shared" si="0"/>
        <v>368</v>
      </c>
    </row>
    <row r="47" spans="1:11" x14ac:dyDescent="0.2">
      <c r="A47" s="12"/>
      <c r="B47" s="65" t="s">
        <v>110</v>
      </c>
      <c r="C47" s="73">
        <v>25</v>
      </c>
      <c r="D47" s="118">
        <v>610</v>
      </c>
      <c r="E47" s="119"/>
      <c r="F47" s="123"/>
      <c r="G47" s="121"/>
      <c r="H47" s="124"/>
      <c r="I47" s="21">
        <v>400</v>
      </c>
      <c r="J47" s="22">
        <v>0.57999999999999996</v>
      </c>
      <c r="K47" s="110">
        <f t="shared" si="0"/>
        <v>231.99999999999997</v>
      </c>
    </row>
    <row r="48" spans="1:11" x14ac:dyDescent="0.2">
      <c r="A48" s="12"/>
      <c r="B48" s="65">
        <v>90443600</v>
      </c>
      <c r="C48" s="73" t="s">
        <v>49</v>
      </c>
      <c r="D48" s="118">
        <v>600</v>
      </c>
      <c r="E48" s="119"/>
      <c r="F48" s="123"/>
      <c r="G48" s="121"/>
      <c r="H48" s="124"/>
      <c r="I48" s="21">
        <v>500</v>
      </c>
      <c r="J48" s="22">
        <v>0.6</v>
      </c>
      <c r="K48" s="110">
        <f t="shared" si="0"/>
        <v>300</v>
      </c>
    </row>
    <row r="49" spans="1:11" x14ac:dyDescent="0.2">
      <c r="A49" s="11"/>
      <c r="B49" s="65">
        <v>90443700</v>
      </c>
      <c r="C49" s="73" t="s">
        <v>49</v>
      </c>
      <c r="D49" s="118">
        <v>750</v>
      </c>
      <c r="E49" s="119"/>
      <c r="F49" s="123"/>
      <c r="G49" s="121"/>
      <c r="H49" s="124"/>
      <c r="I49" s="21">
        <v>500</v>
      </c>
      <c r="J49" s="22">
        <v>0.72</v>
      </c>
      <c r="K49" s="110">
        <f t="shared" si="0"/>
        <v>360</v>
      </c>
    </row>
    <row r="50" spans="1:11" x14ac:dyDescent="0.2">
      <c r="A50" s="12"/>
      <c r="B50" s="65">
        <v>90443900</v>
      </c>
      <c r="C50" s="73" t="s">
        <v>49</v>
      </c>
      <c r="D50" s="118">
        <v>1800</v>
      </c>
      <c r="E50" s="119"/>
      <c r="F50" s="123"/>
      <c r="G50" s="121"/>
      <c r="H50" s="124"/>
      <c r="I50" s="21">
        <v>200</v>
      </c>
      <c r="J50" s="22">
        <v>1.66</v>
      </c>
      <c r="K50" s="110">
        <f t="shared" si="0"/>
        <v>332</v>
      </c>
    </row>
    <row r="51" spans="1:11" x14ac:dyDescent="0.2">
      <c r="A51" s="12"/>
      <c r="B51" s="65" t="s">
        <v>111</v>
      </c>
      <c r="C51" s="73">
        <v>32</v>
      </c>
      <c r="D51" s="118">
        <v>150</v>
      </c>
      <c r="E51" s="119"/>
      <c r="F51" s="123"/>
      <c r="G51" s="121"/>
      <c r="H51" s="124"/>
      <c r="I51" s="21">
        <v>600</v>
      </c>
      <c r="J51" s="22">
        <v>0.28000000000000003</v>
      </c>
      <c r="K51" s="110">
        <f t="shared" si="0"/>
        <v>168.00000000000003</v>
      </c>
    </row>
    <row r="52" spans="1:11" x14ac:dyDescent="0.2">
      <c r="A52" s="29"/>
      <c r="B52" s="65">
        <v>90446200</v>
      </c>
      <c r="C52" s="73" t="s">
        <v>118</v>
      </c>
      <c r="D52" s="118">
        <v>150</v>
      </c>
      <c r="E52" s="119"/>
      <c r="F52" s="123"/>
      <c r="G52" s="121"/>
      <c r="H52" s="124"/>
      <c r="I52" s="21">
        <v>300</v>
      </c>
      <c r="J52" s="22">
        <v>0.28999999999999998</v>
      </c>
      <c r="K52" s="110">
        <f t="shared" si="0"/>
        <v>87</v>
      </c>
    </row>
    <row r="53" spans="1:11" x14ac:dyDescent="0.2">
      <c r="A53" s="30"/>
      <c r="B53" s="65" t="s">
        <v>112</v>
      </c>
      <c r="C53" s="73">
        <v>32</v>
      </c>
      <c r="D53" s="118">
        <v>450</v>
      </c>
      <c r="E53" s="119"/>
      <c r="F53" s="123"/>
      <c r="G53" s="121"/>
      <c r="H53" s="124"/>
      <c r="I53" s="21">
        <v>100</v>
      </c>
      <c r="J53" s="22">
        <v>0.6</v>
      </c>
      <c r="K53" s="110">
        <f t="shared" si="0"/>
        <v>60</v>
      </c>
    </row>
    <row r="54" spans="1:11" x14ac:dyDescent="0.2">
      <c r="A54" s="29"/>
      <c r="B54" s="65">
        <v>90446400</v>
      </c>
      <c r="C54" s="73" t="s">
        <v>118</v>
      </c>
      <c r="D54" s="118">
        <v>450</v>
      </c>
      <c r="E54" s="119"/>
      <c r="F54" s="123"/>
      <c r="G54" s="121"/>
      <c r="H54" s="124"/>
      <c r="I54" s="21">
        <v>100</v>
      </c>
      <c r="J54" s="22">
        <v>0.63</v>
      </c>
      <c r="K54" s="110">
        <f t="shared" si="0"/>
        <v>63</v>
      </c>
    </row>
    <row r="55" spans="1:11" x14ac:dyDescent="0.2">
      <c r="A55" s="30"/>
      <c r="B55" s="65">
        <v>90446600</v>
      </c>
      <c r="C55" s="73" t="s">
        <v>118</v>
      </c>
      <c r="D55" s="118">
        <v>600</v>
      </c>
      <c r="E55" s="119"/>
      <c r="F55" s="123"/>
      <c r="G55" s="121"/>
      <c r="H55" s="124"/>
      <c r="I55" s="21">
        <v>200</v>
      </c>
      <c r="J55" s="22">
        <v>0.8</v>
      </c>
      <c r="K55" s="110">
        <f t="shared" si="0"/>
        <v>160</v>
      </c>
    </row>
    <row r="56" spans="1:11" x14ac:dyDescent="0.2">
      <c r="A56" s="12"/>
      <c r="B56" s="65" t="s">
        <v>113</v>
      </c>
      <c r="C56" s="73">
        <v>32</v>
      </c>
      <c r="D56" s="118">
        <v>750</v>
      </c>
      <c r="E56" s="119"/>
      <c r="F56" s="123"/>
      <c r="G56" s="121"/>
      <c r="H56" s="124"/>
      <c r="I56" s="21">
        <v>60</v>
      </c>
      <c r="J56" s="22">
        <v>0.93</v>
      </c>
      <c r="K56" s="110">
        <f t="shared" si="0"/>
        <v>55.800000000000004</v>
      </c>
    </row>
    <row r="57" spans="1:11" x14ac:dyDescent="0.2">
      <c r="A57" s="12"/>
      <c r="B57" s="65">
        <v>90446700</v>
      </c>
      <c r="C57" s="73" t="s">
        <v>118</v>
      </c>
      <c r="D57" s="118">
        <v>900</v>
      </c>
      <c r="E57" s="119"/>
      <c r="F57" s="123"/>
      <c r="G57" s="121"/>
      <c r="H57" s="125"/>
      <c r="I57" s="21">
        <v>100</v>
      </c>
      <c r="J57" s="22">
        <v>1.1499999999999999</v>
      </c>
      <c r="K57" s="110">
        <f t="shared" si="0"/>
        <v>114.99999999999999</v>
      </c>
    </row>
    <row r="58" spans="1:11" x14ac:dyDescent="0.2">
      <c r="A58" s="12"/>
      <c r="B58" s="65">
        <v>90446800</v>
      </c>
      <c r="C58" s="73" t="s">
        <v>118</v>
      </c>
      <c r="D58" s="118">
        <v>1800</v>
      </c>
      <c r="E58" s="119"/>
      <c r="F58" s="123"/>
      <c r="G58" s="121"/>
      <c r="H58" s="125"/>
      <c r="I58" s="21">
        <v>50</v>
      </c>
      <c r="J58" s="22">
        <v>2.2000000000000002</v>
      </c>
      <c r="K58" s="110">
        <f t="shared" si="0"/>
        <v>110.00000000000001</v>
      </c>
    </row>
    <row r="59" spans="1:11" x14ac:dyDescent="0.2">
      <c r="A59" s="12"/>
      <c r="B59" s="65">
        <v>90447200</v>
      </c>
      <c r="C59" s="73" t="s">
        <v>119</v>
      </c>
      <c r="D59" s="118">
        <v>150</v>
      </c>
      <c r="E59" s="119"/>
      <c r="F59" s="123"/>
      <c r="G59" s="121"/>
      <c r="H59" s="125"/>
      <c r="I59" s="21">
        <v>300</v>
      </c>
      <c r="J59" s="22">
        <v>0.34</v>
      </c>
      <c r="K59" s="110">
        <f t="shared" si="0"/>
        <v>102.00000000000001</v>
      </c>
    </row>
    <row r="60" spans="1:11" x14ac:dyDescent="0.2">
      <c r="A60" s="12"/>
      <c r="B60" s="65" t="s">
        <v>114</v>
      </c>
      <c r="C60" s="73">
        <v>40</v>
      </c>
      <c r="D60" s="118">
        <v>200</v>
      </c>
      <c r="E60" s="119"/>
      <c r="F60" s="123"/>
      <c r="G60" s="121"/>
      <c r="H60" s="125"/>
      <c r="I60" s="21">
        <v>150</v>
      </c>
      <c r="J60" s="22">
        <v>0.44</v>
      </c>
      <c r="K60" s="110">
        <f t="shared" si="0"/>
        <v>66</v>
      </c>
    </row>
    <row r="61" spans="1:11" x14ac:dyDescent="0.2">
      <c r="A61" s="11"/>
      <c r="B61" s="65" t="s">
        <v>115</v>
      </c>
      <c r="C61" s="73">
        <v>40</v>
      </c>
      <c r="D61" s="118">
        <v>450</v>
      </c>
      <c r="E61" s="119"/>
      <c r="F61" s="123"/>
      <c r="G61" s="121"/>
      <c r="H61" s="125"/>
      <c r="I61" s="21">
        <v>100</v>
      </c>
      <c r="J61" s="22">
        <v>0.81</v>
      </c>
      <c r="K61" s="110">
        <f t="shared" si="0"/>
        <v>81</v>
      </c>
    </row>
    <row r="62" spans="1:11" x14ac:dyDescent="0.2">
      <c r="A62" s="11"/>
      <c r="B62" s="65">
        <v>90447400</v>
      </c>
      <c r="C62" s="73" t="s">
        <v>119</v>
      </c>
      <c r="D62" s="118">
        <v>450</v>
      </c>
      <c r="E62" s="119"/>
      <c r="F62" s="123"/>
      <c r="G62" s="121"/>
      <c r="H62" s="125"/>
      <c r="I62" s="21">
        <v>200</v>
      </c>
      <c r="J62" s="22">
        <v>0.86</v>
      </c>
      <c r="K62" s="110">
        <f t="shared" si="0"/>
        <v>172</v>
      </c>
    </row>
    <row r="63" spans="1:11" x14ac:dyDescent="0.2">
      <c r="A63" s="11"/>
      <c r="B63" s="65" t="s">
        <v>116</v>
      </c>
      <c r="C63" s="73">
        <v>50</v>
      </c>
      <c r="D63" s="118">
        <v>150</v>
      </c>
      <c r="E63" s="119"/>
      <c r="F63" s="123"/>
      <c r="G63" s="121"/>
      <c r="H63" s="124"/>
      <c r="I63" s="21">
        <v>150</v>
      </c>
      <c r="J63" s="22">
        <v>0.41</v>
      </c>
      <c r="K63" s="110">
        <f t="shared" si="0"/>
        <v>61.499999999999993</v>
      </c>
    </row>
    <row r="64" spans="1:11" x14ac:dyDescent="0.2">
      <c r="A64" s="12"/>
      <c r="B64" s="65">
        <v>90448200</v>
      </c>
      <c r="C64" s="73" t="s">
        <v>80</v>
      </c>
      <c r="D64" s="118">
        <v>150</v>
      </c>
      <c r="E64" s="119"/>
      <c r="F64" s="123"/>
      <c r="G64" s="121"/>
      <c r="H64" s="124"/>
      <c r="I64" s="21">
        <v>150</v>
      </c>
      <c r="J64" s="22">
        <v>0.42</v>
      </c>
      <c r="K64" s="110">
        <f t="shared" si="0"/>
        <v>63</v>
      </c>
    </row>
    <row r="65" spans="1:11" x14ac:dyDescent="0.2">
      <c r="A65" s="29"/>
      <c r="B65" s="65">
        <v>90448300</v>
      </c>
      <c r="C65" s="73" t="s">
        <v>80</v>
      </c>
      <c r="D65" s="118">
        <v>300</v>
      </c>
      <c r="E65" s="119"/>
      <c r="F65" s="123"/>
      <c r="G65" s="121"/>
      <c r="H65" s="124"/>
      <c r="I65" s="21">
        <v>75</v>
      </c>
      <c r="J65" s="22">
        <v>0.75</v>
      </c>
      <c r="K65" s="110">
        <f t="shared" si="0"/>
        <v>56.25</v>
      </c>
    </row>
    <row r="66" spans="1:11" x14ac:dyDescent="0.2">
      <c r="A66" s="29"/>
      <c r="B66" s="65" t="s">
        <v>117</v>
      </c>
      <c r="C66" s="73">
        <v>50</v>
      </c>
      <c r="D66" s="118">
        <v>450</v>
      </c>
      <c r="E66" s="119"/>
      <c r="F66" s="123"/>
      <c r="G66" s="121"/>
      <c r="H66" s="124"/>
      <c r="I66" s="21">
        <v>100</v>
      </c>
      <c r="J66" s="22">
        <v>1.02</v>
      </c>
      <c r="K66" s="110">
        <f t="shared" si="0"/>
        <v>102</v>
      </c>
    </row>
    <row r="67" spans="1:11" x14ac:dyDescent="0.2">
      <c r="A67" s="30"/>
      <c r="B67" s="65">
        <v>90448400</v>
      </c>
      <c r="C67" s="73" t="s">
        <v>80</v>
      </c>
      <c r="D67" s="118">
        <v>450</v>
      </c>
      <c r="E67" s="119"/>
      <c r="F67" s="123"/>
      <c r="G67" s="121"/>
      <c r="H67" s="125"/>
      <c r="I67" s="21">
        <v>100</v>
      </c>
      <c r="J67" s="22">
        <v>1.07</v>
      </c>
      <c r="K67" s="110">
        <f t="shared" si="0"/>
        <v>107</v>
      </c>
    </row>
    <row r="68" spans="1:11" x14ac:dyDescent="0.2">
      <c r="A68" s="12"/>
      <c r="B68" s="65">
        <v>90448800</v>
      </c>
      <c r="C68" s="73" t="s">
        <v>80</v>
      </c>
      <c r="D68" s="118">
        <v>1200</v>
      </c>
      <c r="E68" s="119"/>
      <c r="F68" s="123"/>
      <c r="G68" s="121"/>
      <c r="H68" s="125"/>
      <c r="I68" s="21">
        <v>50</v>
      </c>
      <c r="J68" s="22">
        <v>2.69</v>
      </c>
      <c r="K68" s="110">
        <f t="shared" si="0"/>
        <v>134.5</v>
      </c>
    </row>
    <row r="69" spans="1:11" x14ac:dyDescent="0.2">
      <c r="A69" s="12"/>
      <c r="B69" s="65">
        <v>90448820</v>
      </c>
      <c r="C69" s="73" t="s">
        <v>80</v>
      </c>
      <c r="D69" s="126">
        <v>1800</v>
      </c>
      <c r="E69" s="127"/>
      <c r="F69" s="128"/>
      <c r="G69" s="129"/>
      <c r="H69" s="130"/>
      <c r="I69" s="21">
        <v>60</v>
      </c>
      <c r="J69" s="22">
        <v>4.0199999999999996</v>
      </c>
      <c r="K69" s="110">
        <f t="shared" si="0"/>
        <v>241.2</v>
      </c>
    </row>
    <row r="70" spans="1:11" x14ac:dyDescent="0.2">
      <c r="A70" s="11"/>
      <c r="B70" s="260" t="s">
        <v>142</v>
      </c>
      <c r="C70" s="261"/>
      <c r="D70" s="261"/>
      <c r="E70" s="261"/>
      <c r="F70" s="261"/>
      <c r="G70" s="261"/>
      <c r="H70" s="261"/>
      <c r="I70" s="132"/>
      <c r="J70" s="133"/>
      <c r="K70" s="132"/>
    </row>
    <row r="71" spans="1:11" x14ac:dyDescent="0.2">
      <c r="A71" s="12"/>
      <c r="B71" s="65" t="s">
        <v>120</v>
      </c>
      <c r="C71" s="73">
        <v>25</v>
      </c>
      <c r="D71" s="113">
        <v>600</v>
      </c>
      <c r="E71" s="160"/>
      <c r="F71" s="172"/>
      <c r="G71" s="116"/>
      <c r="H71" s="134"/>
      <c r="I71" s="21">
        <v>100</v>
      </c>
      <c r="J71" s="22">
        <v>0.6</v>
      </c>
      <c r="K71" s="28">
        <f>I71*J71</f>
        <v>60</v>
      </c>
    </row>
    <row r="72" spans="1:11" x14ac:dyDescent="0.2">
      <c r="A72" s="12"/>
      <c r="B72" s="65">
        <v>90445600</v>
      </c>
      <c r="C72" s="73" t="s">
        <v>49</v>
      </c>
      <c r="D72" s="173">
        <v>600</v>
      </c>
      <c r="E72" s="119"/>
      <c r="F72" s="123"/>
      <c r="G72" s="121"/>
      <c r="H72" s="135"/>
      <c r="I72" s="21">
        <v>500</v>
      </c>
      <c r="J72" s="22">
        <v>0.63</v>
      </c>
      <c r="K72" s="28">
        <f t="shared" ref="K72:K75" si="1">I72*J72</f>
        <v>315</v>
      </c>
    </row>
    <row r="73" spans="1:11" x14ac:dyDescent="0.2">
      <c r="A73" s="11"/>
      <c r="B73" s="65">
        <v>90445700</v>
      </c>
      <c r="C73" s="73" t="s">
        <v>49</v>
      </c>
      <c r="D73" s="173">
        <v>750</v>
      </c>
      <c r="E73" s="119"/>
      <c r="F73" s="123"/>
      <c r="G73" s="121"/>
      <c r="H73" s="125"/>
      <c r="I73" s="21">
        <v>200</v>
      </c>
      <c r="J73" s="22">
        <v>0.77</v>
      </c>
      <c r="K73" s="28">
        <f t="shared" si="1"/>
        <v>154</v>
      </c>
    </row>
    <row r="74" spans="1:11" x14ac:dyDescent="0.2">
      <c r="A74" s="12"/>
      <c r="B74" s="26" t="s">
        <v>121</v>
      </c>
      <c r="C74" s="21">
        <v>25</v>
      </c>
      <c r="D74" s="173">
        <v>900</v>
      </c>
      <c r="E74" s="119"/>
      <c r="F74" s="123"/>
      <c r="G74" s="136"/>
      <c r="H74" s="135"/>
      <c r="I74" s="21">
        <v>200</v>
      </c>
      <c r="J74" s="22">
        <v>0.86</v>
      </c>
      <c r="K74" s="23">
        <f t="shared" si="1"/>
        <v>172</v>
      </c>
    </row>
    <row r="75" spans="1:11" x14ac:dyDescent="0.2">
      <c r="A75" s="11"/>
      <c r="B75" s="92">
        <v>90445800</v>
      </c>
      <c r="C75" s="93" t="s">
        <v>49</v>
      </c>
      <c r="D75" s="174">
        <v>900</v>
      </c>
      <c r="E75" s="161"/>
      <c r="F75" s="128"/>
      <c r="G75" s="129"/>
      <c r="H75" s="137"/>
      <c r="I75" s="62">
        <v>200</v>
      </c>
      <c r="J75" s="31">
        <v>0.89</v>
      </c>
      <c r="K75" s="25">
        <f t="shared" si="1"/>
        <v>178</v>
      </c>
    </row>
    <row r="76" spans="1:11" x14ac:dyDescent="0.2">
      <c r="A76" s="11"/>
      <c r="B76" s="262" t="s">
        <v>143</v>
      </c>
      <c r="C76" s="263"/>
      <c r="D76" s="263"/>
      <c r="E76" s="263"/>
      <c r="F76" s="263"/>
      <c r="G76" s="263"/>
      <c r="H76" s="264"/>
      <c r="I76" s="88"/>
      <c r="J76" s="61"/>
      <c r="K76" s="76"/>
    </row>
    <row r="77" spans="1:11" x14ac:dyDescent="0.2">
      <c r="A77" s="11"/>
      <c r="B77" s="69" t="s">
        <v>46</v>
      </c>
      <c r="C77" s="141" t="s">
        <v>66</v>
      </c>
      <c r="D77" s="142"/>
      <c r="E77" s="104"/>
      <c r="F77" s="105"/>
      <c r="G77" s="106"/>
      <c r="H77" s="107"/>
      <c r="I77" s="108" t="s">
        <v>47</v>
      </c>
      <c r="J77" s="109" t="s">
        <v>76</v>
      </c>
      <c r="K77" s="25"/>
    </row>
    <row r="78" spans="1:11" x14ac:dyDescent="0.2">
      <c r="A78" s="11"/>
      <c r="B78" s="65" t="s">
        <v>88</v>
      </c>
      <c r="C78" s="100">
        <v>15</v>
      </c>
      <c r="D78" s="143"/>
      <c r="E78" s="119"/>
      <c r="F78" s="123"/>
      <c r="G78" s="121"/>
      <c r="H78" s="124"/>
      <c r="I78" s="21">
        <v>300</v>
      </c>
      <c r="J78" s="22">
        <v>14.4</v>
      </c>
      <c r="K78" s="28">
        <f t="shared" ref="K78:K79" si="2">I78*J78/100</f>
        <v>43.2</v>
      </c>
    </row>
    <row r="79" spans="1:11" x14ac:dyDescent="0.2">
      <c r="A79" s="11"/>
      <c r="B79" s="77" t="s">
        <v>89</v>
      </c>
      <c r="C79" s="101">
        <v>15</v>
      </c>
      <c r="D79" s="144"/>
      <c r="E79" s="127"/>
      <c r="F79" s="128"/>
      <c r="G79" s="145"/>
      <c r="H79" s="130"/>
      <c r="I79" s="62">
        <v>4000</v>
      </c>
      <c r="J79" s="31">
        <v>13.8</v>
      </c>
      <c r="K79" s="96">
        <f t="shared" si="2"/>
        <v>552</v>
      </c>
    </row>
    <row r="80" spans="1:11" x14ac:dyDescent="0.2">
      <c r="A80" s="11"/>
      <c r="B80" s="265"/>
      <c r="C80" s="266"/>
      <c r="D80" s="266"/>
      <c r="E80" s="266"/>
      <c r="F80" s="266"/>
      <c r="G80" s="266"/>
      <c r="H80" s="267"/>
      <c r="I80" s="67"/>
      <c r="J80" s="20"/>
      <c r="K80" s="111"/>
    </row>
    <row r="81" spans="1:12" ht="12.75" thickBot="1" x14ac:dyDescent="0.25">
      <c r="A81" s="15"/>
      <c r="B81" s="218" t="s">
        <v>63</v>
      </c>
      <c r="C81" s="219"/>
      <c r="D81" s="219"/>
      <c r="E81" s="146"/>
      <c r="F81" s="147"/>
      <c r="G81" s="148">
        <f>SUM(G28:G80)</f>
        <v>0</v>
      </c>
      <c r="H81" s="149"/>
      <c r="I81" s="94"/>
      <c r="J81" s="16"/>
      <c r="K81" s="112">
        <f>SUM(K28:K80)</f>
        <v>13908.95</v>
      </c>
    </row>
    <row r="82" spans="1:12" ht="13.5" thickTop="1" x14ac:dyDescent="0.2">
      <c r="A82" s="247" t="s">
        <v>60</v>
      </c>
      <c r="B82" s="248"/>
      <c r="C82" s="248"/>
      <c r="D82" s="248"/>
      <c r="E82" s="249"/>
      <c r="F82" s="249"/>
      <c r="G82" s="249"/>
      <c r="H82" s="242" t="s">
        <v>146</v>
      </c>
      <c r="I82" s="243"/>
      <c r="J82" s="243"/>
      <c r="K82" s="244"/>
      <c r="L82" s="171"/>
    </row>
    <row r="83" spans="1:12" ht="12.75" x14ac:dyDescent="0.2">
      <c r="A83" s="240" t="s">
        <v>61</v>
      </c>
      <c r="B83" s="241"/>
      <c r="C83" s="241"/>
      <c r="D83" s="241"/>
      <c r="E83" s="211"/>
      <c r="F83" s="211"/>
      <c r="G83" s="211"/>
      <c r="H83" s="192"/>
      <c r="I83" s="245"/>
      <c r="J83" s="245"/>
      <c r="K83" s="246"/>
    </row>
    <row r="84" spans="1:12" ht="12.75" x14ac:dyDescent="0.2">
      <c r="A84" s="196" t="s">
        <v>17</v>
      </c>
      <c r="B84" s="229"/>
      <c r="C84" s="229"/>
      <c r="D84" s="229"/>
      <c r="E84" s="211"/>
      <c r="F84" s="211"/>
      <c r="G84" s="211"/>
      <c r="H84" s="192"/>
      <c r="I84" s="245"/>
      <c r="J84" s="245"/>
      <c r="K84" s="246"/>
    </row>
    <row r="85" spans="1:12" ht="12.75" x14ac:dyDescent="0.2">
      <c r="A85" s="196" t="s">
        <v>43</v>
      </c>
      <c r="B85" s="229"/>
      <c r="C85" s="229"/>
      <c r="D85" s="229"/>
      <c r="E85" s="229"/>
      <c r="F85" s="229"/>
      <c r="G85" s="229"/>
      <c r="H85" s="192"/>
      <c r="I85" s="245"/>
      <c r="J85" s="245"/>
      <c r="K85" s="246"/>
    </row>
    <row r="86" spans="1:12" ht="12.75" customHeight="1" x14ac:dyDescent="0.2">
      <c r="A86" s="193" t="s">
        <v>69</v>
      </c>
      <c r="B86" s="236"/>
      <c r="C86" s="236"/>
      <c r="D86" s="236"/>
      <c r="E86" s="254"/>
      <c r="F86" s="254"/>
      <c r="G86" s="254"/>
      <c r="H86" s="192"/>
      <c r="I86" s="245"/>
      <c r="J86" s="245"/>
      <c r="K86" s="246"/>
    </row>
    <row r="87" spans="1:12" x14ac:dyDescent="0.2">
      <c r="A87" s="250"/>
      <c r="B87" s="251"/>
      <c r="C87" s="251"/>
      <c r="D87" s="251"/>
      <c r="E87" s="251"/>
      <c r="F87" s="251"/>
      <c r="G87" s="251"/>
      <c r="H87" s="252" t="s">
        <v>147</v>
      </c>
      <c r="I87" s="252"/>
      <c r="J87" s="252"/>
      <c r="K87" s="253"/>
    </row>
    <row r="88" spans="1:12" x14ac:dyDescent="0.2"/>
    <row r="89" spans="1:12" x14ac:dyDescent="0.2"/>
    <row r="90" spans="1:12" x14ac:dyDescent="0.2"/>
    <row r="91" spans="1:12" x14ac:dyDescent="0.2"/>
    <row r="92" spans="1:12" x14ac:dyDescent="0.2"/>
    <row r="93" spans="1:12" x14ac:dyDescent="0.2"/>
    <row r="94" spans="1:12" x14ac:dyDescent="0.2"/>
    <row r="95" spans="1:12" x14ac:dyDescent="0.2"/>
    <row r="96" spans="1:12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x14ac:dyDescent="0.2"/>
    <row r="149" x14ac:dyDescent="0.2"/>
    <row r="150" x14ac:dyDescent="0.2"/>
    <row r="151" x14ac:dyDescent="0.2"/>
    <row r="152" x14ac:dyDescent="0.2"/>
    <row r="153" x14ac:dyDescent="0.2"/>
    <row r="154" x14ac:dyDescent="0.2"/>
    <row r="155" x14ac:dyDescent="0.2"/>
    <row r="156" x14ac:dyDescent="0.2"/>
    <row r="157" x14ac:dyDescent="0.2"/>
    <row r="158" x14ac:dyDescent="0.2"/>
    <row r="159" x14ac:dyDescent="0.2"/>
    <row r="160" x14ac:dyDescent="0.2"/>
    <row r="161" x14ac:dyDescent="0.2"/>
    <row r="162" x14ac:dyDescent="0.2"/>
    <row r="163" x14ac:dyDescent="0.2"/>
    <row r="164" x14ac:dyDescent="0.2"/>
    <row r="165" x14ac:dyDescent="0.2"/>
    <row r="166" x14ac:dyDescent="0.2"/>
    <row r="167" x14ac:dyDescent="0.2"/>
    <row r="168" x14ac:dyDescent="0.2"/>
    <row r="169" x14ac:dyDescent="0.2"/>
    <row r="170" x14ac:dyDescent="0.2"/>
    <row r="171" x14ac:dyDescent="0.2"/>
    <row r="172" x14ac:dyDescent="0.2"/>
    <row r="173" x14ac:dyDescent="0.2"/>
    <row r="174" x14ac:dyDescent="0.2"/>
    <row r="175" x14ac:dyDescent="0.2"/>
    <row r="176" x14ac:dyDescent="0.2"/>
    <row r="177" x14ac:dyDescent="0.2"/>
    <row r="178" x14ac:dyDescent="0.2"/>
    <row r="179" x14ac:dyDescent="0.2"/>
    <row r="180" x14ac:dyDescent="0.2"/>
    <row r="181" x14ac:dyDescent="0.2"/>
    <row r="182" x14ac:dyDescent="0.2"/>
    <row r="183" x14ac:dyDescent="0.2"/>
    <row r="184" x14ac:dyDescent="0.2"/>
    <row r="185" x14ac:dyDescent="0.2"/>
    <row r="186" x14ac:dyDescent="0.2"/>
    <row r="187" x14ac:dyDescent="0.2"/>
    <row r="188" x14ac:dyDescent="0.2"/>
    <row r="189" x14ac:dyDescent="0.2"/>
    <row r="190" x14ac:dyDescent="0.2"/>
    <row r="191" x14ac:dyDescent="0.2"/>
    <row r="192" x14ac:dyDescent="0.2"/>
    <row r="193" x14ac:dyDescent="0.2"/>
    <row r="194" x14ac:dyDescent="0.2"/>
    <row r="195" x14ac:dyDescent="0.2"/>
    <row r="196" x14ac:dyDescent="0.2"/>
    <row r="197" x14ac:dyDescent="0.2"/>
    <row r="198" x14ac:dyDescent="0.2"/>
    <row r="199" x14ac:dyDescent="0.2"/>
    <row r="200" x14ac:dyDescent="0.2"/>
    <row r="201" x14ac:dyDescent="0.2"/>
    <row r="202" x14ac:dyDescent="0.2"/>
    <row r="203" x14ac:dyDescent="0.2"/>
    <row r="204" x14ac:dyDescent="0.2"/>
    <row r="205" x14ac:dyDescent="0.2"/>
    <row r="206" x14ac:dyDescent="0.2"/>
    <row r="207" x14ac:dyDescent="0.2"/>
    <row r="208" x14ac:dyDescent="0.2"/>
    <row r="209" x14ac:dyDescent="0.2"/>
    <row r="210" x14ac:dyDescent="0.2"/>
    <row r="211" x14ac:dyDescent="0.2"/>
  </sheetData>
  <mergeCells count="82">
    <mergeCell ref="J23:K23"/>
    <mergeCell ref="B22:H22"/>
    <mergeCell ref="B23:H23"/>
    <mergeCell ref="B24:H24"/>
    <mergeCell ref="B81:D81"/>
    <mergeCell ref="B25:H25"/>
    <mergeCell ref="B26:H26"/>
    <mergeCell ref="B70:H70"/>
    <mergeCell ref="B76:H76"/>
    <mergeCell ref="B80:H80"/>
    <mergeCell ref="A83:G83"/>
    <mergeCell ref="H82:K82"/>
    <mergeCell ref="H83:K83"/>
    <mergeCell ref="A82:G82"/>
    <mergeCell ref="A87:G87"/>
    <mergeCell ref="H87:K87"/>
    <mergeCell ref="A84:G84"/>
    <mergeCell ref="H84:K84"/>
    <mergeCell ref="A85:G85"/>
    <mergeCell ref="H85:K85"/>
    <mergeCell ref="A86:G86"/>
    <mergeCell ref="H86:K86"/>
    <mergeCell ref="H20:K20"/>
    <mergeCell ref="H21:K21"/>
    <mergeCell ref="F18:G18"/>
    <mergeCell ref="H18:K18"/>
    <mergeCell ref="A19:B19"/>
    <mergeCell ref="F19:G19"/>
    <mergeCell ref="A20:B20"/>
    <mergeCell ref="A21:B21"/>
    <mergeCell ref="C20:E20"/>
    <mergeCell ref="C21:E21"/>
    <mergeCell ref="C19:E19"/>
    <mergeCell ref="F20:G20"/>
    <mergeCell ref="A18:B18"/>
    <mergeCell ref="F21:G21"/>
    <mergeCell ref="G11:K11"/>
    <mergeCell ref="A10:E10"/>
    <mergeCell ref="A11:E11"/>
    <mergeCell ref="C16:E16"/>
    <mergeCell ref="C18:E18"/>
    <mergeCell ref="C17:E17"/>
    <mergeCell ref="A17:B17"/>
    <mergeCell ref="A16:B16"/>
    <mergeCell ref="F15:G15"/>
    <mergeCell ref="H15:K15"/>
    <mergeCell ref="F16:G16"/>
    <mergeCell ref="F17:G17"/>
    <mergeCell ref="H17:K17"/>
    <mergeCell ref="H16:K16"/>
    <mergeCell ref="H6:K6"/>
    <mergeCell ref="G8:K8"/>
    <mergeCell ref="C8:E8"/>
    <mergeCell ref="G2:J2"/>
    <mergeCell ref="H19:K19"/>
    <mergeCell ref="B15:E15"/>
    <mergeCell ref="I13:K13"/>
    <mergeCell ref="I14:K14"/>
    <mergeCell ref="F13:H13"/>
    <mergeCell ref="F14:H14"/>
    <mergeCell ref="G9:K9"/>
    <mergeCell ref="H7:K7"/>
    <mergeCell ref="F4:G4"/>
    <mergeCell ref="G12:K12"/>
    <mergeCell ref="A9:E9"/>
    <mergeCell ref="G10:K10"/>
    <mergeCell ref="B14:E14"/>
    <mergeCell ref="A12:E12"/>
    <mergeCell ref="B13:E13"/>
    <mergeCell ref="B1:K1"/>
    <mergeCell ref="A8:B8"/>
    <mergeCell ref="A2:E3"/>
    <mergeCell ref="A4:E4"/>
    <mergeCell ref="A5:E5"/>
    <mergeCell ref="F6:G6"/>
    <mergeCell ref="F7:G7"/>
    <mergeCell ref="G3:J3"/>
    <mergeCell ref="F5:G5"/>
    <mergeCell ref="A6:E6"/>
    <mergeCell ref="A7:E7"/>
    <mergeCell ref="H4:K4"/>
    <mergeCell ref="H5:K5"/>
  </mergeCells>
  <phoneticPr fontId="0" type="noConversion"/>
  <printOptions horizontalCentered="1"/>
  <pageMargins left="0.51181102362204722" right="0.23622047244094491" top="0.23622047244094491" bottom="0.23622047244094491" header="0" footer="0"/>
  <pageSetup paperSize="9" scale="7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66"/>
  <sheetViews>
    <sheetView zoomScaleNormal="100" workbookViewId="0"/>
  </sheetViews>
  <sheetFormatPr defaultColWidth="0" defaultRowHeight="12" customHeight="1" zeroHeight="1" x14ac:dyDescent="0.2"/>
  <cols>
    <col min="1" max="1" width="13.83203125" style="34" customWidth="1"/>
    <col min="2" max="2" width="14.1640625" style="34" bestFit="1" customWidth="1"/>
    <col min="3" max="5" width="11.83203125" style="34" customWidth="1"/>
    <col min="6" max="8" width="13.33203125" style="34" customWidth="1"/>
    <col min="9" max="9" width="17" style="34" bestFit="1" customWidth="1"/>
    <col min="10" max="11" width="13.33203125" style="34" customWidth="1"/>
    <col min="12" max="12" width="12.1640625" style="34" bestFit="1" customWidth="1"/>
    <col min="13" max="16384" width="0" style="34" hidden="1"/>
  </cols>
  <sheetData>
    <row r="1" spans="1:11" x14ac:dyDescent="0.2">
      <c r="A1" s="32" t="str">
        <f>Page1!A1</f>
        <v>MERCHANT</v>
      </c>
      <c r="B1" s="345" t="str">
        <f>Page1!B1</f>
        <v>INVOICE</v>
      </c>
      <c r="C1" s="345"/>
      <c r="D1" s="345"/>
      <c r="E1" s="345"/>
      <c r="F1" s="345"/>
      <c r="G1" s="345"/>
      <c r="H1" s="345"/>
      <c r="I1" s="345"/>
      <c r="J1" s="345"/>
      <c r="K1" s="33" t="s">
        <v>62</v>
      </c>
    </row>
    <row r="2" spans="1:11" ht="12.75" customHeight="1" x14ac:dyDescent="0.2">
      <c r="A2" s="346" t="str">
        <f>Page1!A2</f>
        <v>JAIKVIN GLOBAL</v>
      </c>
      <c r="B2" s="347"/>
      <c r="C2" s="347"/>
      <c r="D2" s="347"/>
      <c r="E2" s="347"/>
      <c r="F2" s="35" t="str">
        <f>Page1!F2</f>
        <v xml:space="preserve">Invoice No. </v>
      </c>
      <c r="G2" s="350" t="str">
        <f>Page1!G2</f>
        <v>JG/26-27/6002 DT 04.05.2026</v>
      </c>
      <c r="H2" s="350"/>
      <c r="I2" s="350"/>
      <c r="J2" s="351"/>
      <c r="K2" s="36" t="str">
        <f>Page1!K2</f>
        <v>Exporter's Ref.</v>
      </c>
    </row>
    <row r="3" spans="1:11" ht="12.75" customHeight="1" x14ac:dyDescent="0.2">
      <c r="A3" s="348"/>
      <c r="B3" s="349"/>
      <c r="C3" s="349"/>
      <c r="D3" s="349"/>
      <c r="E3" s="349"/>
      <c r="F3" s="37" t="str">
        <f>Page1!F3</f>
        <v>Date:</v>
      </c>
      <c r="G3" s="328">
        <f>Page1!G3</f>
        <v>0</v>
      </c>
      <c r="H3" s="328"/>
      <c r="I3" s="328"/>
      <c r="J3" s="352"/>
      <c r="K3" s="38" t="str">
        <f>Page1!K3</f>
        <v>IEC AVIPS4808H</v>
      </c>
    </row>
    <row r="4" spans="1:11" x14ac:dyDescent="0.2">
      <c r="A4" s="323" t="str">
        <f>Page1!A4</f>
        <v>Merchant Exporters</v>
      </c>
      <c r="B4" s="290"/>
      <c r="C4" s="290"/>
      <c r="D4" s="290"/>
      <c r="E4" s="290"/>
      <c r="F4" s="185" t="s">
        <v>6</v>
      </c>
      <c r="G4" s="186"/>
      <c r="H4" s="200" t="s">
        <v>134</v>
      </c>
      <c r="I4" s="200"/>
      <c r="J4" s="200"/>
      <c r="K4" s="201"/>
    </row>
    <row r="5" spans="1:11" x14ac:dyDescent="0.2">
      <c r="A5" s="323" t="str">
        <f>Page1!A5</f>
        <v>A-101, Rajshree Royale, Navroji Lane, Ghatkopar (W),</v>
      </c>
      <c r="B5" s="290"/>
      <c r="C5" s="290"/>
      <c r="D5" s="290"/>
      <c r="E5" s="290"/>
      <c r="F5" s="196" t="s">
        <v>2</v>
      </c>
      <c r="G5" s="197"/>
      <c r="H5" s="202" t="s">
        <v>135</v>
      </c>
      <c r="I5" s="202"/>
      <c r="J5" s="202"/>
      <c r="K5" s="203"/>
    </row>
    <row r="6" spans="1:11" x14ac:dyDescent="0.2">
      <c r="A6" s="323" t="str">
        <f>Page1!A6</f>
        <v>MUMBAI-400 086. Maharashtra (State Code : 27)</v>
      </c>
      <c r="B6" s="290"/>
      <c r="C6" s="290"/>
      <c r="D6" s="290"/>
      <c r="E6" s="290"/>
      <c r="F6" s="193"/>
      <c r="G6" s="194"/>
      <c r="H6" s="202" t="s">
        <v>136</v>
      </c>
      <c r="I6" s="202"/>
      <c r="J6" s="202"/>
      <c r="K6" s="203"/>
    </row>
    <row r="7" spans="1:11" x14ac:dyDescent="0.2">
      <c r="A7" s="336" t="str">
        <f>Page1!A7</f>
        <v>Tel: 9987122600 E-Mail: aalok.shah@jaikvinglobal.com</v>
      </c>
      <c r="B7" s="337"/>
      <c r="C7" s="337"/>
      <c r="D7" s="337"/>
      <c r="E7" s="337"/>
      <c r="F7" s="180" t="s">
        <v>3</v>
      </c>
      <c r="G7" s="181"/>
      <c r="H7" s="224" t="s">
        <v>137</v>
      </c>
      <c r="I7" s="224"/>
      <c r="J7" s="224"/>
      <c r="K7" s="225"/>
    </row>
    <row r="8" spans="1:11" ht="12.75" x14ac:dyDescent="0.2">
      <c r="A8" s="324" t="str">
        <f>Page1!A8</f>
        <v>On Account &amp; Risks of:</v>
      </c>
      <c r="B8" s="325"/>
      <c r="C8" s="326">
        <f>Page1!C8</f>
        <v>0</v>
      </c>
      <c r="D8" s="326"/>
      <c r="E8" s="326"/>
      <c r="F8" s="39" t="str">
        <f>Page1!F8</f>
        <v>BL. NO.</v>
      </c>
      <c r="G8" s="320" t="str">
        <f>Page1!G8</f>
        <v>SFPM2605165498  DT. 19.05.2026</v>
      </c>
      <c r="H8" s="321"/>
      <c r="I8" s="321"/>
      <c r="J8" s="321"/>
      <c r="K8" s="322"/>
    </row>
    <row r="9" spans="1:11" ht="12.75" x14ac:dyDescent="0.2">
      <c r="A9" s="291" t="str">
        <f>Page1!A9</f>
        <v>Messrs Corecomp Pty Ltd.,</v>
      </c>
      <c r="B9" s="292"/>
      <c r="C9" s="292"/>
      <c r="D9" s="292"/>
      <c r="E9" s="292"/>
      <c r="F9" s="40">
        <f>Page1!F9</f>
        <v>0</v>
      </c>
      <c r="G9" s="333">
        <f>Page1!G9</f>
        <v>0</v>
      </c>
      <c r="H9" s="334"/>
      <c r="I9" s="334"/>
      <c r="J9" s="334"/>
      <c r="K9" s="335"/>
    </row>
    <row r="10" spans="1:11" ht="12.75" x14ac:dyDescent="0.2">
      <c r="A10" s="291" t="str">
        <f>Page1!A10</f>
        <v>T/A G.D.Watermark</v>
      </c>
      <c r="B10" s="292"/>
      <c r="C10" s="292"/>
      <c r="D10" s="289"/>
      <c r="E10" s="289"/>
      <c r="F10" s="40" t="str">
        <f>Page1!F10</f>
        <v>Shipped Per</v>
      </c>
      <c r="G10" s="338" t="str">
        <f>Page1!G10</f>
        <v>CAPE SYROS VOYAGE 092E</v>
      </c>
      <c r="H10" s="334"/>
      <c r="I10" s="334"/>
      <c r="J10" s="334"/>
      <c r="K10" s="335"/>
    </row>
    <row r="11" spans="1:11" ht="12.75" x14ac:dyDescent="0.2">
      <c r="A11" s="291" t="str">
        <f>Page1!A11</f>
        <v>13, Tesla Link,</v>
      </c>
      <c r="B11" s="292"/>
      <c r="C11" s="292"/>
      <c r="D11" s="289"/>
      <c r="E11" s="289"/>
      <c r="F11" s="41">
        <f>Page1!F11</f>
        <v>0</v>
      </c>
      <c r="G11" s="333">
        <f>Page1!G11</f>
        <v>0</v>
      </c>
      <c r="H11" s="334"/>
      <c r="I11" s="334"/>
      <c r="J11" s="334"/>
      <c r="K11" s="335"/>
    </row>
    <row r="12" spans="1:11" ht="12.75" x14ac:dyDescent="0.2">
      <c r="A12" s="327" t="str">
        <f>Page1!A12</f>
        <v xml:space="preserve">Wangara WA 6065 (Australia) </v>
      </c>
      <c r="B12" s="328"/>
      <c r="C12" s="328"/>
      <c r="D12" s="329"/>
      <c r="E12" s="329"/>
      <c r="F12" s="42" t="str">
        <f>Page1!F12</f>
        <v>S/B No:</v>
      </c>
      <c r="G12" s="330" t="str">
        <f>Page1!G12</f>
        <v>2945305 DT. 04.05.2026</v>
      </c>
      <c r="H12" s="331"/>
      <c r="I12" s="331"/>
      <c r="J12" s="331"/>
      <c r="K12" s="332"/>
    </row>
    <row r="13" spans="1:11" x14ac:dyDescent="0.2">
      <c r="A13" s="35" t="str">
        <f>Page1!A13</f>
        <v>Invoice of:</v>
      </c>
      <c r="B13" s="353" t="str">
        <f>Page1!B13</f>
        <v xml:space="preserve">PP EXTRUDED PIPES, PP &amp; NYLON MOULDED </v>
      </c>
      <c r="C13" s="353"/>
      <c r="D13" s="353"/>
      <c r="E13" s="354"/>
      <c r="F13" s="304" t="str">
        <f>Page1!F13</f>
        <v>Country of Origin</v>
      </c>
      <c r="G13" s="305"/>
      <c r="H13" s="306"/>
      <c r="I13" s="304" t="str">
        <f>Page1!I13</f>
        <v>Country of Final Destination</v>
      </c>
      <c r="J13" s="305"/>
      <c r="K13" s="306"/>
    </row>
    <row r="14" spans="1:11" x14ac:dyDescent="0.2">
      <c r="A14" s="43" t="str">
        <f>Page1!A14</f>
        <v xml:space="preserve">                                                                                                    </v>
      </c>
      <c r="B14" s="318" t="str">
        <f>Page1!B14</f>
        <v>FITTINGS AND CORRUGATED BOXES</v>
      </c>
      <c r="C14" s="318"/>
      <c r="D14" s="318"/>
      <c r="E14" s="319"/>
      <c r="F14" s="314" t="str">
        <f>Page1!F14</f>
        <v>INDIA</v>
      </c>
      <c r="G14" s="315"/>
      <c r="H14" s="316"/>
      <c r="I14" s="314" t="str">
        <f>Page1!I14</f>
        <v>AUSTRALIA</v>
      </c>
      <c r="J14" s="315"/>
      <c r="K14" s="316"/>
    </row>
    <row r="15" spans="1:11" ht="12.75" x14ac:dyDescent="0.2">
      <c r="A15" s="44" t="str">
        <f>Page1!A15</f>
        <v xml:space="preserve">                                                                                                   </v>
      </c>
      <c r="B15" s="307">
        <f>Page1!B15</f>
        <v>0</v>
      </c>
      <c r="C15" s="307"/>
      <c r="D15" s="307"/>
      <c r="E15" s="308"/>
      <c r="F15" s="193"/>
      <c r="G15" s="236"/>
      <c r="H15" s="210"/>
      <c r="I15" s="211"/>
      <c r="J15" s="211"/>
      <c r="K15" s="212"/>
    </row>
    <row r="16" spans="1:11" ht="12.75" customHeight="1" x14ac:dyDescent="0.2">
      <c r="A16" s="304" t="str">
        <f>Page1!A16</f>
        <v>Pre-Carraige by:</v>
      </c>
      <c r="B16" s="305"/>
      <c r="C16" s="304" t="str">
        <f>Page1!C16</f>
        <v>Place of Receipt by Pre-Carraige</v>
      </c>
      <c r="D16" s="305"/>
      <c r="E16" s="306"/>
      <c r="F16" s="268" t="s">
        <v>10</v>
      </c>
      <c r="G16" s="269"/>
      <c r="H16" s="210" t="s">
        <v>74</v>
      </c>
      <c r="I16" s="210"/>
      <c r="J16" s="210"/>
      <c r="K16" s="203"/>
    </row>
    <row r="17" spans="1:11" ht="12.75" x14ac:dyDescent="0.2">
      <c r="A17" s="309" t="str">
        <f>Page1!A17</f>
        <v xml:space="preserve">                                                              </v>
      </c>
      <c r="B17" s="310"/>
      <c r="C17" s="311">
        <f>Page1!C17</f>
        <v>0</v>
      </c>
      <c r="D17" s="312"/>
      <c r="E17" s="313"/>
      <c r="F17" s="193"/>
      <c r="G17" s="211"/>
      <c r="H17" s="210"/>
      <c r="I17" s="211"/>
      <c r="J17" s="211"/>
      <c r="K17" s="212"/>
    </row>
    <row r="18" spans="1:11" ht="12.75" x14ac:dyDescent="0.2">
      <c r="A18" s="304" t="str">
        <f>Page1!A18</f>
        <v>Shipped per:</v>
      </c>
      <c r="B18" s="305"/>
      <c r="C18" s="304" t="str">
        <f>Page1!C18</f>
        <v>Port of Loading:</v>
      </c>
      <c r="D18" s="305"/>
      <c r="E18" s="306"/>
      <c r="F18" s="193" t="s">
        <v>25</v>
      </c>
      <c r="G18" s="211"/>
      <c r="H18" s="210" t="s">
        <v>30</v>
      </c>
      <c r="I18" s="211"/>
      <c r="J18" s="211"/>
      <c r="K18" s="212"/>
    </row>
    <row r="19" spans="1:11" ht="12.75" customHeight="1" x14ac:dyDescent="0.2">
      <c r="A19" s="309" t="str">
        <f>Page1!A19</f>
        <v>CAPE SYROS VOYAGE 092E</v>
      </c>
      <c r="B19" s="310"/>
      <c r="C19" s="314" t="str">
        <f>Page1!C19</f>
        <v>NHAVA SHEVA-MUMBAI (INDIA)</v>
      </c>
      <c r="D19" s="315"/>
      <c r="E19" s="316"/>
      <c r="F19" s="193"/>
      <c r="G19" s="211"/>
      <c r="H19" s="210"/>
      <c r="I19" s="211"/>
      <c r="J19" s="211"/>
      <c r="K19" s="212"/>
    </row>
    <row r="20" spans="1:11" ht="12.75" customHeight="1" x14ac:dyDescent="0.2">
      <c r="A20" s="304" t="str">
        <f>Page1!A20</f>
        <v>Port of Discharge:</v>
      </c>
      <c r="B20" s="305"/>
      <c r="C20" s="304" t="str">
        <f>Page1!C20</f>
        <v>Port of destination</v>
      </c>
      <c r="D20" s="305"/>
      <c r="E20" s="306"/>
      <c r="F20" s="193" t="s">
        <v>23</v>
      </c>
      <c r="G20" s="211"/>
      <c r="H20" s="236" t="s">
        <v>64</v>
      </c>
      <c r="I20" s="211"/>
      <c r="J20" s="211"/>
      <c r="K20" s="212"/>
    </row>
    <row r="21" spans="1:11" ht="12.75" customHeight="1" x14ac:dyDescent="0.2">
      <c r="A21" s="309" t="str">
        <f>Page1!A21</f>
        <v>FREMANTLE</v>
      </c>
      <c r="B21" s="310"/>
      <c r="C21" s="309" t="str">
        <f>Page1!C21</f>
        <v xml:space="preserve">FREMANTLE </v>
      </c>
      <c r="D21" s="310"/>
      <c r="E21" s="317"/>
      <c r="F21" s="180"/>
      <c r="G21" s="181"/>
      <c r="H21" s="237" t="s">
        <v>65</v>
      </c>
      <c r="I21" s="182"/>
      <c r="J21" s="182"/>
      <c r="K21" s="238"/>
    </row>
    <row r="22" spans="1:11" x14ac:dyDescent="0.2">
      <c r="A22" s="45" t="s">
        <v>11</v>
      </c>
      <c r="B22" s="272" t="s">
        <v>42</v>
      </c>
      <c r="C22" s="273"/>
      <c r="D22" s="273"/>
      <c r="E22" s="273"/>
      <c r="F22" s="273"/>
      <c r="G22" s="273"/>
      <c r="H22" s="273"/>
      <c r="I22" s="46" t="s">
        <v>39</v>
      </c>
      <c r="J22" s="46" t="s">
        <v>41</v>
      </c>
      <c r="K22" s="46" t="s">
        <v>40</v>
      </c>
    </row>
    <row r="23" spans="1:11" x14ac:dyDescent="0.2">
      <c r="A23" s="47" t="str">
        <f>Page1!A23</f>
        <v>GDW NOS :</v>
      </c>
      <c r="B23" s="355" t="str">
        <f>Page1!B23</f>
        <v>421 PACKAGES (343 CARTONS &amp; 78 HDP BUNDLES) CONTAINING</v>
      </c>
      <c r="C23" s="356"/>
      <c r="D23" s="356"/>
      <c r="E23" s="356"/>
      <c r="F23" s="356"/>
      <c r="G23" s="356"/>
      <c r="H23" s="357"/>
      <c r="I23" s="98"/>
      <c r="J23" s="280" t="str">
        <f>Page1!J23</f>
        <v>FOB MUMBAI IN US$</v>
      </c>
      <c r="K23" s="281"/>
    </row>
    <row r="24" spans="1:11" ht="12.75" customHeight="1" x14ac:dyDescent="0.2">
      <c r="A24" s="47" t="str">
        <f>Page1!A24</f>
        <v>2001 - 2421</v>
      </c>
      <c r="B24" s="358" t="str">
        <f>Page1!B24</f>
        <v>PP EXTRUDED PIPES, PP &amp; NYLON  MOULDED FITTINGS &amp; CORRUGATED BOXES</v>
      </c>
      <c r="C24" s="318"/>
      <c r="D24" s="318"/>
      <c r="E24" s="318"/>
      <c r="F24" s="318"/>
      <c r="G24" s="318"/>
      <c r="H24" s="319"/>
      <c r="I24" s="99"/>
      <c r="J24" s="150"/>
      <c r="K24" s="13"/>
    </row>
    <row r="25" spans="1:11" x14ac:dyDescent="0.2">
      <c r="A25" s="49" t="str">
        <f>Page1!A25</f>
        <v>2421</v>
      </c>
      <c r="B25" s="255"/>
      <c r="C25" s="178"/>
      <c r="D25" s="178"/>
      <c r="E25" s="178"/>
      <c r="F25" s="178"/>
      <c r="G25" s="178"/>
      <c r="H25" s="256"/>
      <c r="I25" s="64"/>
      <c r="J25" s="41">
        <f>Page1!J25</f>
        <v>0</v>
      </c>
      <c r="K25" s="28">
        <f>Page1!K81</f>
        <v>13908.95</v>
      </c>
    </row>
    <row r="26" spans="1:11" x14ac:dyDescent="0.2">
      <c r="A26" s="49">
        <f>Page1!A26</f>
        <v>0</v>
      </c>
      <c r="B26" s="262" t="s">
        <v>144</v>
      </c>
      <c r="C26" s="263"/>
      <c r="D26" s="263"/>
      <c r="E26" s="263"/>
      <c r="F26" s="263"/>
      <c r="G26" s="263"/>
      <c r="H26" s="264"/>
      <c r="I26" s="175"/>
      <c r="J26" s="176"/>
      <c r="K26" s="76"/>
    </row>
    <row r="27" spans="1:11" ht="12.75" customHeight="1" x14ac:dyDescent="0.2">
      <c r="A27" s="47">
        <f>Page1!A27</f>
        <v>0</v>
      </c>
      <c r="B27" s="69" t="s">
        <v>46</v>
      </c>
      <c r="C27" s="141" t="s">
        <v>145</v>
      </c>
      <c r="D27" s="142"/>
      <c r="E27" s="104"/>
      <c r="F27" s="105"/>
      <c r="G27" s="106"/>
      <c r="H27" s="107"/>
      <c r="I27" s="58" t="s">
        <v>47</v>
      </c>
      <c r="J27" s="63" t="s">
        <v>76</v>
      </c>
      <c r="K27" s="24"/>
    </row>
    <row r="28" spans="1:11" ht="12.75" customHeight="1" x14ac:dyDescent="0.2">
      <c r="A28" s="53"/>
      <c r="B28" s="65" t="s">
        <v>90</v>
      </c>
      <c r="C28" s="89">
        <v>15</v>
      </c>
      <c r="D28" s="143"/>
      <c r="E28" s="119"/>
      <c r="F28" s="123"/>
      <c r="G28" s="121"/>
      <c r="H28" s="124"/>
      <c r="I28" s="21">
        <v>10000</v>
      </c>
      <c r="J28" s="22">
        <v>9.6</v>
      </c>
      <c r="K28" s="28">
        <f>I28*J28/100</f>
        <v>960</v>
      </c>
    </row>
    <row r="29" spans="1:11" x14ac:dyDescent="0.2">
      <c r="A29" s="53"/>
      <c r="B29" s="65" t="s">
        <v>91</v>
      </c>
      <c r="C29" s="89">
        <v>20</v>
      </c>
      <c r="D29" s="143"/>
      <c r="E29" s="119"/>
      <c r="F29" s="123"/>
      <c r="G29" s="121"/>
      <c r="H29" s="124"/>
      <c r="I29" s="21">
        <v>3000</v>
      </c>
      <c r="J29" s="22">
        <v>12</v>
      </c>
      <c r="K29" s="28">
        <f t="shared" ref="K29:K38" si="0">I29*J29/100</f>
        <v>360</v>
      </c>
    </row>
    <row r="30" spans="1:11" x14ac:dyDescent="0.2">
      <c r="A30" s="53"/>
      <c r="B30" s="65" t="s">
        <v>92</v>
      </c>
      <c r="C30" s="89">
        <v>25</v>
      </c>
      <c r="D30" s="143"/>
      <c r="E30" s="119"/>
      <c r="F30" s="123"/>
      <c r="G30" s="121"/>
      <c r="H30" s="124"/>
      <c r="I30" s="21">
        <v>900</v>
      </c>
      <c r="J30" s="22">
        <v>15.6</v>
      </c>
      <c r="K30" s="28">
        <f t="shared" si="0"/>
        <v>140.4</v>
      </c>
    </row>
    <row r="31" spans="1:11" x14ac:dyDescent="0.2">
      <c r="A31" s="54" t="s">
        <v>50</v>
      </c>
      <c r="B31" s="65" t="s">
        <v>93</v>
      </c>
      <c r="C31" s="89">
        <v>25</v>
      </c>
      <c r="D31" s="143"/>
      <c r="E31" s="119"/>
      <c r="F31" s="123"/>
      <c r="G31" s="121"/>
      <c r="H31" s="124"/>
      <c r="I31" s="21">
        <v>1400</v>
      </c>
      <c r="J31" s="22">
        <v>33.6</v>
      </c>
      <c r="K31" s="28">
        <f t="shared" si="0"/>
        <v>470.4</v>
      </c>
    </row>
    <row r="32" spans="1:11" x14ac:dyDescent="0.2">
      <c r="A32" s="48" t="s">
        <v>130</v>
      </c>
      <c r="B32" s="65" t="s">
        <v>94</v>
      </c>
      <c r="C32" s="89" t="s">
        <v>99</v>
      </c>
      <c r="D32" s="143"/>
      <c r="E32" s="119"/>
      <c r="F32" s="123"/>
      <c r="G32" s="121"/>
      <c r="H32" s="124"/>
      <c r="I32" s="21">
        <v>1800</v>
      </c>
      <c r="J32" s="22">
        <v>21.6</v>
      </c>
      <c r="K32" s="28">
        <f t="shared" si="0"/>
        <v>388.8</v>
      </c>
    </row>
    <row r="33" spans="1:11" x14ac:dyDescent="0.2">
      <c r="A33" s="49"/>
      <c r="B33" s="65" t="s">
        <v>95</v>
      </c>
      <c r="C33" s="89" t="s">
        <v>100</v>
      </c>
      <c r="D33" s="143"/>
      <c r="E33" s="119"/>
      <c r="F33" s="123"/>
      <c r="G33" s="121"/>
      <c r="H33" s="124"/>
      <c r="I33" s="21">
        <v>1650</v>
      </c>
      <c r="J33" s="22">
        <v>24</v>
      </c>
      <c r="K33" s="28">
        <f t="shared" si="0"/>
        <v>396</v>
      </c>
    </row>
    <row r="34" spans="1:11" x14ac:dyDescent="0.2">
      <c r="A34" s="47"/>
      <c r="B34" s="65" t="s">
        <v>96</v>
      </c>
      <c r="C34" s="89">
        <v>25</v>
      </c>
      <c r="D34" s="143"/>
      <c r="E34" s="119"/>
      <c r="F34" s="123"/>
      <c r="G34" s="121"/>
      <c r="H34" s="124"/>
      <c r="I34" s="21">
        <v>500</v>
      </c>
      <c r="J34" s="22">
        <v>22.8</v>
      </c>
      <c r="K34" s="28">
        <f t="shared" si="0"/>
        <v>114</v>
      </c>
    </row>
    <row r="35" spans="1:11" x14ac:dyDescent="0.2">
      <c r="A35" s="47"/>
      <c r="B35" s="65" t="s">
        <v>97</v>
      </c>
      <c r="C35" s="89">
        <v>15</v>
      </c>
      <c r="D35" s="143"/>
      <c r="E35" s="119"/>
      <c r="F35" s="123"/>
      <c r="G35" s="121"/>
      <c r="H35" s="124"/>
      <c r="I35" s="21">
        <v>2160</v>
      </c>
      <c r="J35" s="22">
        <v>33.6</v>
      </c>
      <c r="K35" s="28">
        <f t="shared" si="0"/>
        <v>725.76</v>
      </c>
    </row>
    <row r="36" spans="1:11" x14ac:dyDescent="0.2">
      <c r="A36" s="47"/>
      <c r="B36" s="65" t="s">
        <v>98</v>
      </c>
      <c r="C36" s="89">
        <v>20</v>
      </c>
      <c r="D36" s="143"/>
      <c r="E36" s="119"/>
      <c r="F36" s="123"/>
      <c r="G36" s="121"/>
      <c r="H36" s="124"/>
      <c r="I36" s="21">
        <v>700</v>
      </c>
      <c r="J36" s="22">
        <v>40.799999999999997</v>
      </c>
      <c r="K36" s="28">
        <f t="shared" si="0"/>
        <v>285.59999999999997</v>
      </c>
    </row>
    <row r="37" spans="1:11" x14ac:dyDescent="0.2">
      <c r="A37" s="47"/>
      <c r="B37" s="65" t="s">
        <v>101</v>
      </c>
      <c r="C37" s="89">
        <v>25</v>
      </c>
      <c r="D37" s="143"/>
      <c r="E37" s="119"/>
      <c r="F37" s="123"/>
      <c r="G37" s="121"/>
      <c r="H37" s="124"/>
      <c r="I37" s="21">
        <v>1760</v>
      </c>
      <c r="J37" s="22">
        <v>50.4</v>
      </c>
      <c r="K37" s="28">
        <f t="shared" si="0"/>
        <v>887.04</v>
      </c>
    </row>
    <row r="38" spans="1:11" x14ac:dyDescent="0.2">
      <c r="A38" s="47"/>
      <c r="B38" s="65" t="s">
        <v>122</v>
      </c>
      <c r="C38" s="151">
        <v>32</v>
      </c>
      <c r="D38" s="152"/>
      <c r="E38" s="127"/>
      <c r="F38" s="128"/>
      <c r="G38" s="129"/>
      <c r="H38" s="137"/>
      <c r="I38" s="21">
        <v>1000</v>
      </c>
      <c r="J38" s="22">
        <v>91.2</v>
      </c>
      <c r="K38" s="28">
        <f t="shared" si="0"/>
        <v>912</v>
      </c>
    </row>
    <row r="39" spans="1:11" ht="12.75" customHeight="1" x14ac:dyDescent="0.2">
      <c r="A39" s="47"/>
      <c r="B39" s="339" t="s">
        <v>85</v>
      </c>
      <c r="C39" s="340"/>
      <c r="D39" s="340"/>
      <c r="E39" s="340"/>
      <c r="F39" s="340"/>
      <c r="G39" s="340"/>
      <c r="H39" s="341"/>
      <c r="I39" s="132"/>
      <c r="J39" s="133"/>
      <c r="K39" s="177"/>
    </row>
    <row r="40" spans="1:11" x14ac:dyDescent="0.2">
      <c r="A40" s="47"/>
      <c r="B40" s="80" t="s">
        <v>46</v>
      </c>
      <c r="C40" s="302" t="s">
        <v>102</v>
      </c>
      <c r="D40" s="303"/>
      <c r="E40" s="153"/>
      <c r="F40" s="154"/>
      <c r="G40" s="155"/>
      <c r="H40" s="156"/>
      <c r="I40" s="81" t="s">
        <v>47</v>
      </c>
      <c r="J40" s="82" t="s">
        <v>48</v>
      </c>
      <c r="K40" s="83"/>
    </row>
    <row r="41" spans="1:11" x14ac:dyDescent="0.2">
      <c r="A41" s="54" t="s">
        <v>51</v>
      </c>
      <c r="B41" s="27" t="s">
        <v>125</v>
      </c>
      <c r="C41" s="276" t="s">
        <v>126</v>
      </c>
      <c r="D41" s="277"/>
      <c r="E41" s="162"/>
      <c r="F41" s="120"/>
      <c r="G41" s="157"/>
      <c r="H41" s="125"/>
      <c r="I41" s="21">
        <v>750</v>
      </c>
      <c r="J41" s="84">
        <v>0.85</v>
      </c>
      <c r="K41" s="85">
        <f>I41*J41</f>
        <v>637.5</v>
      </c>
    </row>
    <row r="42" spans="1:11" x14ac:dyDescent="0.2">
      <c r="A42" s="48" t="s">
        <v>131</v>
      </c>
      <c r="B42" s="77" t="s">
        <v>123</v>
      </c>
      <c r="C42" s="278" t="s">
        <v>124</v>
      </c>
      <c r="D42" s="279"/>
      <c r="E42" s="127"/>
      <c r="F42" s="158"/>
      <c r="G42" s="159"/>
      <c r="H42" s="130"/>
      <c r="I42" s="62">
        <v>277</v>
      </c>
      <c r="J42" s="90">
        <v>0.85</v>
      </c>
      <c r="K42" s="91">
        <f>I42*J42</f>
        <v>235.45</v>
      </c>
    </row>
    <row r="43" spans="1:11" x14ac:dyDescent="0.2">
      <c r="A43" s="47"/>
      <c r="B43" s="163"/>
      <c r="C43" s="138"/>
      <c r="D43" s="164"/>
      <c r="E43" s="138"/>
      <c r="F43" s="139"/>
      <c r="G43" s="165"/>
      <c r="H43" s="166"/>
      <c r="I43" s="66"/>
      <c r="J43" s="20"/>
      <c r="K43" s="66"/>
    </row>
    <row r="44" spans="1:11" x14ac:dyDescent="0.2">
      <c r="A44" s="41"/>
      <c r="B44" s="79"/>
      <c r="C44" s="78"/>
      <c r="D44" s="167"/>
      <c r="E44" s="78"/>
      <c r="F44" s="140"/>
      <c r="G44" s="168"/>
      <c r="H44" s="169"/>
      <c r="I44" s="66"/>
      <c r="J44" s="20"/>
      <c r="K44" s="66"/>
    </row>
    <row r="45" spans="1:11" x14ac:dyDescent="0.2">
      <c r="A45" s="47"/>
      <c r="B45" s="79"/>
      <c r="C45" s="78"/>
      <c r="D45" s="167"/>
      <c r="E45" s="78"/>
      <c r="F45" s="140"/>
      <c r="G45" s="168"/>
      <c r="H45" s="169"/>
      <c r="I45" s="66"/>
      <c r="J45" s="20"/>
      <c r="K45" s="66"/>
    </row>
    <row r="46" spans="1:11" x14ac:dyDescent="0.2">
      <c r="A46" s="47"/>
      <c r="B46" s="79"/>
      <c r="C46" s="78"/>
      <c r="D46" s="167"/>
      <c r="E46" s="78"/>
      <c r="F46" s="140"/>
      <c r="G46" s="168"/>
      <c r="H46" s="169"/>
      <c r="I46" s="66"/>
      <c r="J46" s="20"/>
      <c r="K46" s="66"/>
    </row>
    <row r="47" spans="1:11" x14ac:dyDescent="0.2">
      <c r="A47" s="47"/>
      <c r="B47" s="79"/>
      <c r="C47" s="78"/>
      <c r="D47" s="167"/>
      <c r="E47" s="78"/>
      <c r="F47" s="140"/>
      <c r="G47" s="168"/>
      <c r="H47" s="169"/>
      <c r="I47" s="66"/>
      <c r="J47" s="20"/>
      <c r="K47" s="66"/>
    </row>
    <row r="48" spans="1:11" x14ac:dyDescent="0.2">
      <c r="A48" s="47"/>
      <c r="B48" s="79"/>
      <c r="C48" s="78"/>
      <c r="D48" s="167"/>
      <c r="E48" s="78"/>
      <c r="F48" s="140"/>
      <c r="G48" s="168"/>
      <c r="H48" s="169"/>
      <c r="I48" s="66"/>
      <c r="J48" s="20"/>
      <c r="K48" s="66"/>
    </row>
    <row r="49" spans="1:11" x14ac:dyDescent="0.2">
      <c r="A49" s="50"/>
      <c r="B49" s="79"/>
      <c r="C49" s="78"/>
      <c r="D49" s="167"/>
      <c r="E49" s="78"/>
      <c r="F49" s="140"/>
      <c r="G49" s="168"/>
      <c r="H49" s="169"/>
      <c r="I49" s="66"/>
      <c r="J49" s="20"/>
      <c r="K49" s="66"/>
    </row>
    <row r="50" spans="1:11" x14ac:dyDescent="0.2">
      <c r="A50" s="52" t="s">
        <v>52</v>
      </c>
      <c r="B50" s="79"/>
      <c r="C50" s="78"/>
      <c r="D50" s="167"/>
      <c r="E50" s="78"/>
      <c r="F50" s="140"/>
      <c r="G50" s="168"/>
      <c r="H50" s="169"/>
      <c r="I50" s="66"/>
      <c r="J50" s="20"/>
      <c r="K50" s="66"/>
    </row>
    <row r="51" spans="1:11" ht="12.75" customHeight="1" x14ac:dyDescent="0.2">
      <c r="A51" s="74">
        <v>6050.915</v>
      </c>
      <c r="B51" s="79"/>
      <c r="C51" s="78"/>
      <c r="D51" s="167"/>
      <c r="E51" s="78"/>
      <c r="F51" s="140"/>
      <c r="G51" s="168"/>
      <c r="H51" s="169"/>
      <c r="I51" s="66"/>
      <c r="J51" s="20"/>
      <c r="K51" s="66"/>
    </row>
    <row r="52" spans="1:11" x14ac:dyDescent="0.2">
      <c r="A52" s="48" t="s">
        <v>35</v>
      </c>
      <c r="B52" s="79"/>
      <c r="C52" s="78"/>
      <c r="D52" s="167"/>
      <c r="E52" s="78"/>
      <c r="F52" s="140"/>
      <c r="G52" s="168"/>
      <c r="H52" s="169"/>
      <c r="I52" s="66"/>
      <c r="J52" s="20"/>
      <c r="K52" s="66"/>
    </row>
    <row r="53" spans="1:11" ht="12.75" customHeight="1" x14ac:dyDescent="0.2">
      <c r="A53" s="52"/>
      <c r="B53" s="79"/>
      <c r="C53" s="78"/>
      <c r="D53" s="167"/>
      <c r="E53" s="78"/>
      <c r="F53" s="140"/>
      <c r="G53" s="168"/>
      <c r="H53" s="169"/>
      <c r="I53" s="66"/>
      <c r="J53" s="20"/>
      <c r="K53" s="66"/>
    </row>
    <row r="54" spans="1:11" ht="12.75" customHeight="1" x14ac:dyDescent="0.2">
      <c r="A54" s="52"/>
      <c r="B54" s="79"/>
      <c r="C54" s="78"/>
      <c r="D54" s="167"/>
      <c r="E54" s="78"/>
      <c r="F54" s="140"/>
      <c r="G54" s="168"/>
      <c r="H54" s="169"/>
      <c r="I54" s="66"/>
      <c r="J54" s="20"/>
      <c r="K54" s="66"/>
    </row>
    <row r="55" spans="1:11" ht="12.75" customHeight="1" x14ac:dyDescent="0.2">
      <c r="A55" s="52"/>
      <c r="B55" s="79"/>
      <c r="C55" s="78"/>
      <c r="D55" s="167"/>
      <c r="E55" s="78"/>
      <c r="F55" s="140"/>
      <c r="G55" s="168"/>
      <c r="H55" s="169"/>
      <c r="I55" s="66"/>
      <c r="J55" s="20"/>
      <c r="K55" s="66"/>
    </row>
    <row r="56" spans="1:11" ht="12.75" customHeight="1" x14ac:dyDescent="0.2">
      <c r="A56" s="52"/>
      <c r="B56" s="79"/>
      <c r="C56" s="78"/>
      <c r="D56" s="167"/>
      <c r="E56" s="78"/>
      <c r="F56" s="140"/>
      <c r="G56" s="168"/>
      <c r="H56" s="169"/>
      <c r="I56" s="66"/>
      <c r="J56" s="20"/>
      <c r="K56" s="66"/>
    </row>
    <row r="57" spans="1:11" x14ac:dyDescent="0.2">
      <c r="A57" s="52"/>
      <c r="B57" s="79"/>
      <c r="C57" s="78"/>
      <c r="D57" s="167"/>
      <c r="E57" s="78"/>
      <c r="F57" s="140"/>
      <c r="G57" s="168"/>
      <c r="H57" s="169"/>
      <c r="I57" s="66"/>
      <c r="J57" s="20"/>
      <c r="K57" s="66"/>
    </row>
    <row r="58" spans="1:11" x14ac:dyDescent="0.2">
      <c r="A58" s="55"/>
      <c r="B58" s="79"/>
      <c r="C58" s="78"/>
      <c r="D58" s="167"/>
      <c r="E58" s="78"/>
      <c r="F58" s="140"/>
      <c r="G58" s="168"/>
      <c r="H58" s="169"/>
      <c r="I58" s="66"/>
      <c r="J58" s="20"/>
      <c r="K58" s="66"/>
    </row>
    <row r="59" spans="1:11" x14ac:dyDescent="0.2">
      <c r="A59" s="52" t="s">
        <v>53</v>
      </c>
      <c r="B59" s="79"/>
      <c r="C59" s="78"/>
      <c r="D59" s="167"/>
      <c r="E59" s="78"/>
      <c r="F59" s="140"/>
      <c r="G59" s="168"/>
      <c r="H59" s="169"/>
      <c r="I59" s="66"/>
      <c r="J59" s="20"/>
      <c r="K59" s="66"/>
    </row>
    <row r="60" spans="1:11" x14ac:dyDescent="0.2">
      <c r="A60" s="95">
        <v>6400</v>
      </c>
      <c r="B60" s="79"/>
      <c r="C60" s="78"/>
      <c r="D60" s="167"/>
      <c r="E60" s="78"/>
      <c r="F60" s="140"/>
      <c r="G60" s="168"/>
      <c r="H60" s="169"/>
      <c r="I60" s="66"/>
      <c r="J60" s="20"/>
      <c r="K60" s="66"/>
    </row>
    <row r="61" spans="1:11" x14ac:dyDescent="0.2">
      <c r="A61" s="48" t="s">
        <v>35</v>
      </c>
      <c r="B61" s="79"/>
      <c r="C61" s="78"/>
      <c r="D61" s="167"/>
      <c r="E61" s="78"/>
      <c r="F61" s="140"/>
      <c r="G61" s="168"/>
      <c r="H61" s="169"/>
      <c r="I61" s="66"/>
      <c r="J61" s="20"/>
      <c r="K61" s="66"/>
    </row>
    <row r="62" spans="1:11" x14ac:dyDescent="0.2">
      <c r="A62" s="48"/>
      <c r="B62" s="79"/>
      <c r="C62" s="78"/>
      <c r="D62" s="167"/>
      <c r="E62" s="78"/>
      <c r="F62" s="140"/>
      <c r="G62" s="168"/>
      <c r="H62" s="169"/>
      <c r="I62" s="66"/>
      <c r="J62" s="20"/>
      <c r="K62" s="66"/>
    </row>
    <row r="63" spans="1:11" x14ac:dyDescent="0.2">
      <c r="A63" s="48"/>
      <c r="B63" s="79"/>
      <c r="C63" s="78"/>
      <c r="D63" s="167"/>
      <c r="E63" s="78"/>
      <c r="F63" s="140"/>
      <c r="G63" s="168"/>
      <c r="H63" s="169"/>
      <c r="I63" s="66"/>
      <c r="J63" s="20"/>
      <c r="K63" s="66"/>
    </row>
    <row r="64" spans="1:11" x14ac:dyDescent="0.2">
      <c r="A64" s="48"/>
      <c r="B64" s="79"/>
      <c r="C64" s="78"/>
      <c r="D64" s="167"/>
      <c r="E64" s="78"/>
      <c r="F64" s="140"/>
      <c r="G64" s="168"/>
      <c r="H64" s="169"/>
      <c r="I64" s="66"/>
      <c r="J64" s="20"/>
      <c r="K64" s="66"/>
    </row>
    <row r="65" spans="1:11" x14ac:dyDescent="0.2">
      <c r="A65" s="51"/>
      <c r="B65" s="79"/>
      <c r="C65" s="78"/>
      <c r="D65" s="167"/>
      <c r="E65" s="78"/>
      <c r="F65" s="140"/>
      <c r="G65" s="168"/>
      <c r="H65" s="169"/>
      <c r="I65" s="66"/>
      <c r="J65" s="20"/>
      <c r="K65" s="66"/>
    </row>
    <row r="66" spans="1:11" x14ac:dyDescent="0.2">
      <c r="A66" s="52" t="s">
        <v>34</v>
      </c>
      <c r="B66" s="79"/>
      <c r="C66" s="78"/>
      <c r="D66" s="167"/>
      <c r="E66" s="78"/>
      <c r="F66" s="140"/>
      <c r="G66" s="168"/>
      <c r="H66" s="169"/>
      <c r="I66" s="66"/>
      <c r="J66" s="20"/>
      <c r="K66" s="66"/>
    </row>
    <row r="67" spans="1:11" x14ac:dyDescent="0.2">
      <c r="A67" s="59" t="s">
        <v>71</v>
      </c>
      <c r="B67" s="79"/>
      <c r="C67" s="78"/>
      <c r="D67" s="167"/>
      <c r="E67" s="78"/>
      <c r="F67" s="140"/>
      <c r="G67" s="168"/>
      <c r="H67" s="169"/>
      <c r="I67" s="66"/>
      <c r="J67" s="20"/>
      <c r="K67" s="66"/>
    </row>
    <row r="68" spans="1:11" x14ac:dyDescent="0.2">
      <c r="A68" s="60" t="s">
        <v>72</v>
      </c>
      <c r="B68" s="79"/>
      <c r="C68" s="78"/>
      <c r="D68" s="167"/>
      <c r="E68" s="78"/>
      <c r="F68" s="140"/>
      <c r="G68" s="168"/>
      <c r="H68" s="169"/>
      <c r="I68" s="66"/>
      <c r="J68" s="20"/>
      <c r="K68" s="66"/>
    </row>
    <row r="69" spans="1:11" x14ac:dyDescent="0.2">
      <c r="A69" s="53"/>
      <c r="B69" s="79"/>
      <c r="C69" s="78"/>
      <c r="D69" s="167"/>
      <c r="E69" s="78"/>
      <c r="F69" s="140"/>
      <c r="G69" s="168"/>
      <c r="H69" s="169"/>
      <c r="I69" s="66"/>
      <c r="J69" s="20"/>
      <c r="K69" s="66"/>
    </row>
    <row r="70" spans="1:11" x14ac:dyDescent="0.2">
      <c r="A70" s="53"/>
      <c r="B70" s="79"/>
      <c r="C70" s="78"/>
      <c r="D70" s="167"/>
      <c r="E70" s="78"/>
      <c r="F70" s="140"/>
      <c r="G70" s="168"/>
      <c r="H70" s="169"/>
      <c r="I70" s="66"/>
      <c r="J70" s="20"/>
      <c r="K70" s="66"/>
    </row>
    <row r="71" spans="1:11" x14ac:dyDescent="0.2">
      <c r="A71" s="57"/>
      <c r="B71" s="79"/>
      <c r="C71" s="78"/>
      <c r="D71" s="167"/>
      <c r="E71" s="78"/>
      <c r="F71" s="140"/>
      <c r="G71" s="168"/>
      <c r="H71" s="169"/>
      <c r="I71" s="66"/>
      <c r="J71" s="20"/>
      <c r="K71" s="66"/>
    </row>
    <row r="72" spans="1:11" x14ac:dyDescent="0.2">
      <c r="A72" s="52" t="s">
        <v>33</v>
      </c>
      <c r="B72" s="79"/>
      <c r="C72" s="78"/>
      <c r="D72" s="167"/>
      <c r="E72" s="78"/>
      <c r="F72" s="140"/>
      <c r="G72" s="168"/>
      <c r="H72" s="169"/>
      <c r="I72" s="66"/>
      <c r="J72" s="20"/>
      <c r="K72" s="66"/>
    </row>
    <row r="73" spans="1:11" x14ac:dyDescent="0.2">
      <c r="A73" s="59">
        <f>K74</f>
        <v>20421.899999999998</v>
      </c>
      <c r="B73" s="79"/>
      <c r="C73" s="78"/>
      <c r="D73" s="167"/>
      <c r="E73" s="78"/>
      <c r="F73" s="140"/>
      <c r="G73" s="168"/>
      <c r="H73" s="169"/>
      <c r="I73" s="66"/>
      <c r="J73" s="20"/>
      <c r="K73" s="66"/>
    </row>
    <row r="74" spans="1:11" ht="13.5" customHeight="1" thickBot="1" x14ac:dyDescent="0.25">
      <c r="A74" s="60"/>
      <c r="B74" s="342" t="s">
        <v>73</v>
      </c>
      <c r="C74" s="343"/>
      <c r="D74" s="343"/>
      <c r="E74" s="343"/>
      <c r="F74" s="343"/>
      <c r="G74" s="343"/>
      <c r="H74" s="344"/>
      <c r="I74" s="56"/>
      <c r="J74" s="56"/>
      <c r="K74" s="170">
        <f>SUM(K25:K73)</f>
        <v>20421.899999999998</v>
      </c>
    </row>
    <row r="75" spans="1:11" ht="12.75" thickTop="1" x14ac:dyDescent="0.2">
      <c r="A75" s="60"/>
      <c r="B75" s="299" t="s">
        <v>127</v>
      </c>
      <c r="C75" s="300"/>
      <c r="D75" s="300"/>
      <c r="E75" s="300"/>
      <c r="F75" s="300"/>
      <c r="G75" s="300"/>
      <c r="H75" s="300"/>
      <c r="I75" s="300"/>
      <c r="J75" s="300"/>
      <c r="K75" s="301"/>
    </row>
    <row r="76" spans="1:11" ht="12.75" customHeight="1" x14ac:dyDescent="0.2">
      <c r="A76" s="57"/>
      <c r="B76" s="296"/>
      <c r="C76" s="297"/>
      <c r="D76" s="297"/>
      <c r="E76" s="297"/>
      <c r="F76" s="297"/>
      <c r="G76" s="297"/>
      <c r="H76" s="297"/>
      <c r="I76" s="297"/>
      <c r="J76" s="297"/>
      <c r="K76" s="298"/>
    </row>
    <row r="77" spans="1:11" ht="12.75" x14ac:dyDescent="0.2">
      <c r="A77" s="284" t="s">
        <v>60</v>
      </c>
      <c r="B77" s="285"/>
      <c r="C77" s="285"/>
      <c r="D77" s="285"/>
      <c r="E77" s="286"/>
      <c r="F77" s="286"/>
      <c r="G77" s="286"/>
      <c r="H77" s="242" t="s">
        <v>146</v>
      </c>
      <c r="I77" s="243"/>
      <c r="J77" s="243"/>
      <c r="K77" s="244"/>
    </row>
    <row r="78" spans="1:11" ht="12.75" customHeight="1" x14ac:dyDescent="0.2">
      <c r="A78" s="287" t="s">
        <v>61</v>
      </c>
      <c r="B78" s="288"/>
      <c r="C78" s="288"/>
      <c r="D78" s="288"/>
      <c r="E78" s="289"/>
      <c r="F78" s="289"/>
      <c r="G78" s="289"/>
      <c r="H78" s="192"/>
      <c r="I78" s="245"/>
      <c r="J78" s="245"/>
      <c r="K78" s="246"/>
    </row>
    <row r="79" spans="1:11" ht="12.75" x14ac:dyDescent="0.2">
      <c r="A79" s="291" t="s">
        <v>17</v>
      </c>
      <c r="B79" s="292"/>
      <c r="C79" s="292"/>
      <c r="D79" s="292"/>
      <c r="E79" s="289"/>
      <c r="F79" s="289"/>
      <c r="G79" s="289"/>
      <c r="H79" s="192"/>
      <c r="I79" s="245"/>
      <c r="J79" s="245"/>
      <c r="K79" s="246"/>
    </row>
    <row r="80" spans="1:11" ht="12.75" x14ac:dyDescent="0.2">
      <c r="A80" s="291" t="s">
        <v>43</v>
      </c>
      <c r="B80" s="292"/>
      <c r="C80" s="292"/>
      <c r="D80" s="292"/>
      <c r="E80" s="292"/>
      <c r="F80" s="292"/>
      <c r="G80" s="292"/>
      <c r="H80" s="192"/>
      <c r="I80" s="245"/>
      <c r="J80" s="245"/>
      <c r="K80" s="246"/>
    </row>
    <row r="81" spans="1:11" ht="12.75" x14ac:dyDescent="0.2">
      <c r="A81" s="293" t="s">
        <v>69</v>
      </c>
      <c r="B81" s="294"/>
      <c r="C81" s="294"/>
      <c r="D81" s="294"/>
      <c r="E81" s="295"/>
      <c r="F81" s="295"/>
      <c r="G81" s="295"/>
      <c r="H81" s="192"/>
      <c r="I81" s="245"/>
      <c r="J81" s="245"/>
      <c r="K81" s="246"/>
    </row>
    <row r="82" spans="1:11" x14ac:dyDescent="0.2">
      <c r="A82" s="282"/>
      <c r="B82" s="283"/>
      <c r="C82" s="283"/>
      <c r="D82" s="283"/>
      <c r="E82" s="283"/>
      <c r="F82" s="283"/>
      <c r="G82" s="283"/>
      <c r="H82" s="252" t="s">
        <v>147</v>
      </c>
      <c r="I82" s="252"/>
      <c r="J82" s="252"/>
      <c r="K82" s="253"/>
    </row>
    <row r="83" spans="1:11" x14ac:dyDescent="0.2"/>
    <row r="84" spans="1:11" x14ac:dyDescent="0.2"/>
    <row r="85" spans="1:11" x14ac:dyDescent="0.2"/>
    <row r="86" spans="1:11" x14ac:dyDescent="0.2"/>
    <row r="87" spans="1:11" x14ac:dyDescent="0.2"/>
    <row r="88" spans="1:11" x14ac:dyDescent="0.2"/>
    <row r="89" spans="1:11" x14ac:dyDescent="0.2"/>
    <row r="90" spans="1:11" x14ac:dyDescent="0.2"/>
    <row r="91" spans="1:11" x14ac:dyDescent="0.2"/>
    <row r="92" spans="1:11" x14ac:dyDescent="0.2"/>
    <row r="93" spans="1:11" x14ac:dyDescent="0.2"/>
    <row r="94" spans="1:11" x14ac:dyDescent="0.2"/>
    <row r="95" spans="1:11" x14ac:dyDescent="0.2"/>
    <row r="96" spans="1:11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  <row r="138" x14ac:dyDescent="0.2"/>
    <row r="139" x14ac:dyDescent="0.2"/>
    <row r="140" x14ac:dyDescent="0.2"/>
    <row r="141" x14ac:dyDescent="0.2"/>
    <row r="142" x14ac:dyDescent="0.2"/>
    <row r="143" x14ac:dyDescent="0.2"/>
    <row r="144" x14ac:dyDescent="0.2"/>
    <row r="145" x14ac:dyDescent="0.2"/>
    <row r="146" x14ac:dyDescent="0.2"/>
    <row r="147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</sheetData>
  <mergeCells count="85">
    <mergeCell ref="H5:K5"/>
    <mergeCell ref="B22:H22"/>
    <mergeCell ref="B23:H23"/>
    <mergeCell ref="B24:H24"/>
    <mergeCell ref="B25:H25"/>
    <mergeCell ref="B1:J1"/>
    <mergeCell ref="A2:E3"/>
    <mergeCell ref="G2:J2"/>
    <mergeCell ref="G3:J3"/>
    <mergeCell ref="A4:E4"/>
    <mergeCell ref="F4:G4"/>
    <mergeCell ref="H4:K4"/>
    <mergeCell ref="F6:G6"/>
    <mergeCell ref="A10:E10"/>
    <mergeCell ref="G10:K10"/>
    <mergeCell ref="B39:H39"/>
    <mergeCell ref="B74:H74"/>
    <mergeCell ref="B13:E13"/>
    <mergeCell ref="F13:H13"/>
    <mergeCell ref="I13:K13"/>
    <mergeCell ref="H6:K6"/>
    <mergeCell ref="A11:E11"/>
    <mergeCell ref="G11:K11"/>
    <mergeCell ref="B26:H26"/>
    <mergeCell ref="B14:E14"/>
    <mergeCell ref="F14:H14"/>
    <mergeCell ref="I14:K14"/>
    <mergeCell ref="G8:K8"/>
    <mergeCell ref="A5:E5"/>
    <mergeCell ref="F5:G5"/>
    <mergeCell ref="A6:E6"/>
    <mergeCell ref="F7:G7"/>
    <mergeCell ref="H7:K7"/>
    <mergeCell ref="A8:B8"/>
    <mergeCell ref="C8:E8"/>
    <mergeCell ref="A12:E12"/>
    <mergeCell ref="G12:K12"/>
    <mergeCell ref="A9:E9"/>
    <mergeCell ref="G9:K9"/>
    <mergeCell ref="A7:E7"/>
    <mergeCell ref="A21:B21"/>
    <mergeCell ref="C21:E21"/>
    <mergeCell ref="H21:K21"/>
    <mergeCell ref="F21:G21"/>
    <mergeCell ref="F20:G20"/>
    <mergeCell ref="H19:K19"/>
    <mergeCell ref="F19:G19"/>
    <mergeCell ref="F15:G15"/>
    <mergeCell ref="H15:K15"/>
    <mergeCell ref="F16:G16"/>
    <mergeCell ref="H16:K16"/>
    <mergeCell ref="F17:G17"/>
    <mergeCell ref="H17:K17"/>
    <mergeCell ref="B75:K75"/>
    <mergeCell ref="C40:D40"/>
    <mergeCell ref="A16:B16"/>
    <mergeCell ref="C16:E16"/>
    <mergeCell ref="B15:E15"/>
    <mergeCell ref="H20:K20"/>
    <mergeCell ref="A17:B17"/>
    <mergeCell ref="C17:E17"/>
    <mergeCell ref="A18:B18"/>
    <mergeCell ref="C18:E18"/>
    <mergeCell ref="F18:G18"/>
    <mergeCell ref="H18:K18"/>
    <mergeCell ref="A19:B19"/>
    <mergeCell ref="C19:E19"/>
    <mergeCell ref="A20:B20"/>
    <mergeCell ref="C20:E20"/>
    <mergeCell ref="C41:D41"/>
    <mergeCell ref="C42:D42"/>
    <mergeCell ref="J23:K23"/>
    <mergeCell ref="A82:G82"/>
    <mergeCell ref="H82:K82"/>
    <mergeCell ref="A77:G77"/>
    <mergeCell ref="H77:K77"/>
    <mergeCell ref="A78:G78"/>
    <mergeCell ref="H78:K78"/>
    <mergeCell ref="A79:G79"/>
    <mergeCell ref="H79:K79"/>
    <mergeCell ref="A80:G80"/>
    <mergeCell ref="H80:K80"/>
    <mergeCell ref="A81:G81"/>
    <mergeCell ref="H81:K81"/>
    <mergeCell ref="B76:K76"/>
  </mergeCells>
  <printOptions horizontalCentered="1"/>
  <pageMargins left="0.51181102362204722" right="0.23622047244094491" top="0.23622047244094491" bottom="0.23622047244094491" header="0" footer="0"/>
  <pageSetup paperSize="9" scale="7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Page1</vt:lpstr>
      <vt:lpstr>Page2</vt:lpstr>
      <vt:lpstr>Page1!Print_Area</vt:lpstr>
      <vt:lpstr>Page2!Print_Area</vt:lpstr>
    </vt:vector>
  </TitlesOfParts>
  <Company>Unknown 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Admin</cp:lastModifiedBy>
  <cp:lastPrinted>2026-05-23T08:49:50Z</cp:lastPrinted>
  <dcterms:created xsi:type="dcterms:W3CDTF">1999-03-01T07:43:48Z</dcterms:created>
  <dcterms:modified xsi:type="dcterms:W3CDTF">2026-05-23T08:58:40Z</dcterms:modified>
</cp:coreProperties>
</file>