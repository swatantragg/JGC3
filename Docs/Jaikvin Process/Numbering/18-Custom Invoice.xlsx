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-105" yWindow="-105" windowWidth="19425" windowHeight="10305"/>
  </bookViews>
  <sheets>
    <sheet name="Page1" sheetId="1" r:id="rId1"/>
    <sheet name="Page2" sheetId="10" r:id="rId2"/>
    <sheet name="Annx" sheetId="9" r:id="rId3"/>
  </sheets>
  <definedNames>
    <definedName name="_xlnm.Print_Area" localSheetId="0">Page1!$A$1:$K$88</definedName>
    <definedName name="_xlnm.Print_Area" localSheetId="1">Page2!$A$1:$K$88</definedName>
  </definedNames>
  <calcPr calcId="152511"/>
</workbook>
</file>

<file path=xl/calcChain.xml><?xml version="1.0" encoding="utf-8"?>
<calcChain xmlns="http://schemas.openxmlformats.org/spreadsheetml/2006/main">
  <c r="F97" i="9" l="1"/>
  <c r="F79" i="10" l="1"/>
  <c r="D79" i="10"/>
  <c r="F78" i="10"/>
  <c r="D78" i="10"/>
  <c r="K42" i="10"/>
  <c r="H42" i="10"/>
  <c r="G42" i="10"/>
  <c r="K41" i="10"/>
  <c r="J79" i="10" s="1"/>
  <c r="H41" i="10"/>
  <c r="G41" i="10"/>
  <c r="K38" i="10"/>
  <c r="H38" i="10"/>
  <c r="G38" i="10"/>
  <c r="K37" i="10"/>
  <c r="H37" i="10"/>
  <c r="G37" i="10"/>
  <c r="K36" i="10"/>
  <c r="H36" i="10"/>
  <c r="G36" i="10"/>
  <c r="K35" i="10"/>
  <c r="H35" i="10"/>
  <c r="G35" i="10"/>
  <c r="K34" i="10"/>
  <c r="H34" i="10"/>
  <c r="G34" i="10"/>
  <c r="K33" i="10"/>
  <c r="H33" i="10"/>
  <c r="G33" i="10"/>
  <c r="K32" i="10"/>
  <c r="H32" i="10"/>
  <c r="G32" i="10"/>
  <c r="K31" i="10"/>
  <c r="H31" i="10"/>
  <c r="G31" i="10"/>
  <c r="K30" i="10"/>
  <c r="H30" i="10"/>
  <c r="G30" i="10"/>
  <c r="K29" i="10"/>
  <c r="H29" i="10"/>
  <c r="G29" i="10"/>
  <c r="K28" i="10"/>
  <c r="H28" i="10"/>
  <c r="G28" i="10"/>
  <c r="K79" i="1"/>
  <c r="H79" i="1"/>
  <c r="G79" i="1"/>
  <c r="K78" i="1"/>
  <c r="H78" i="1"/>
  <c r="G78" i="1"/>
  <c r="E78" i="10" l="1"/>
  <c r="E79" i="10"/>
  <c r="J78" i="10"/>
  <c r="E42" i="9"/>
  <c r="G42" i="9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34" i="9"/>
  <c r="G34" i="9" s="1"/>
  <c r="E33" i="9"/>
  <c r="G33" i="9" s="1"/>
  <c r="E32" i="9"/>
  <c r="G32" i="9" s="1"/>
  <c r="E31" i="9"/>
  <c r="G31" i="9" s="1"/>
  <c r="E30" i="9"/>
  <c r="G30" i="9" s="1"/>
  <c r="E29" i="9"/>
  <c r="G29" i="9" s="1"/>
  <c r="E28" i="9"/>
  <c r="G28" i="9" s="1"/>
  <c r="E27" i="9"/>
  <c r="G27" i="9" s="1"/>
  <c r="E26" i="9"/>
  <c r="G26" i="9" s="1"/>
  <c r="E25" i="9"/>
  <c r="G25" i="9" s="1"/>
  <c r="E24" i="9"/>
  <c r="G24" i="9" s="1"/>
  <c r="E23" i="9"/>
  <c r="G23" i="9" s="1"/>
  <c r="E22" i="9"/>
  <c r="G22" i="9" s="1"/>
  <c r="E21" i="9"/>
  <c r="G21" i="9" s="1"/>
  <c r="E20" i="9"/>
  <c r="G20" i="9" s="1"/>
  <c r="E19" i="9"/>
  <c r="G19" i="9" s="1"/>
  <c r="G95" i="9"/>
  <c r="G94" i="9"/>
  <c r="E90" i="9"/>
  <c r="G90" i="9" s="1"/>
  <c r="E89" i="9"/>
  <c r="G89" i="9" s="1"/>
  <c r="E88" i="9"/>
  <c r="G88" i="9" s="1"/>
  <c r="E87" i="9"/>
  <c r="G87" i="9" s="1"/>
  <c r="E86" i="9"/>
  <c r="G86" i="9" s="1"/>
  <c r="E85" i="9"/>
  <c r="G85" i="9" s="1"/>
  <c r="E84" i="9"/>
  <c r="G84" i="9" s="1"/>
  <c r="E83" i="9"/>
  <c r="G83" i="9" s="1"/>
  <c r="E82" i="9"/>
  <c r="G82" i="9" s="1"/>
  <c r="E71" i="9"/>
  <c r="E70" i="9"/>
  <c r="E69" i="9"/>
  <c r="E68" i="9"/>
  <c r="E67" i="9"/>
  <c r="E55" i="9"/>
  <c r="G55" i="9" s="1"/>
  <c r="E54" i="9"/>
  <c r="G54" i="9" s="1"/>
  <c r="E53" i="9"/>
  <c r="G53" i="9" s="1"/>
  <c r="E52" i="9"/>
  <c r="G52" i="9" s="1"/>
  <c r="E51" i="9"/>
  <c r="G51" i="9" s="1"/>
  <c r="E50" i="9"/>
  <c r="G50" i="9" s="1"/>
  <c r="E49" i="9"/>
  <c r="G49" i="9" s="1"/>
  <c r="E48" i="9"/>
  <c r="G48" i="9" s="1"/>
  <c r="E47" i="9"/>
  <c r="G47" i="9" s="1"/>
  <c r="E46" i="9"/>
  <c r="G46" i="9" s="1"/>
  <c r="E45" i="9"/>
  <c r="G45" i="9" s="1"/>
  <c r="E44" i="9"/>
  <c r="G44" i="9" s="1"/>
  <c r="E43" i="9"/>
  <c r="G43" i="9" s="1"/>
  <c r="E18" i="9"/>
  <c r="G18" i="9" s="1"/>
  <c r="E17" i="9"/>
  <c r="G17" i="9" s="1"/>
  <c r="E16" i="9"/>
  <c r="G16" i="9" s="1"/>
  <c r="E15" i="9"/>
  <c r="G15" i="9" s="1"/>
  <c r="E14" i="9"/>
  <c r="G14" i="9" s="1"/>
  <c r="F77" i="10" l="1"/>
  <c r="D77" i="10"/>
  <c r="G74" i="1" l="1"/>
  <c r="G73" i="1"/>
  <c r="G72" i="1"/>
  <c r="G71" i="1"/>
  <c r="K74" i="1"/>
  <c r="H74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K66" i="1" l="1"/>
  <c r="H66" i="1"/>
  <c r="K65" i="1"/>
  <c r="H65" i="1"/>
  <c r="K64" i="1"/>
  <c r="H64" i="1"/>
  <c r="K63" i="1"/>
  <c r="H63" i="1"/>
  <c r="K56" i="1"/>
  <c r="H56" i="1"/>
  <c r="K55" i="1"/>
  <c r="H55" i="1"/>
  <c r="K54" i="1"/>
  <c r="H54" i="1"/>
  <c r="K53" i="1"/>
  <c r="H53" i="1"/>
  <c r="K52" i="1"/>
  <c r="H52" i="1"/>
  <c r="K51" i="1"/>
  <c r="H51" i="1"/>
  <c r="K75" i="1" l="1"/>
  <c r="H75" i="1"/>
  <c r="G75" i="1"/>
  <c r="E77" i="10" s="1"/>
  <c r="H29" i="1" l="1"/>
  <c r="E81" i="9" l="1"/>
  <c r="G81" i="9" s="1"/>
  <c r="E80" i="9"/>
  <c r="G80" i="9" s="1"/>
  <c r="G71" i="9"/>
  <c r="G70" i="9"/>
  <c r="G69" i="9"/>
  <c r="G68" i="9"/>
  <c r="F80" i="10" l="1"/>
  <c r="I82" i="1"/>
  <c r="B25" i="10" l="1"/>
  <c r="K42" i="1"/>
  <c r="H42" i="1"/>
  <c r="K41" i="1"/>
  <c r="H41" i="1"/>
  <c r="K40" i="1"/>
  <c r="H40" i="1"/>
  <c r="K39" i="1"/>
  <c r="H39" i="1"/>
  <c r="K38" i="1"/>
  <c r="H38" i="1"/>
  <c r="E76" i="9" l="1"/>
  <c r="G76" i="9" s="1"/>
  <c r="E75" i="9"/>
  <c r="G67" i="9"/>
  <c r="B24" i="10"/>
  <c r="G75" i="9" l="1"/>
  <c r="E97" i="9"/>
  <c r="D80" i="10"/>
  <c r="K71" i="1" l="1"/>
  <c r="H71" i="1"/>
  <c r="K69" i="1"/>
  <c r="H69" i="1"/>
  <c r="K68" i="1"/>
  <c r="H68" i="1"/>
  <c r="K67" i="1"/>
  <c r="H67" i="1"/>
  <c r="K62" i="1"/>
  <c r="H62" i="1"/>
  <c r="K61" i="1"/>
  <c r="H61" i="1"/>
  <c r="K60" i="1"/>
  <c r="H60" i="1"/>
  <c r="K59" i="1"/>
  <c r="H59" i="1"/>
  <c r="K58" i="1"/>
  <c r="H58" i="1"/>
  <c r="K57" i="1"/>
  <c r="H57" i="1"/>
  <c r="G8" i="10" l="1"/>
  <c r="K73" i="1" l="1"/>
  <c r="H73" i="1"/>
  <c r="K72" i="1"/>
  <c r="H72" i="1"/>
  <c r="A19" i="1" l="1"/>
  <c r="A24" i="10" l="1"/>
  <c r="K50" i="1" l="1"/>
  <c r="H50" i="1"/>
  <c r="K49" i="1"/>
  <c r="H49" i="1"/>
  <c r="K48" i="1"/>
  <c r="H48" i="1"/>
  <c r="K47" i="1"/>
  <c r="H47" i="1"/>
  <c r="G2" i="10" l="1"/>
  <c r="G80" i="10" l="1"/>
  <c r="B10" i="9" l="1"/>
  <c r="K46" i="1" l="1"/>
  <c r="H46" i="1"/>
  <c r="K45" i="1"/>
  <c r="H45" i="1"/>
  <c r="K44" i="1"/>
  <c r="H44" i="1"/>
  <c r="K43" i="1"/>
  <c r="H43" i="1"/>
  <c r="K37" i="1" l="1"/>
  <c r="H37" i="1"/>
  <c r="K78" i="10" l="1"/>
  <c r="K79" i="10" l="1"/>
  <c r="A27" i="10" l="1"/>
  <c r="A26" i="10"/>
  <c r="K17" i="10" l="1"/>
  <c r="J17" i="10"/>
  <c r="I17" i="10"/>
  <c r="H17" i="10"/>
  <c r="G17" i="10"/>
  <c r="K16" i="10"/>
  <c r="J16" i="10"/>
  <c r="I16" i="10"/>
  <c r="H16" i="10"/>
  <c r="G16" i="10"/>
  <c r="K15" i="10"/>
  <c r="J15" i="10"/>
  <c r="I15" i="10"/>
  <c r="H15" i="10"/>
  <c r="G15" i="10"/>
  <c r="K28" i="1" l="1"/>
  <c r="K29" i="1"/>
  <c r="K30" i="1"/>
  <c r="K31" i="1"/>
  <c r="K32" i="1"/>
  <c r="K33" i="1"/>
  <c r="K34" i="1"/>
  <c r="K35" i="1"/>
  <c r="K36" i="1"/>
  <c r="J77" i="10" l="1"/>
  <c r="K82" i="1"/>
  <c r="H36" i="1"/>
  <c r="H35" i="1"/>
  <c r="H34" i="1"/>
  <c r="H33" i="1"/>
  <c r="H32" i="1"/>
  <c r="H31" i="1"/>
  <c r="H30" i="1"/>
  <c r="K77" i="10" l="1"/>
  <c r="K80" i="10" s="1"/>
  <c r="J80" i="10"/>
  <c r="A1" i="10"/>
  <c r="G10" i="10" l="1"/>
  <c r="J25" i="10" l="1"/>
  <c r="J24" i="10" l="1"/>
  <c r="J23" i="10"/>
  <c r="H24" i="10"/>
  <c r="H23" i="10"/>
  <c r="F23" i="10"/>
  <c r="H19" i="10"/>
  <c r="F19" i="10"/>
  <c r="F17" i="10"/>
  <c r="H21" i="10"/>
  <c r="F21" i="10"/>
  <c r="H20" i="10"/>
  <c r="F20" i="10"/>
  <c r="H18" i="10"/>
  <c r="F18" i="10"/>
  <c r="F16" i="10"/>
  <c r="F15" i="10"/>
  <c r="I14" i="10"/>
  <c r="F14" i="10"/>
  <c r="I13" i="10"/>
  <c r="F13" i="10"/>
  <c r="G12" i="10"/>
  <c r="G11" i="10"/>
  <c r="G9" i="10"/>
  <c r="F12" i="10"/>
  <c r="F11" i="10"/>
  <c r="F10" i="10"/>
  <c r="F9" i="10"/>
  <c r="F8" i="10"/>
  <c r="F7" i="10"/>
  <c r="F6" i="10"/>
  <c r="F5" i="10"/>
  <c r="F4" i="10"/>
  <c r="H7" i="10"/>
  <c r="H6" i="10"/>
  <c r="H5" i="10"/>
  <c r="K3" i="10"/>
  <c r="K2" i="10"/>
  <c r="G3" i="10"/>
  <c r="F3" i="10"/>
  <c r="F2" i="10"/>
  <c r="C21" i="10"/>
  <c r="A21" i="10"/>
  <c r="C20" i="10"/>
  <c r="A20" i="10"/>
  <c r="C19" i="10"/>
  <c r="C18" i="10"/>
  <c r="A18" i="10"/>
  <c r="C17" i="10"/>
  <c r="A17" i="10"/>
  <c r="C16" i="10"/>
  <c r="A16" i="10"/>
  <c r="A15" i="10"/>
  <c r="A14" i="10"/>
  <c r="A13" i="10"/>
  <c r="A12" i="10"/>
  <c r="A11" i="10"/>
  <c r="A10" i="10"/>
  <c r="A9" i="10"/>
  <c r="C8" i="10"/>
  <c r="A8" i="10"/>
  <c r="A7" i="10"/>
  <c r="A6" i="10"/>
  <c r="A5" i="10"/>
  <c r="A4" i="10"/>
  <c r="A2" i="10"/>
  <c r="B1" i="10"/>
  <c r="I25" i="10" l="1"/>
  <c r="I75" i="10" s="1"/>
  <c r="A75" i="10" s="1"/>
  <c r="A25" i="10"/>
  <c r="B23" i="10"/>
  <c r="A23" i="10"/>
  <c r="B15" i="10"/>
  <c r="B14" i="10"/>
  <c r="B13" i="10"/>
  <c r="H4" i="10"/>
  <c r="I80" i="10"/>
  <c r="H80" i="10"/>
  <c r="H28" i="1" l="1"/>
  <c r="A19" i="10" l="1"/>
  <c r="K25" i="10" l="1"/>
  <c r="K75" i="10" s="1"/>
  <c r="E80" i="10" l="1"/>
  <c r="G82" i="1"/>
  <c r="G25" i="10" s="1"/>
  <c r="G75" i="10" s="1"/>
  <c r="A74" i="10" s="1"/>
</calcChain>
</file>

<file path=xl/sharedStrings.xml><?xml version="1.0" encoding="utf-8"?>
<sst xmlns="http://schemas.openxmlformats.org/spreadsheetml/2006/main" count="321" uniqueCount="195">
  <si>
    <t>Port of Loading:</t>
  </si>
  <si>
    <t>Port of Discharge:</t>
  </si>
  <si>
    <t xml:space="preserve">                                                                                                          </t>
  </si>
  <si>
    <t xml:space="preserve">                                                                                                     </t>
  </si>
  <si>
    <t xml:space="preserve">                                                              </t>
  </si>
  <si>
    <t xml:space="preserve">Invoice No. </t>
  </si>
  <si>
    <t xml:space="preserve">Buyers Order No: </t>
  </si>
  <si>
    <t>Country of Final Destination</t>
  </si>
  <si>
    <t>Country of Origin</t>
  </si>
  <si>
    <t>Other Reference(s):</t>
  </si>
  <si>
    <t>INDIA</t>
  </si>
  <si>
    <t>Terms of Delivery:</t>
  </si>
  <si>
    <t>Marks &amp; Nos.</t>
  </si>
  <si>
    <t>Shipped per:</t>
  </si>
  <si>
    <t>INVOICE</t>
  </si>
  <si>
    <t>Exporter's Ref.</t>
  </si>
  <si>
    <t>Pre-Carraige by:</t>
  </si>
  <si>
    <t>Place of Receipt by Pre-Carraige</t>
  </si>
  <si>
    <t>Declaration:-</t>
  </si>
  <si>
    <t>On Account &amp; Risks of:</t>
  </si>
  <si>
    <t>Port of destination</t>
  </si>
  <si>
    <t>Invoice of:</t>
  </si>
  <si>
    <t xml:space="preserve">                                                                                                    </t>
  </si>
  <si>
    <t xml:space="preserve">                                                                                                   </t>
  </si>
  <si>
    <t>Through:</t>
  </si>
  <si>
    <t>S/B No:</t>
  </si>
  <si>
    <t>Terms of Payment:</t>
  </si>
  <si>
    <t>Date:</t>
  </si>
  <si>
    <t>T/A G.D.Watermark</t>
  </si>
  <si>
    <t>Messrs Corecomp Pty Ltd.,</t>
  </si>
  <si>
    <t>AUSTRALIA</t>
  </si>
  <si>
    <t>D.P.SIGHT DRAFT</t>
  </si>
  <si>
    <t>FREMANTLE</t>
  </si>
  <si>
    <t xml:space="preserve">FREMANTLE </t>
  </si>
  <si>
    <t>FOB VALUE</t>
  </si>
  <si>
    <t>Freight</t>
  </si>
  <si>
    <t>ANNEXTURE TO INVOICE</t>
  </si>
  <si>
    <t>Inv No &amp; Dt</t>
  </si>
  <si>
    <t>NO OF PKGS</t>
  </si>
  <si>
    <t>Shipment to</t>
  </si>
  <si>
    <t>QUANTITY</t>
  </si>
  <si>
    <t>NET WT</t>
  </si>
  <si>
    <t>RATE / KG</t>
  </si>
  <si>
    <t xml:space="preserve">Unit </t>
  </si>
  <si>
    <t xml:space="preserve">Total </t>
  </si>
  <si>
    <t>KGS</t>
  </si>
  <si>
    <t>US$</t>
  </si>
  <si>
    <t xml:space="preserve">Wangara WA 6065 (Australia) </t>
  </si>
  <si>
    <t>13, Tesla Link,</t>
  </si>
  <si>
    <t>Shipped Per</t>
  </si>
  <si>
    <t>ITEM CODE</t>
  </si>
  <si>
    <t>Quantity</t>
  </si>
  <si>
    <t>Amount</t>
  </si>
  <si>
    <t>Rate</t>
  </si>
  <si>
    <t>BREAKUP OF GST</t>
  </si>
  <si>
    <t>VALUE (US$)</t>
  </si>
  <si>
    <t>CGST</t>
  </si>
  <si>
    <t>SGST</t>
  </si>
  <si>
    <t>IGST</t>
  </si>
  <si>
    <t>TOTAL GST</t>
  </si>
  <si>
    <t>TOTAL</t>
  </si>
  <si>
    <t>PCS</t>
  </si>
  <si>
    <t>FOB / PC US$</t>
  </si>
  <si>
    <t>GST Rate</t>
  </si>
  <si>
    <t>GST Amount</t>
  </si>
  <si>
    <t>No &amp; Kinds of Pkgs   Description of Goods</t>
  </si>
  <si>
    <t>Taxable Amount</t>
  </si>
  <si>
    <t>TAXABLE VALUE (INR)</t>
  </si>
  <si>
    <t>We declare that this invoice shows the actual price of the goods described and that all particulars are true and correct.</t>
  </si>
  <si>
    <t>FOB MUMBAI IN US$</t>
  </si>
  <si>
    <t>FOB MUMBAI IN INR</t>
  </si>
  <si>
    <t>GDW NOS :</t>
  </si>
  <si>
    <t>CODE</t>
  </si>
  <si>
    <t>PIECES</t>
  </si>
  <si>
    <t>PER PC</t>
  </si>
  <si>
    <t>HSN CODE : 3917.2200</t>
  </si>
  <si>
    <t>1"</t>
  </si>
  <si>
    <t>PLASTIC (PP) EXTRUDED PIPES : BOTH SIDE THREADED PIPES</t>
  </si>
  <si>
    <t>PLASTIC (PP) EXTRUDED PIPES : BOTH SIDE THREADED PIPES (HSN CODE : 3917.2200)</t>
  </si>
  <si>
    <t>We intend to claim rewards under RoDTEP</t>
  </si>
  <si>
    <t>Container No.</t>
  </si>
  <si>
    <t>Seal No.</t>
  </si>
  <si>
    <t>Nett Wt.</t>
  </si>
  <si>
    <t>Gross Wt</t>
  </si>
  <si>
    <t>JAIKVIN GLOBAL</t>
  </si>
  <si>
    <t>Merchant Exporters</t>
  </si>
  <si>
    <t>A-101, Rajshree Royale, Navroji Lane, Ghatkopar (W),</t>
  </si>
  <si>
    <t>MUMBAI-400 086. Maharashtra (State Code : 27)</t>
  </si>
  <si>
    <t>Tel: 9987122600 E-Mail: aalok.shah@jaikvinglobal.com</t>
  </si>
  <si>
    <t>IEC AVIPS4808H</t>
  </si>
  <si>
    <t>GSTIN : 27AVIPS4808H1Z8 w.e.f 20.01.2021</t>
  </si>
  <si>
    <t>PAN No: AVIPS4808H</t>
  </si>
  <si>
    <t>Page 2</t>
  </si>
  <si>
    <t>BAL B/F…</t>
  </si>
  <si>
    <t>Total C/F Page :2</t>
  </si>
  <si>
    <t>PLASTIC (PA) MOULDED FITTINGS (HSN CODE : 3917.4000)</t>
  </si>
  <si>
    <t>HSN CODE : 3917.4000</t>
  </si>
  <si>
    <t>PLASTIC (PA) MOULDED FITTINGS</t>
  </si>
  <si>
    <t>HDFC BANK LTD, GHATKOPAR (E) BRANCH</t>
  </si>
  <si>
    <t>GHATKOPAR (E), MUMBAI 400 077 (INDIA)</t>
  </si>
  <si>
    <t>UOM</t>
  </si>
  <si>
    <t>SIZE (IN / MM)</t>
  </si>
  <si>
    <t>LEN (MM)</t>
  </si>
  <si>
    <t>NHAVA SHEVA-MUMBAI (INDIA)</t>
  </si>
  <si>
    <t>PLASTIC (PP) MOULDED FITTINGS</t>
  </si>
  <si>
    <t>PLASTIC (PP) MOULDED FITTINGS (HSN CODE : 3917.4000)</t>
  </si>
  <si>
    <t>SUPPLY MEANT FOR EXPORT WITH PAYMENT OF INTEGRATED TAX</t>
  </si>
  <si>
    <t>3/4"</t>
  </si>
  <si>
    <t>Payable at</t>
  </si>
  <si>
    <t>Destination</t>
  </si>
  <si>
    <t>Total FOB Mumbai Value :</t>
  </si>
  <si>
    <t>FOB MUMBAI</t>
  </si>
  <si>
    <t>BL. NO.</t>
  </si>
  <si>
    <t xml:space="preserve"> </t>
  </si>
  <si>
    <t>PLASTIC (PP) EXTRUDED PIPES : M / F THREADED PIPES (HSN CODE : 3917.2200)</t>
  </si>
  <si>
    <t>PLASTIC (PP) EXTRUDED PIPES : M / F THREADED PIPES</t>
  </si>
  <si>
    <t xml:space="preserve">PLASTIC (PP) EXTRUDED PIPES, PLASTIC (PP) </t>
  </si>
  <si>
    <t>PER 100 PCS</t>
  </si>
  <si>
    <t>FOB / 100 PCS US$</t>
  </si>
  <si>
    <t>MERCHANT</t>
  </si>
  <si>
    <t>IRN No</t>
  </si>
  <si>
    <t>Ack No</t>
  </si>
  <si>
    <t>Ack Dt</t>
  </si>
  <si>
    <t>PP1509</t>
  </si>
  <si>
    <t>PE2518</t>
  </si>
  <si>
    <t>2"</t>
  </si>
  <si>
    <t>PP1518</t>
  </si>
  <si>
    <t>PP1524</t>
  </si>
  <si>
    <t>1/2"</t>
  </si>
  <si>
    <t>PE2515</t>
  </si>
  <si>
    <t>CORRUGATED BOXES</t>
  </si>
  <si>
    <t xml:space="preserve">&amp; (PA) MOULDED FITTINGS AND CORRUGATED </t>
  </si>
  <si>
    <t>BOXES</t>
  </si>
  <si>
    <t>PE1548</t>
  </si>
  <si>
    <t>PE2024</t>
  </si>
  <si>
    <t>PET1512</t>
  </si>
  <si>
    <t>PP1501 / 5</t>
  </si>
  <si>
    <t>GRC15</t>
  </si>
  <si>
    <t>GRC20</t>
  </si>
  <si>
    <t>GRC25</t>
  </si>
  <si>
    <t>GRMFE25</t>
  </si>
  <si>
    <t>GRRS2015</t>
  </si>
  <si>
    <t>GRRS2520</t>
  </si>
  <si>
    <t>GRS25</t>
  </si>
  <si>
    <t>GRT15</t>
  </si>
  <si>
    <t>GRT20</t>
  </si>
  <si>
    <t>20*15</t>
  </si>
  <si>
    <t>25*20</t>
  </si>
  <si>
    <t>GRT25</t>
  </si>
  <si>
    <t>CORRUGATED BOXES (HSN CODE : 4819.1010)</t>
  </si>
  <si>
    <t>SIZE ( MM)</t>
  </si>
  <si>
    <t>HSN CODE : 4819.1010</t>
  </si>
  <si>
    <t xml:space="preserve">PLASTIC (PP) EXTRUDED PIPES, PLASTIC (PP) &amp; </t>
  </si>
  <si>
    <t>(PA) MOULDED FITTINGS &amp; CORRUGATED BOXES</t>
  </si>
  <si>
    <t>JG/26-27/6002 DT 04.05.2026</t>
  </si>
  <si>
    <t>JG/26-P/09 DT 27.04.2026</t>
  </si>
  <si>
    <t>EX. RATE @ Rs.92.50</t>
  </si>
  <si>
    <t>2421</t>
  </si>
  <si>
    <t>421 PACKAGES (343 CARTONS &amp; 78 HDP BUNDLES) CONTAINING</t>
  </si>
  <si>
    <t>PE1536</t>
  </si>
  <si>
    <t>PP2004</t>
  </si>
  <si>
    <t>PE2018</t>
  </si>
  <si>
    <t>PP2508</t>
  </si>
  <si>
    <t>PE2524</t>
  </si>
  <si>
    <t>PE3206</t>
  </si>
  <si>
    <t>PE3218</t>
  </si>
  <si>
    <t>PE3230</t>
  </si>
  <si>
    <t>PE4008</t>
  </si>
  <si>
    <t>PE4018</t>
  </si>
  <si>
    <t>PE5006</t>
  </si>
  <si>
    <t>PE5018</t>
  </si>
  <si>
    <t>1-1/4"</t>
  </si>
  <si>
    <t>1-1/2"</t>
  </si>
  <si>
    <t>PMF2524</t>
  </si>
  <si>
    <t>PMF2536</t>
  </si>
  <si>
    <t>GRT32</t>
  </si>
  <si>
    <t>GD4</t>
  </si>
  <si>
    <t>570 X 368 X 267</t>
  </si>
  <si>
    <t>GD3</t>
  </si>
  <si>
    <t>570 X 368 X 178</t>
  </si>
  <si>
    <t>US DOLLARS TWENTY THOUSAND FOUR HUNDRED TWENTY ONE AND CENTS NINETY ONLY</t>
  </si>
  <si>
    <t>INDIAN RUPEES EIGHTEEN LAKH EIGHTY NINE THOUSAND TWENTY FIVE  AND PAISE SEVENTY FIVE ONLY</t>
  </si>
  <si>
    <t>5049ef43c7126a4c35bf29795ce49390de0338</t>
  </si>
  <si>
    <t>c2897a4b4929c186580cfacad7</t>
  </si>
  <si>
    <t>122632432448548</t>
  </si>
  <si>
    <t>04-05-2026  3:51:00 PM</t>
  </si>
  <si>
    <t>2001 - 2421</t>
  </si>
  <si>
    <t>2945305 DT. 04.05.2026</t>
  </si>
  <si>
    <t>OOCU0793142</t>
  </si>
  <si>
    <t>IND-0054079</t>
  </si>
  <si>
    <t>SFPM2605165498  DT. 19.05.2026</t>
  </si>
  <si>
    <t>CAPE SYROS VOYAGE 092E</t>
  </si>
  <si>
    <t xml:space="preserve"> FOR JAIKVIN GLOBAL</t>
  </si>
  <si>
    <t xml:space="preserve"> PROPRIETOR</t>
  </si>
  <si>
    <t xml:space="preserve">  FOR JAIKVIN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</si>
</sst>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7" formatCode="&quot;₹&quot;\ #,##0.00;&quot;₹&quot;\ \-#,##0.00"/>
    <numFmt numFmtId="164" formatCode="&quot;$&quot;#,##0.00"/>
    <numFmt numFmtId="165" formatCode="&quot;$&quot;0.00;\-0.00;;@"/>
    <numFmt numFmtId="166" formatCode="\$0.00;\-\$0.00;;@"/>
    <numFmt numFmtId="167" formatCode="0.000"/>
    <numFmt numFmtId="168" formatCode="&quot;$&quot;0.00;\-&quot;$&quot;0.00;;@"/>
    <numFmt numFmtId="169" formatCode="[$Rs.-4009]\ #,##0.00"/>
    <numFmt numFmtId="170" formatCode="0.00;\-0.00;;@"/>
    <numFmt numFmtId="171" formatCode="0;\-0;;@"/>
    <numFmt numFmtId="172" formatCode="0.000;\-0.000;;@"/>
    <numFmt numFmtId="173" formatCode="[$$-409]#,##0.00_ ;\-[$$-409]#,##0.00\ "/>
    <numFmt numFmtId="174" formatCode="&quot;₹&quot;\ #,##0.00"/>
    <numFmt numFmtId="175" formatCode="#,##0.000"/>
  </numFmts>
  <fonts count="13" x14ac:knownFonts="1">
    <font>
      <sz val="10"/>
      <name val="Times New Roman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u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8"/>
      <color indexed="8"/>
      <name val="Centaur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8" fillId="0" borderId="0"/>
    <xf numFmtId="0" fontId="4" fillId="0" borderId="0"/>
  </cellStyleXfs>
  <cellXfs count="465">
    <xf numFmtId="0" fontId="0" fillId="0" borderId="0" xfId="0"/>
    <xf numFmtId="0" fontId="1" fillId="0" borderId="0" xfId="0" applyFont="1" applyAlignment="1" applyProtection="1">
      <alignment shrinkToFit="1"/>
      <protection hidden="1"/>
    </xf>
    <xf numFmtId="0" fontId="5" fillId="0" borderId="0" xfId="0" applyFont="1" applyAlignment="1" applyProtection="1">
      <alignment shrinkToFit="1"/>
      <protection locked="0" hidden="1"/>
    </xf>
    <xf numFmtId="0" fontId="6" fillId="0" borderId="1" xfId="0" applyFont="1" applyBorder="1" applyAlignment="1" applyProtection="1">
      <alignment shrinkToFit="1"/>
      <protection hidden="1"/>
    </xf>
    <xf numFmtId="0" fontId="6" fillId="0" borderId="2" xfId="0" applyFont="1" applyBorder="1" applyAlignment="1" applyProtection="1">
      <alignment shrinkToFit="1"/>
      <protection hidden="1"/>
    </xf>
    <xf numFmtId="0" fontId="2" fillId="0" borderId="3" xfId="0" applyFont="1" applyBorder="1" applyAlignment="1" applyProtection="1">
      <alignment shrinkToFit="1"/>
      <protection hidden="1"/>
    </xf>
    <xf numFmtId="0" fontId="6" fillId="0" borderId="1" xfId="0" applyFont="1" applyBorder="1" applyAlignment="1" applyProtection="1">
      <alignment shrinkToFit="1"/>
      <protection locked="0" hidden="1"/>
    </xf>
    <xf numFmtId="0" fontId="2" fillId="0" borderId="6" xfId="0" applyFont="1" applyBorder="1" applyAlignment="1" applyProtection="1">
      <alignment shrinkToFit="1"/>
      <protection hidden="1"/>
    </xf>
    <xf numFmtId="0" fontId="6" fillId="0" borderId="3" xfId="0" applyFont="1" applyBorder="1" applyAlignment="1" applyProtection="1">
      <alignment shrinkToFit="1"/>
      <protection locked="0" hidden="1"/>
    </xf>
    <xf numFmtId="0" fontId="6" fillId="0" borderId="8" xfId="0" applyFont="1" applyBorder="1" applyAlignment="1" applyProtection="1">
      <alignment shrinkToFit="1"/>
      <protection hidden="1"/>
    </xf>
    <xf numFmtId="0" fontId="6" fillId="0" borderId="8" xfId="0" applyFont="1" applyBorder="1" applyAlignment="1" applyProtection="1">
      <alignment horizontal="center" shrinkToFit="1"/>
      <protection hidden="1"/>
    </xf>
    <xf numFmtId="0" fontId="2" fillId="0" borderId="9" xfId="0" applyFont="1" applyBorder="1" applyAlignment="1" applyProtection="1">
      <alignment shrinkToFit="1"/>
      <protection locked="0" hidden="1"/>
    </xf>
    <xf numFmtId="0" fontId="6" fillId="0" borderId="9" xfId="0" applyFont="1" applyBorder="1" applyAlignment="1" applyProtection="1">
      <alignment horizontal="center" shrinkToFit="1"/>
      <protection locked="0" hidden="1"/>
    </xf>
    <xf numFmtId="165" fontId="2" fillId="0" borderId="9" xfId="0" applyNumberFormat="1" applyFont="1" applyBorder="1" applyAlignment="1" applyProtection="1">
      <alignment horizontal="center" shrinkToFit="1"/>
      <protection locked="0" hidden="1"/>
    </xf>
    <xf numFmtId="0" fontId="2" fillId="0" borderId="9" xfId="0" quotePrefix="1" applyFont="1" applyBorder="1" applyAlignment="1" applyProtection="1">
      <alignment shrinkToFit="1"/>
      <protection locked="0" hidden="1"/>
    </xf>
    <xf numFmtId="0" fontId="6" fillId="0" borderId="4" xfId="0" applyFont="1" applyBorder="1" applyAlignment="1" applyProtection="1">
      <alignment shrinkToFit="1"/>
      <protection locked="0" hidden="1"/>
    </xf>
    <xf numFmtId="166" fontId="2" fillId="0" borderId="4" xfId="0" applyNumberFormat="1" applyFont="1" applyBorder="1" applyAlignment="1" applyProtection="1">
      <alignment shrinkToFit="1"/>
      <protection hidden="1"/>
    </xf>
    <xf numFmtId="168" fontId="2" fillId="0" borderId="9" xfId="0" applyNumberFormat="1" applyFont="1" applyBorder="1" applyAlignment="1" applyProtection="1">
      <alignment shrinkToFit="1"/>
      <protection locked="0" hidden="1"/>
    </xf>
    <xf numFmtId="168" fontId="2" fillId="0" borderId="17" xfId="0" applyNumberFormat="1" applyFont="1" applyBorder="1" applyAlignment="1" applyProtection="1">
      <alignment shrinkToFit="1"/>
      <protection hidden="1"/>
    </xf>
    <xf numFmtId="0" fontId="9" fillId="0" borderId="3" xfId="1" applyFont="1" applyBorder="1" applyAlignment="1">
      <alignment horizontal="center"/>
    </xf>
    <xf numFmtId="0" fontId="10" fillId="0" borderId="10" xfId="1" applyFont="1" applyBorder="1" applyAlignment="1">
      <alignment shrinkToFit="1"/>
    </xf>
    <xf numFmtId="0" fontId="10" fillId="0" borderId="0" xfId="1" applyFont="1"/>
    <xf numFmtId="0" fontId="10" fillId="0" borderId="10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6" fillId="0" borderId="6" xfId="0" applyFont="1" applyBorder="1" applyAlignment="1" applyProtection="1">
      <alignment shrinkToFit="1"/>
      <protection locked="0" hidden="1"/>
    </xf>
    <xf numFmtId="0" fontId="10" fillId="0" borderId="22" xfId="1" applyFont="1" applyBorder="1" applyAlignment="1">
      <alignment vertical="center"/>
    </xf>
    <xf numFmtId="0" fontId="6" fillId="0" borderId="3" xfId="0" applyFont="1" applyBorder="1" applyAlignment="1" applyProtection="1">
      <alignment shrinkToFit="1"/>
      <protection hidden="1"/>
    </xf>
    <xf numFmtId="0" fontId="6" fillId="0" borderId="10" xfId="0" applyFont="1" applyBorder="1" applyAlignment="1" applyProtection="1">
      <alignment shrinkToFit="1"/>
      <protection hidden="1"/>
    </xf>
    <xf numFmtId="0" fontId="6" fillId="0" borderId="4" xfId="0" applyFont="1" applyBorder="1" applyAlignment="1" applyProtection="1">
      <alignment shrinkToFit="1"/>
      <protection hidden="1"/>
    </xf>
    <xf numFmtId="9" fontId="2" fillId="0" borderId="9" xfId="0" applyNumberFormat="1" applyFont="1" applyBorder="1" applyAlignment="1" applyProtection="1">
      <alignment horizontal="center" shrinkToFit="1"/>
      <protection locked="0" hidden="1"/>
    </xf>
    <xf numFmtId="0" fontId="9" fillId="0" borderId="8" xfId="1" applyFont="1" applyBorder="1" applyAlignment="1">
      <alignment horizontal="center"/>
    </xf>
    <xf numFmtId="0" fontId="9" fillId="0" borderId="4" xfId="1" applyFont="1" applyBorder="1"/>
    <xf numFmtId="0" fontId="1" fillId="0" borderId="13" xfId="0" applyFont="1" applyBorder="1" applyAlignment="1">
      <alignment horizontal="center"/>
    </xf>
    <xf numFmtId="165" fontId="2" fillId="0" borderId="13" xfId="0" applyNumberFormat="1" applyFont="1" applyBorder="1" applyAlignment="1" applyProtection="1">
      <alignment horizontal="center" shrinkToFit="1"/>
      <protection locked="0" hidden="1"/>
    </xf>
    <xf numFmtId="165" fontId="2" fillId="0" borderId="13" xfId="0" applyNumberFormat="1" applyFont="1" applyBorder="1" applyAlignment="1" applyProtection="1">
      <alignment shrinkToFit="1"/>
      <protection locked="0" hidden="1"/>
    </xf>
    <xf numFmtId="9" fontId="2" fillId="0" borderId="13" xfId="0" applyNumberFormat="1" applyFont="1" applyBorder="1" applyAlignment="1" applyProtection="1">
      <alignment horizontal="center" shrinkToFit="1"/>
      <protection locked="0" hidden="1"/>
    </xf>
    <xf numFmtId="169" fontId="2" fillId="0" borderId="4" xfId="0" applyNumberFormat="1" applyFont="1" applyBorder="1" applyAlignment="1" applyProtection="1">
      <alignment shrinkToFit="1"/>
      <protection locked="0" hidden="1"/>
    </xf>
    <xf numFmtId="9" fontId="2" fillId="0" borderId="4" xfId="0" applyNumberFormat="1" applyFont="1" applyBorder="1" applyAlignment="1" applyProtection="1">
      <alignment horizontal="center" shrinkToFit="1"/>
      <protection locked="0" hidden="1"/>
    </xf>
    <xf numFmtId="165" fontId="2" fillId="0" borderId="4" xfId="0" applyNumberFormat="1" applyFont="1" applyBorder="1" applyAlignment="1" applyProtection="1">
      <alignment shrinkToFit="1"/>
      <protection locked="0" hidden="1"/>
    </xf>
    <xf numFmtId="0" fontId="1" fillId="0" borderId="13" xfId="0" applyFont="1" applyBorder="1" applyAlignment="1">
      <alignment horizontal="center" shrinkToFit="1"/>
    </xf>
    <xf numFmtId="0" fontId="1" fillId="0" borderId="26" xfId="0" applyFont="1" applyBorder="1" applyAlignment="1">
      <alignment horizontal="center" shrinkToFit="1"/>
    </xf>
    <xf numFmtId="165" fontId="2" fillId="0" borderId="27" xfId="0" applyNumberFormat="1" applyFont="1" applyBorder="1" applyAlignment="1" applyProtection="1">
      <alignment shrinkToFit="1"/>
      <protection locked="0" hidden="1"/>
    </xf>
    <xf numFmtId="9" fontId="2" fillId="0" borderId="27" xfId="0" applyNumberFormat="1" applyFont="1" applyBorder="1" applyAlignment="1" applyProtection="1">
      <alignment horizontal="center" shrinkToFit="1"/>
      <protection locked="0" hidden="1"/>
    </xf>
    <xf numFmtId="0" fontId="10" fillId="0" borderId="10" xfId="1" applyFont="1" applyBorder="1"/>
    <xf numFmtId="169" fontId="2" fillId="0" borderId="4" xfId="0" applyNumberFormat="1" applyFont="1" applyBorder="1" applyAlignment="1" applyProtection="1">
      <alignment horizontal="center" shrinkToFit="1"/>
      <protection locked="0" hidden="1"/>
    </xf>
    <xf numFmtId="167" fontId="2" fillId="0" borderId="9" xfId="0" applyNumberFormat="1" applyFont="1" applyBorder="1" applyAlignment="1" applyProtection="1">
      <alignment horizontal="center" shrinkToFit="1"/>
      <protection locked="0" hidden="1"/>
    </xf>
    <xf numFmtId="0" fontId="2" fillId="0" borderId="9" xfId="0" applyFont="1" applyBorder="1" applyAlignment="1" applyProtection="1">
      <alignment horizontal="center" shrinkToFit="1"/>
      <protection locked="0" hidden="1"/>
    </xf>
    <xf numFmtId="0" fontId="10" fillId="0" borderId="29" xfId="1" applyFont="1" applyBorder="1" applyAlignment="1">
      <alignment vertical="center"/>
    </xf>
    <xf numFmtId="0" fontId="10" fillId="0" borderId="27" xfId="1" applyFont="1" applyBorder="1" applyAlignment="1">
      <alignment horizontal="center"/>
    </xf>
    <xf numFmtId="0" fontId="10" fillId="0" borderId="21" xfId="1" applyFont="1" applyBorder="1" applyAlignment="1">
      <alignment vertical="center"/>
    </xf>
    <xf numFmtId="0" fontId="10" fillId="0" borderId="14" xfId="1" applyFont="1" applyBorder="1" applyAlignment="1">
      <alignment horizontal="center"/>
    </xf>
    <xf numFmtId="165" fontId="2" fillId="0" borderId="14" xfId="0" applyNumberFormat="1" applyFont="1" applyBorder="1" applyAlignment="1" applyProtection="1">
      <alignment horizontal="center" shrinkToFit="1"/>
      <protection locked="0" hidden="1"/>
    </xf>
    <xf numFmtId="9" fontId="2" fillId="0" borderId="14" xfId="0" applyNumberFormat="1" applyFont="1" applyBorder="1" applyAlignment="1" applyProtection="1">
      <alignment horizontal="center" shrinkToFit="1"/>
      <protection locked="0" hidden="1"/>
    </xf>
    <xf numFmtId="170" fontId="5" fillId="0" borderId="0" xfId="0" applyNumberFormat="1" applyFont="1" applyAlignment="1" applyProtection="1">
      <alignment shrinkToFit="1"/>
      <protection locked="0" hidden="1"/>
    </xf>
    <xf numFmtId="170" fontId="6" fillId="0" borderId="10" xfId="0" applyNumberFormat="1" applyFont="1" applyBorder="1" applyAlignment="1" applyProtection="1">
      <alignment horizontal="right" shrinkToFit="1"/>
      <protection hidden="1"/>
    </xf>
    <xf numFmtId="170" fontId="1" fillId="0" borderId="0" xfId="0" applyNumberFormat="1" applyFont="1" applyAlignment="1" applyProtection="1">
      <alignment shrinkToFit="1"/>
      <protection hidden="1"/>
    </xf>
    <xf numFmtId="170" fontId="6" fillId="0" borderId="1" xfId="0" applyNumberFormat="1" applyFont="1" applyBorder="1" applyAlignment="1" applyProtection="1">
      <alignment shrinkToFit="1"/>
      <protection hidden="1"/>
    </xf>
    <xf numFmtId="170" fontId="6" fillId="0" borderId="2" xfId="0" applyNumberFormat="1" applyFont="1" applyBorder="1" applyAlignment="1" applyProtection="1">
      <alignment shrinkToFit="1"/>
      <protection hidden="1"/>
    </xf>
    <xf numFmtId="170" fontId="6" fillId="0" borderId="3" xfId="0" applyNumberFormat="1" applyFont="1" applyBorder="1" applyAlignment="1" applyProtection="1">
      <alignment shrinkToFit="1"/>
      <protection hidden="1"/>
    </xf>
    <xf numFmtId="170" fontId="6" fillId="0" borderId="4" xfId="0" applyNumberFormat="1" applyFont="1" applyBorder="1" applyAlignment="1" applyProtection="1">
      <alignment shrinkToFit="1"/>
      <protection hidden="1"/>
    </xf>
    <xf numFmtId="170" fontId="6" fillId="0" borderId="1" xfId="0" applyNumberFormat="1" applyFont="1" applyBorder="1" applyAlignment="1" applyProtection="1">
      <alignment shrinkToFit="1"/>
      <protection locked="0" hidden="1"/>
    </xf>
    <xf numFmtId="170" fontId="6" fillId="0" borderId="6" xfId="0" applyNumberFormat="1" applyFont="1" applyBorder="1" applyAlignment="1" applyProtection="1">
      <alignment shrinkToFit="1"/>
      <protection locked="0" hidden="1"/>
    </xf>
    <xf numFmtId="170" fontId="2" fillId="0" borderId="6" xfId="0" applyNumberFormat="1" applyFont="1" applyBorder="1" applyAlignment="1" applyProtection="1">
      <alignment shrinkToFit="1"/>
      <protection locked="0" hidden="1"/>
    </xf>
    <xf numFmtId="170" fontId="6" fillId="0" borderId="3" xfId="0" applyNumberFormat="1" applyFont="1" applyBorder="1" applyAlignment="1" applyProtection="1">
      <alignment shrinkToFit="1"/>
      <protection locked="0" hidden="1"/>
    </xf>
    <xf numFmtId="170" fontId="2" fillId="0" borderId="6" xfId="0" applyNumberFormat="1" applyFont="1" applyBorder="1" applyAlignment="1" applyProtection="1">
      <alignment shrinkToFit="1"/>
      <protection hidden="1"/>
    </xf>
    <xf numFmtId="170" fontId="2" fillId="0" borderId="3" xfId="0" applyNumberFormat="1" applyFont="1" applyBorder="1" applyAlignment="1" applyProtection="1">
      <alignment shrinkToFit="1"/>
      <protection hidden="1"/>
    </xf>
    <xf numFmtId="170" fontId="6" fillId="0" borderId="8" xfId="0" applyNumberFormat="1" applyFont="1" applyBorder="1" applyAlignment="1" applyProtection="1">
      <alignment shrinkToFit="1"/>
      <protection hidden="1"/>
    </xf>
    <xf numFmtId="170" fontId="6" fillId="0" borderId="8" xfId="0" applyNumberFormat="1" applyFont="1" applyBorder="1" applyAlignment="1" applyProtection="1">
      <alignment horizontal="center" shrinkToFit="1"/>
      <protection hidden="1"/>
    </xf>
    <xf numFmtId="170" fontId="2" fillId="0" borderId="9" xfId="0" applyNumberFormat="1" applyFont="1" applyBorder="1" applyAlignment="1" applyProtection="1">
      <alignment shrinkToFit="1"/>
      <protection locked="0" hidden="1"/>
    </xf>
    <xf numFmtId="170" fontId="2" fillId="0" borderId="9" xfId="0" applyNumberFormat="1" applyFont="1" applyBorder="1" applyAlignment="1" applyProtection="1">
      <alignment horizontal="center" shrinkToFit="1"/>
      <protection locked="0" hidden="1"/>
    </xf>
    <xf numFmtId="170" fontId="2" fillId="0" borderId="9" xfId="0" quotePrefix="1" applyNumberFormat="1" applyFont="1" applyBorder="1" applyAlignment="1" applyProtection="1">
      <alignment shrinkToFit="1"/>
      <protection locked="0" hidden="1"/>
    </xf>
    <xf numFmtId="170" fontId="2" fillId="0" borderId="4" xfId="0" applyNumberFormat="1" applyFont="1" applyBorder="1" applyAlignment="1" applyProtection="1">
      <alignment shrinkToFit="1"/>
      <protection locked="0" hidden="1"/>
    </xf>
    <xf numFmtId="170" fontId="2" fillId="0" borderId="4" xfId="0" applyNumberFormat="1" applyFont="1" applyBorder="1" applyAlignment="1" applyProtection="1">
      <alignment horizontal="center" shrinkToFit="1"/>
      <protection locked="0" hidden="1"/>
    </xf>
    <xf numFmtId="170" fontId="6" fillId="0" borderId="9" xfId="0" applyNumberFormat="1" applyFont="1" applyBorder="1" applyAlignment="1" applyProtection="1">
      <alignment horizontal="center" shrinkToFit="1"/>
      <protection locked="0" hidden="1"/>
    </xf>
    <xf numFmtId="170" fontId="6" fillId="0" borderId="9" xfId="0" applyNumberFormat="1" applyFont="1" applyBorder="1" applyAlignment="1" applyProtection="1">
      <alignment shrinkToFit="1"/>
      <protection locked="0" hidden="1"/>
    </xf>
    <xf numFmtId="170" fontId="6" fillId="0" borderId="2" xfId="0" applyNumberFormat="1" applyFont="1" applyBorder="1" applyAlignment="1" applyProtection="1">
      <alignment horizontal="center" shrinkToFit="1"/>
      <protection locked="0" hidden="1"/>
    </xf>
    <xf numFmtId="170" fontId="6" fillId="0" borderId="4" xfId="0" applyNumberFormat="1" applyFont="1" applyBorder="1" applyAlignment="1" applyProtection="1">
      <alignment horizontal="center" shrinkToFit="1"/>
      <protection locked="0" hidden="1"/>
    </xf>
    <xf numFmtId="170" fontId="2" fillId="0" borderId="6" xfId="0" applyNumberFormat="1" applyFont="1" applyBorder="1" applyAlignment="1" applyProtection="1">
      <alignment horizontal="right" shrinkToFit="1"/>
      <protection hidden="1"/>
    </xf>
    <xf numFmtId="170" fontId="2" fillId="0" borderId="9" xfId="0" applyNumberFormat="1" applyFont="1" applyBorder="1" applyAlignment="1" applyProtection="1">
      <alignment shrinkToFit="1"/>
      <protection hidden="1"/>
    </xf>
    <xf numFmtId="170" fontId="2" fillId="0" borderId="4" xfId="0" applyNumberFormat="1" applyFont="1" applyBorder="1" applyAlignment="1" applyProtection="1">
      <alignment shrinkToFit="1"/>
      <protection hidden="1"/>
    </xf>
    <xf numFmtId="170" fontId="3" fillId="0" borderId="8" xfId="0" applyNumberFormat="1" applyFont="1" applyBorder="1" applyAlignment="1" applyProtection="1">
      <alignment horizontal="center"/>
      <protection locked="0" hidden="1"/>
    </xf>
    <xf numFmtId="170" fontId="6" fillId="0" borderId="8" xfId="0" applyNumberFormat="1" applyFont="1" applyBorder="1" applyAlignment="1" applyProtection="1">
      <alignment horizontal="center" shrinkToFit="1"/>
      <protection locked="0" hidden="1"/>
    </xf>
    <xf numFmtId="170" fontId="6" fillId="0" borderId="4" xfId="0" applyNumberFormat="1" applyFont="1" applyBorder="1" applyAlignment="1" applyProtection="1">
      <alignment shrinkToFit="1"/>
      <protection locked="0" hidden="1"/>
    </xf>
    <xf numFmtId="1" fontId="2" fillId="0" borderId="4" xfId="0" applyNumberFormat="1" applyFont="1" applyBorder="1" applyAlignment="1" applyProtection="1">
      <alignment horizontal="center" shrinkToFit="1"/>
      <protection locked="0" hidden="1"/>
    </xf>
    <xf numFmtId="168" fontId="2" fillId="0" borderId="12" xfId="0" applyNumberFormat="1" applyFont="1" applyBorder="1" applyAlignment="1" applyProtection="1">
      <alignment shrinkToFit="1"/>
      <protection locked="0" hidden="1"/>
    </xf>
    <xf numFmtId="167" fontId="9" fillId="0" borderId="8" xfId="1" applyNumberFormat="1" applyFont="1" applyBorder="1" applyAlignment="1">
      <alignment horizontal="center"/>
    </xf>
    <xf numFmtId="170" fontId="3" fillId="0" borderId="8" xfId="0" applyNumberFormat="1" applyFont="1" applyBorder="1" applyAlignment="1">
      <alignment horizontal="center"/>
    </xf>
    <xf numFmtId="171" fontId="2" fillId="0" borderId="13" xfId="0" applyNumberFormat="1" applyFont="1" applyBorder="1" applyAlignment="1" applyProtection="1">
      <alignment horizontal="center" shrinkToFit="1"/>
      <protection locked="0" hidden="1"/>
    </xf>
    <xf numFmtId="171" fontId="2" fillId="0" borderId="17" xfId="0" applyNumberFormat="1" applyFont="1" applyBorder="1" applyAlignment="1" applyProtection="1">
      <alignment horizontal="center" shrinkToFit="1"/>
      <protection locked="0" hidden="1"/>
    </xf>
    <xf numFmtId="173" fontId="6" fillId="0" borderId="9" xfId="0" applyNumberFormat="1" applyFont="1" applyBorder="1" applyAlignment="1" applyProtection="1">
      <alignment horizontal="center" shrinkToFit="1"/>
      <protection locked="0" hidden="1"/>
    </xf>
    <xf numFmtId="7" fontId="6" fillId="0" borderId="9" xfId="0" applyNumberFormat="1" applyFont="1" applyBorder="1" applyAlignment="1" applyProtection="1">
      <alignment horizontal="center" shrinkToFit="1"/>
      <protection locked="0" hidden="1"/>
    </xf>
    <xf numFmtId="168" fontId="2" fillId="0" borderId="13" xfId="0" applyNumberFormat="1" applyFont="1" applyBorder="1" applyAlignment="1" applyProtection="1">
      <alignment shrinkToFit="1"/>
      <protection locked="0" hidden="1"/>
    </xf>
    <xf numFmtId="9" fontId="2" fillId="0" borderId="2" xfId="0" applyNumberFormat="1" applyFont="1" applyBorder="1" applyAlignment="1" applyProtection="1">
      <alignment horizontal="center" shrinkToFit="1"/>
      <protection locked="0" hidden="1"/>
    </xf>
    <xf numFmtId="0" fontId="2" fillId="0" borderId="32" xfId="0" applyFont="1" applyBorder="1" applyAlignment="1">
      <alignment horizontal="center" shrinkToFit="1"/>
    </xf>
    <xf numFmtId="0" fontId="1" fillId="0" borderId="14" xfId="0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 shrinkToFit="1"/>
      <protection locked="0" hidden="1"/>
    </xf>
    <xf numFmtId="7" fontId="2" fillId="0" borderId="7" xfId="0" applyNumberFormat="1" applyFont="1" applyBorder="1" applyAlignment="1" applyProtection="1">
      <alignment shrinkToFit="1"/>
      <protection locked="0" hidden="1"/>
    </xf>
    <xf numFmtId="173" fontId="2" fillId="0" borderId="9" xfId="0" applyNumberFormat="1" applyFont="1" applyBorder="1" applyAlignment="1" applyProtection="1">
      <alignment shrinkToFit="1"/>
      <protection locked="0" hidden="1"/>
    </xf>
    <xf numFmtId="0" fontId="1" fillId="0" borderId="27" xfId="0" applyFont="1" applyBorder="1" applyAlignment="1">
      <alignment horizontal="center" shrinkToFit="1"/>
    </xf>
    <xf numFmtId="0" fontId="2" fillId="0" borderId="34" xfId="0" applyFont="1" applyBorder="1" applyAlignment="1">
      <alignment horizontal="center" shrinkToFit="1"/>
    </xf>
    <xf numFmtId="174" fontId="2" fillId="0" borderId="27" xfId="0" applyNumberFormat="1" applyFont="1" applyBorder="1" applyAlignment="1" applyProtection="1">
      <alignment horizontal="center" shrinkToFit="1"/>
      <protection locked="0" hidden="1"/>
    </xf>
    <xf numFmtId="174" fontId="2" fillId="0" borderId="27" xfId="0" applyNumberFormat="1" applyFont="1" applyBorder="1" applyAlignment="1" applyProtection="1">
      <alignment shrinkToFit="1"/>
      <protection locked="0" hidden="1"/>
    </xf>
    <xf numFmtId="174" fontId="2" fillId="0" borderId="13" xfId="0" applyNumberFormat="1" applyFont="1" applyBorder="1" applyAlignment="1" applyProtection="1">
      <alignment horizontal="center" shrinkToFit="1"/>
      <protection locked="0" hidden="1"/>
    </xf>
    <xf numFmtId="174" fontId="2" fillId="0" borderId="14" xfId="0" applyNumberFormat="1" applyFont="1" applyBorder="1" applyAlignment="1" applyProtection="1">
      <alignment shrinkToFit="1"/>
      <protection locked="0" hidden="1"/>
    </xf>
    <xf numFmtId="174" fontId="2" fillId="0" borderId="14" xfId="0" applyNumberFormat="1" applyFont="1" applyBorder="1" applyAlignment="1" applyProtection="1">
      <alignment horizontal="center" shrinkToFit="1"/>
      <protection locked="0" hidden="1"/>
    </xf>
    <xf numFmtId="174" fontId="2" fillId="0" borderId="12" xfId="0" applyNumberFormat="1" applyFont="1" applyBorder="1" applyAlignment="1" applyProtection="1">
      <alignment shrinkToFit="1"/>
      <protection locked="0" hidden="1"/>
    </xf>
    <xf numFmtId="174" fontId="2" fillId="0" borderId="17" xfId="0" applyNumberFormat="1" applyFont="1" applyBorder="1" applyAlignment="1" applyProtection="1">
      <alignment shrinkToFit="1"/>
      <protection hidden="1"/>
    </xf>
    <xf numFmtId="174" fontId="2" fillId="0" borderId="17" xfId="0" applyNumberFormat="1" applyFont="1" applyBorder="1" applyAlignment="1" applyProtection="1">
      <alignment shrinkToFit="1"/>
      <protection locked="0" hidden="1"/>
    </xf>
    <xf numFmtId="174" fontId="2" fillId="0" borderId="9" xfId="0" applyNumberFormat="1" applyFont="1" applyBorder="1" applyAlignment="1" applyProtection="1">
      <alignment shrinkToFit="1"/>
      <protection locked="0" hidden="1"/>
    </xf>
    <xf numFmtId="170" fontId="2" fillId="0" borderId="9" xfId="0" quotePrefix="1" applyNumberFormat="1" applyFont="1" applyBorder="1" applyAlignment="1" applyProtection="1">
      <alignment horizontal="center" shrinkToFit="1"/>
      <protection locked="0" hidden="1"/>
    </xf>
    <xf numFmtId="0" fontId="9" fillId="0" borderId="4" xfId="1" applyFont="1" applyBorder="1" applyAlignment="1">
      <alignment horizontal="center"/>
    </xf>
    <xf numFmtId="171" fontId="2" fillId="0" borderId="12" xfId="0" applyNumberFormat="1" applyFont="1" applyBorder="1" applyAlignment="1" applyProtection="1">
      <alignment horizontal="center" shrinkToFit="1"/>
      <protection locked="0" hidden="1"/>
    </xf>
    <xf numFmtId="164" fontId="2" fillId="0" borderId="6" xfId="0" applyNumberFormat="1" applyFont="1" applyBorder="1" applyAlignment="1" applyProtection="1">
      <alignment shrinkToFit="1"/>
      <protection hidden="1"/>
    </xf>
    <xf numFmtId="169" fontId="2" fillId="0" borderId="9" xfId="0" applyNumberFormat="1" applyFont="1" applyBorder="1" applyAlignment="1" applyProtection="1">
      <alignment shrinkToFit="1"/>
      <protection hidden="1"/>
    </xf>
    <xf numFmtId="169" fontId="2" fillId="0" borderId="27" xfId="0" applyNumberFormat="1" applyFont="1" applyBorder="1" applyAlignment="1" applyProtection="1">
      <alignment shrinkToFit="1"/>
      <protection hidden="1"/>
    </xf>
    <xf numFmtId="169" fontId="2" fillId="0" borderId="27" xfId="0" applyNumberFormat="1" applyFont="1" applyBorder="1" applyAlignment="1" applyProtection="1">
      <alignment shrinkToFit="1"/>
      <protection locked="0" hidden="1"/>
    </xf>
    <xf numFmtId="0" fontId="2" fillId="0" borderId="8" xfId="0" applyFont="1" applyBorder="1" applyAlignment="1" applyProtection="1">
      <alignment horizontal="center" shrinkToFit="1"/>
      <protection locked="0" hidden="1"/>
    </xf>
    <xf numFmtId="0" fontId="2" fillId="0" borderId="3" xfId="0" applyFont="1" applyBorder="1" applyAlignment="1" applyProtection="1">
      <alignment horizontal="center"/>
      <protection locked="0" hidden="1"/>
    </xf>
    <xf numFmtId="0" fontId="2" fillId="0" borderId="11" xfId="0" applyFont="1" applyBorder="1" applyAlignment="1" applyProtection="1">
      <alignment horizontal="center"/>
      <protection locked="0" hidden="1"/>
    </xf>
    <xf numFmtId="0" fontId="2" fillId="0" borderId="6" xfId="0" applyFont="1" applyBorder="1" applyAlignment="1" applyProtection="1">
      <alignment shrinkToFit="1"/>
      <protection locked="0" hidden="1"/>
    </xf>
    <xf numFmtId="170" fontId="6" fillId="0" borderId="6" xfId="0" applyNumberFormat="1" applyFont="1" applyBorder="1" applyAlignment="1" applyProtection="1">
      <alignment shrinkToFit="1"/>
      <protection hidden="1"/>
    </xf>
    <xf numFmtId="174" fontId="1" fillId="0" borderId="0" xfId="0" applyNumberFormat="1" applyFont="1" applyAlignment="1" applyProtection="1">
      <alignment shrinkToFit="1"/>
      <protection hidden="1"/>
    </xf>
    <xf numFmtId="0" fontId="1" fillId="0" borderId="1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/>
    </xf>
    <xf numFmtId="164" fontId="10" fillId="0" borderId="0" xfId="1" applyNumberFormat="1" applyFont="1" applyAlignment="1">
      <alignment horizontal="left"/>
    </xf>
    <xf numFmtId="167" fontId="10" fillId="0" borderId="0" xfId="1" applyNumberFormat="1" applyFont="1" applyAlignment="1">
      <alignment horizontal="left"/>
    </xf>
    <xf numFmtId="170" fontId="3" fillId="0" borderId="3" xfId="0" applyNumberFormat="1" applyFont="1" applyBorder="1" applyAlignment="1">
      <alignment horizontal="center" shrinkToFit="1"/>
    </xf>
    <xf numFmtId="170" fontId="2" fillId="0" borderId="4" xfId="0" applyNumberFormat="1" applyFont="1" applyBorder="1" applyAlignment="1" applyProtection="1">
      <alignment horizontal="right" shrinkToFit="1"/>
      <protection locked="0" hidden="1"/>
    </xf>
    <xf numFmtId="0" fontId="9" fillId="0" borderId="8" xfId="1" applyFont="1" applyBorder="1" applyAlignment="1">
      <alignment vertical="center"/>
    </xf>
    <xf numFmtId="164" fontId="10" fillId="0" borderId="13" xfId="1" applyNumberFormat="1" applyFont="1" applyBorder="1"/>
    <xf numFmtId="167" fontId="10" fillId="0" borderId="13" xfId="1" applyNumberFormat="1" applyFont="1" applyBorder="1"/>
    <xf numFmtId="164" fontId="10" fillId="0" borderId="14" xfId="1" applyNumberFormat="1" applyFont="1" applyBorder="1"/>
    <xf numFmtId="167" fontId="10" fillId="0" borderId="14" xfId="1" applyNumberFormat="1" applyFont="1" applyBorder="1"/>
    <xf numFmtId="164" fontId="10" fillId="0" borderId="27" xfId="1" applyNumberFormat="1" applyFont="1" applyBorder="1"/>
    <xf numFmtId="172" fontId="2" fillId="0" borderId="9" xfId="0" applyNumberFormat="1" applyFont="1" applyBorder="1" applyAlignment="1" applyProtection="1">
      <alignment horizontal="center" shrinkToFit="1"/>
      <protection locked="0" hidden="1"/>
    </xf>
    <xf numFmtId="0" fontId="10" fillId="0" borderId="28" xfId="1" applyFont="1" applyBorder="1" applyAlignment="1">
      <alignment horizontal="left" vertical="center"/>
    </xf>
    <xf numFmtId="165" fontId="2" fillId="0" borderId="7" xfId="0" applyNumberFormat="1" applyFont="1" applyBorder="1" applyAlignment="1" applyProtection="1">
      <alignment horizontal="center" shrinkToFit="1"/>
      <protection locked="0" hidden="1"/>
    </xf>
    <xf numFmtId="174" fontId="2" fillId="0" borderId="9" xfId="0" applyNumberFormat="1" applyFont="1" applyBorder="1" applyAlignment="1" applyProtection="1">
      <alignment horizontal="center" shrinkToFit="1"/>
      <protection locked="0" hidden="1"/>
    </xf>
    <xf numFmtId="169" fontId="2" fillId="0" borderId="2" xfId="0" applyNumberFormat="1" applyFont="1" applyBorder="1" applyAlignment="1" applyProtection="1">
      <alignment horizontal="center" shrinkToFit="1"/>
      <protection locked="0" hidden="1"/>
    </xf>
    <xf numFmtId="169" fontId="2" fillId="0" borderId="2" xfId="0" applyNumberFormat="1" applyFont="1" applyBorder="1" applyAlignment="1" applyProtection="1">
      <alignment shrinkToFit="1"/>
      <protection locked="0" hidden="1"/>
    </xf>
    <xf numFmtId="0" fontId="10" fillId="0" borderId="16" xfId="1" applyFont="1" applyBorder="1" applyAlignment="1">
      <alignment horizontal="left" vertical="center"/>
    </xf>
    <xf numFmtId="0" fontId="10" fillId="0" borderId="15" xfId="1" applyFont="1" applyBorder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Border="1" applyAlignment="1">
      <alignment vertical="center"/>
    </xf>
    <xf numFmtId="0" fontId="10" fillId="0" borderId="0" xfId="1" applyFont="1" applyBorder="1" applyAlignment="1">
      <alignment horizontal="center"/>
    </xf>
    <xf numFmtId="164" fontId="10" fillId="0" borderId="0" xfId="1" applyNumberFormat="1" applyFont="1" applyBorder="1"/>
    <xf numFmtId="167" fontId="10" fillId="0" borderId="0" xfId="1" applyNumberFormat="1" applyFont="1" applyBorder="1"/>
    <xf numFmtId="0" fontId="10" fillId="0" borderId="0" xfId="1" applyFont="1" applyAlignment="1">
      <alignment horizontal="center"/>
    </xf>
    <xf numFmtId="0" fontId="9" fillId="0" borderId="30" xfId="1" applyFont="1" applyBorder="1" applyAlignment="1">
      <alignment vertical="center"/>
    </xf>
    <xf numFmtId="164" fontId="9" fillId="0" borderId="8" xfId="1" applyNumberFormat="1" applyFont="1" applyBorder="1" applyAlignment="1">
      <alignment horizontal="left"/>
    </xf>
    <xf numFmtId="164" fontId="9" fillId="0" borderId="8" xfId="1" applyNumberFormat="1" applyFont="1" applyBorder="1" applyAlignment="1"/>
    <xf numFmtId="164" fontId="9" fillId="0" borderId="8" xfId="1" applyNumberFormat="1" applyFont="1" applyBorder="1" applyAlignment="1">
      <alignment horizontal="center"/>
    </xf>
    <xf numFmtId="0" fontId="1" fillId="0" borderId="14" xfId="0" applyFont="1" applyBorder="1" applyAlignment="1">
      <alignment horizontal="center" shrinkToFit="1"/>
    </xf>
    <xf numFmtId="0" fontId="1" fillId="0" borderId="7" xfId="0" applyFont="1" applyBorder="1" applyAlignment="1">
      <alignment horizontal="center" shrinkToFit="1"/>
    </xf>
    <xf numFmtId="0" fontId="1" fillId="0" borderId="9" xfId="0" applyFont="1" applyBorder="1" applyAlignment="1">
      <alignment horizontal="center"/>
    </xf>
    <xf numFmtId="165" fontId="2" fillId="0" borderId="9" xfId="0" applyNumberFormat="1" applyFont="1" applyBorder="1" applyAlignment="1" applyProtection="1">
      <alignment shrinkToFit="1"/>
      <protection locked="0" hidden="1"/>
    </xf>
    <xf numFmtId="174" fontId="2" fillId="0" borderId="9" xfId="0" applyNumberFormat="1" applyFont="1" applyFill="1" applyBorder="1" applyAlignment="1" applyProtection="1">
      <alignment horizontal="center" shrinkToFit="1"/>
      <protection locked="0" hidden="1"/>
    </xf>
    <xf numFmtId="174" fontId="2" fillId="0" borderId="9" xfId="0" applyNumberFormat="1" applyFont="1" applyFill="1" applyBorder="1" applyAlignment="1" applyProtection="1">
      <alignment shrinkToFit="1"/>
      <protection locked="0" hidden="1"/>
    </xf>
    <xf numFmtId="9" fontId="2" fillId="0" borderId="9" xfId="0" applyNumberFormat="1" applyFont="1" applyFill="1" applyBorder="1" applyAlignment="1" applyProtection="1">
      <alignment horizontal="center" shrinkToFit="1"/>
      <protection locked="0" hidden="1"/>
    </xf>
    <xf numFmtId="0" fontId="2" fillId="0" borderId="6" xfId="0" applyFont="1" applyFill="1" applyBorder="1" applyAlignment="1" applyProtection="1">
      <alignment horizontal="center"/>
      <protection locked="0" hidden="1"/>
    </xf>
    <xf numFmtId="1" fontId="2" fillId="0" borderId="9" xfId="0" applyNumberFormat="1" applyFont="1" applyFill="1" applyBorder="1" applyAlignment="1" applyProtection="1">
      <alignment horizontal="center" shrinkToFit="1"/>
      <protection locked="0" hidden="1"/>
    </xf>
    <xf numFmtId="165" fontId="2" fillId="0" borderId="9" xfId="0" applyNumberFormat="1" applyFont="1" applyFill="1" applyBorder="1" applyAlignment="1" applyProtection="1">
      <alignment horizontal="center" shrinkToFit="1"/>
      <protection locked="0" hidden="1"/>
    </xf>
    <xf numFmtId="165" fontId="2" fillId="0" borderId="9" xfId="0" applyNumberFormat="1" applyFont="1" applyFill="1" applyBorder="1" applyAlignment="1" applyProtection="1">
      <alignment shrinkToFit="1"/>
      <protection locked="0" hidden="1"/>
    </xf>
    <xf numFmtId="0" fontId="2" fillId="0" borderId="6" xfId="0" applyFont="1" applyFill="1" applyBorder="1" applyAlignment="1" applyProtection="1">
      <alignment horizontal="center" shrinkToFit="1"/>
      <protection locked="0" hidden="1"/>
    </xf>
    <xf numFmtId="0" fontId="1" fillId="0" borderId="9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shrinkToFit="1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shrinkToFit="1"/>
    </xf>
    <xf numFmtId="0" fontId="9" fillId="0" borderId="19" xfId="1" applyFont="1" applyBorder="1" applyAlignment="1">
      <alignment vertical="center"/>
    </xf>
    <xf numFmtId="0" fontId="10" fillId="0" borderId="20" xfId="1" applyFont="1" applyBorder="1" applyAlignment="1">
      <alignment horizontal="left" vertical="center"/>
    </xf>
    <xf numFmtId="0" fontId="10" fillId="0" borderId="20" xfId="1" applyFont="1" applyBorder="1" applyAlignment="1">
      <alignment vertical="center"/>
    </xf>
    <xf numFmtId="0" fontId="10" fillId="0" borderId="20" xfId="1" applyFont="1" applyBorder="1" applyAlignment="1">
      <alignment horizontal="center"/>
    </xf>
    <xf numFmtId="164" fontId="10" fillId="0" borderId="20" xfId="1" applyNumberFormat="1" applyFont="1" applyBorder="1"/>
    <xf numFmtId="167" fontId="10" fillId="0" borderId="20" xfId="1" applyNumberFormat="1" applyFont="1" applyBorder="1"/>
    <xf numFmtId="174" fontId="2" fillId="0" borderId="13" xfId="0" applyNumberFormat="1" applyFont="1" applyBorder="1" applyAlignment="1" applyProtection="1">
      <alignment shrinkToFit="1"/>
      <protection locked="0" hidden="1"/>
    </xf>
    <xf numFmtId="174" fontId="2" fillId="0" borderId="13" xfId="0" applyNumberFormat="1" applyFont="1" applyBorder="1" applyAlignment="1" applyProtection="1">
      <alignment shrinkToFit="1"/>
      <protection locked="0" hidden="1"/>
    </xf>
    <xf numFmtId="167" fontId="9" fillId="0" borderId="4" xfId="1" applyNumberFormat="1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174" fontId="2" fillId="0" borderId="13" xfId="0" applyNumberFormat="1" applyFont="1" applyBorder="1" applyAlignment="1" applyProtection="1">
      <alignment shrinkToFit="1"/>
      <protection locked="0" hidden="1"/>
    </xf>
    <xf numFmtId="0" fontId="9" fillId="0" borderId="4" xfId="1" applyFont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 hidden="1"/>
    </xf>
    <xf numFmtId="1" fontId="2" fillId="0" borderId="4" xfId="0" applyNumberFormat="1" applyFont="1" applyFill="1" applyBorder="1" applyAlignment="1" applyProtection="1">
      <alignment horizontal="center" shrinkToFit="1"/>
      <protection locked="0" hidden="1"/>
    </xf>
    <xf numFmtId="165" fontId="2" fillId="0" borderId="4" xfId="0" applyNumberFormat="1" applyFont="1" applyFill="1" applyBorder="1" applyAlignment="1" applyProtection="1">
      <alignment horizontal="center" shrinkToFit="1"/>
      <protection locked="0" hidden="1"/>
    </xf>
    <xf numFmtId="165" fontId="2" fillId="0" borderId="4" xfId="0" applyNumberFormat="1" applyFont="1" applyFill="1" applyBorder="1" applyAlignment="1" applyProtection="1">
      <alignment shrinkToFit="1"/>
      <protection locked="0" hidden="1"/>
    </xf>
    <xf numFmtId="165" fontId="2" fillId="0" borderId="13" xfId="0" applyNumberFormat="1" applyFont="1" applyFill="1" applyBorder="1" applyAlignment="1" applyProtection="1">
      <alignment horizontal="center" shrinkToFit="1"/>
      <protection locked="0" hidden="1"/>
    </xf>
    <xf numFmtId="174" fontId="2" fillId="0" borderId="27" xfId="0" applyNumberFormat="1" applyFont="1" applyFill="1" applyBorder="1" applyAlignment="1" applyProtection="1">
      <alignment horizontal="center" shrinkToFit="1"/>
      <protection locked="0" hidden="1"/>
    </xf>
    <xf numFmtId="174" fontId="2" fillId="0" borderId="27" xfId="0" applyNumberFormat="1" applyFont="1" applyFill="1" applyBorder="1" applyAlignment="1" applyProtection="1">
      <alignment shrinkToFit="1"/>
      <protection locked="0" hidden="1"/>
    </xf>
    <xf numFmtId="165" fontId="2" fillId="0" borderId="13" xfId="0" applyNumberFormat="1" applyFont="1" applyFill="1" applyBorder="1" applyAlignment="1" applyProtection="1">
      <alignment shrinkToFit="1"/>
      <protection locked="0" hidden="1"/>
    </xf>
    <xf numFmtId="174" fontId="2" fillId="0" borderId="13" xfId="0" applyNumberFormat="1" applyFont="1" applyFill="1" applyBorder="1" applyAlignment="1" applyProtection="1">
      <alignment horizontal="center" shrinkToFit="1"/>
      <protection locked="0" hidden="1"/>
    </xf>
    <xf numFmtId="174" fontId="2" fillId="0" borderId="13" xfId="0" applyNumberFormat="1" applyFont="1" applyFill="1" applyBorder="1" applyAlignment="1" applyProtection="1">
      <alignment shrinkToFit="1"/>
      <protection locked="0" hidden="1"/>
    </xf>
    <xf numFmtId="9" fontId="2" fillId="0" borderId="13" xfId="0" applyNumberFormat="1" applyFont="1" applyFill="1" applyBorder="1" applyAlignment="1" applyProtection="1">
      <alignment horizontal="center" shrinkToFit="1"/>
      <protection locked="0" hidden="1"/>
    </xf>
    <xf numFmtId="0" fontId="1" fillId="0" borderId="0" xfId="0" applyNumberFormat="1" applyFont="1" applyAlignment="1" applyProtection="1">
      <alignment shrinkToFit="1"/>
      <protection hidden="1"/>
    </xf>
    <xf numFmtId="2" fontId="1" fillId="0" borderId="0" xfId="0" applyNumberFormat="1" applyFont="1" applyAlignment="1" applyProtection="1">
      <alignment shrinkToFit="1"/>
      <protection hidden="1"/>
    </xf>
    <xf numFmtId="0" fontId="2" fillId="0" borderId="3" xfId="0" applyFont="1" applyBorder="1" applyAlignment="1" applyProtection="1">
      <alignment horizontal="center" shrinkToFit="1"/>
      <protection locked="0" hidden="1"/>
    </xf>
    <xf numFmtId="174" fontId="2" fillId="0" borderId="13" xfId="0" applyNumberFormat="1" applyFont="1" applyFill="1" applyBorder="1" applyAlignment="1" applyProtection="1">
      <alignment shrinkToFit="1"/>
      <protection locked="0" hidden="1"/>
    </xf>
    <xf numFmtId="0" fontId="9" fillId="0" borderId="4" xfId="1" applyFont="1" applyBorder="1" applyAlignment="1">
      <alignment horizontal="center"/>
    </xf>
    <xf numFmtId="0" fontId="9" fillId="0" borderId="3" xfId="1" applyFont="1" applyBorder="1" applyAlignment="1">
      <alignment vertical="center"/>
    </xf>
    <xf numFmtId="0" fontId="9" fillId="0" borderId="4" xfId="1" applyFont="1" applyBorder="1" applyAlignment="1">
      <alignment horizontal="center"/>
    </xf>
    <xf numFmtId="169" fontId="2" fillId="0" borderId="2" xfId="0" applyNumberFormat="1" applyFont="1" applyFill="1" applyBorder="1" applyAlignment="1" applyProtection="1">
      <alignment shrinkToFit="1"/>
      <protection locked="0" hidden="1"/>
    </xf>
    <xf numFmtId="169" fontId="2" fillId="0" borderId="4" xfId="0" applyNumberFormat="1" applyFont="1" applyFill="1" applyBorder="1" applyAlignment="1" applyProtection="1">
      <alignment shrinkToFit="1"/>
      <protection locked="0" hidden="1"/>
    </xf>
    <xf numFmtId="0" fontId="1" fillId="0" borderId="28" xfId="0" applyFont="1" applyBorder="1" applyAlignment="1">
      <alignment horizontal="center"/>
    </xf>
    <xf numFmtId="165" fontId="2" fillId="0" borderId="14" xfId="0" applyNumberFormat="1" applyFont="1" applyFill="1" applyBorder="1" applyAlignment="1" applyProtection="1">
      <alignment horizontal="center" shrinkToFit="1"/>
      <protection locked="0" hidden="1"/>
    </xf>
    <xf numFmtId="165" fontId="2" fillId="0" borderId="14" xfId="0" applyNumberFormat="1" applyFont="1" applyFill="1" applyBorder="1" applyAlignment="1" applyProtection="1">
      <alignment shrinkToFit="1"/>
      <protection locked="0" hidden="1"/>
    </xf>
    <xf numFmtId="0" fontId="10" fillId="0" borderId="0" xfId="1" applyFont="1" applyBorder="1"/>
    <xf numFmtId="0" fontId="2" fillId="0" borderId="23" xfId="0" applyFont="1" applyBorder="1" applyAlignment="1">
      <alignment horizontal="center" shrinkToFit="1"/>
    </xf>
    <xf numFmtId="0" fontId="1" fillId="0" borderId="4" xfId="0" applyFont="1" applyBorder="1" applyAlignment="1">
      <alignment horizontal="center" shrinkToFit="1"/>
    </xf>
    <xf numFmtId="0" fontId="1" fillId="0" borderId="4" xfId="0" applyFont="1" applyBorder="1" applyAlignment="1">
      <alignment horizontal="center"/>
    </xf>
    <xf numFmtId="0" fontId="2" fillId="0" borderId="11" xfId="0" applyFont="1" applyBorder="1" applyAlignment="1">
      <alignment horizontal="center" shrinkToFit="1"/>
    </xf>
    <xf numFmtId="174" fontId="2" fillId="0" borderId="4" xfId="0" applyNumberFormat="1" applyFont="1" applyBorder="1" applyAlignment="1" applyProtection="1">
      <alignment horizontal="center" shrinkToFit="1"/>
      <protection locked="0" hidden="1"/>
    </xf>
    <xf numFmtId="174" fontId="2" fillId="0" borderId="4" xfId="0" applyNumberFormat="1" applyFont="1" applyBorder="1" applyAlignment="1" applyProtection="1">
      <alignment shrinkToFit="1"/>
      <protection locked="0" hidden="1"/>
    </xf>
    <xf numFmtId="0" fontId="10" fillId="0" borderId="9" xfId="1" applyFont="1" applyBorder="1" applyAlignment="1">
      <alignment horizontal="center"/>
    </xf>
    <xf numFmtId="0" fontId="9" fillId="0" borderId="0" xfId="1" applyFont="1" applyBorder="1" applyAlignment="1">
      <alignment vertical="center"/>
    </xf>
    <xf numFmtId="164" fontId="10" fillId="0" borderId="9" xfId="1" applyNumberFormat="1" applyFont="1" applyBorder="1" applyAlignment="1"/>
    <xf numFmtId="167" fontId="10" fillId="0" borderId="9" xfId="1" applyNumberFormat="1" applyFont="1" applyBorder="1" applyAlignment="1"/>
    <xf numFmtId="175" fontId="9" fillId="0" borderId="8" xfId="1" applyNumberFormat="1" applyFont="1" applyBorder="1" applyAlignment="1"/>
    <xf numFmtId="172" fontId="2" fillId="0" borderId="9" xfId="0" applyNumberFormat="1" applyFont="1" applyFill="1" applyBorder="1" applyAlignment="1" applyProtection="1">
      <alignment horizontal="center" shrinkToFit="1"/>
      <protection locked="0" hidden="1"/>
    </xf>
    <xf numFmtId="0" fontId="9" fillId="0" borderId="10" xfId="1" applyFont="1" applyBorder="1" applyAlignment="1">
      <alignment vertical="center"/>
    </xf>
    <xf numFmtId="0" fontId="10" fillId="0" borderId="10" xfId="1" applyFont="1" applyBorder="1" applyAlignment="1">
      <alignment horizontal="left" vertical="center"/>
    </xf>
    <xf numFmtId="0" fontId="10" fillId="0" borderId="6" xfId="1" applyFont="1" applyBorder="1" applyAlignment="1">
      <alignment vertical="center"/>
    </xf>
    <xf numFmtId="174" fontId="2" fillId="0" borderId="26" xfId="0" applyNumberFormat="1" applyFont="1" applyBorder="1" applyAlignment="1" applyProtection="1">
      <alignment horizontal="center" shrinkToFit="1"/>
      <protection locked="0" hidden="1"/>
    </xf>
    <xf numFmtId="174" fontId="2" fillId="0" borderId="26" xfId="0" applyNumberFormat="1" applyFont="1" applyBorder="1" applyAlignment="1" applyProtection="1">
      <alignment shrinkToFit="1"/>
      <protection locked="0" hidden="1"/>
    </xf>
    <xf numFmtId="9" fontId="2" fillId="0" borderId="26" xfId="0" applyNumberFormat="1" applyFont="1" applyBorder="1" applyAlignment="1" applyProtection="1">
      <alignment horizontal="center" shrinkToFit="1"/>
      <protection locked="0" hidden="1"/>
    </xf>
    <xf numFmtId="174" fontId="2" fillId="0" borderId="19" xfId="0" applyNumberFormat="1" applyFont="1" applyFill="1" applyBorder="1" applyAlignment="1" applyProtection="1">
      <alignment horizontal="center" shrinkToFit="1"/>
      <protection locked="0" hidden="1"/>
    </xf>
    <xf numFmtId="174" fontId="2" fillId="0" borderId="20" xfId="0" applyNumberFormat="1" applyFont="1" applyFill="1" applyBorder="1" applyAlignment="1" applyProtection="1">
      <alignment shrinkToFit="1"/>
      <protection locked="0" hidden="1"/>
    </xf>
    <xf numFmtId="9" fontId="2" fillId="0" borderId="20" xfId="0" applyNumberFormat="1" applyFont="1" applyFill="1" applyBorder="1" applyAlignment="1" applyProtection="1">
      <alignment horizontal="center" shrinkToFit="1"/>
      <protection locked="0" hidden="1"/>
    </xf>
    <xf numFmtId="174" fontId="2" fillId="0" borderId="30" xfId="0" applyNumberFormat="1" applyFont="1" applyFill="1" applyBorder="1" applyAlignment="1" applyProtection="1">
      <alignment shrinkToFit="1"/>
      <protection locked="0" hidden="1"/>
    </xf>
    <xf numFmtId="0" fontId="2" fillId="0" borderId="3" xfId="0" applyFont="1" applyBorder="1" applyAlignment="1" applyProtection="1">
      <alignment horizontal="center" shrinkToFit="1"/>
      <protection locked="0" hidden="1"/>
    </xf>
    <xf numFmtId="174" fontId="2" fillId="0" borderId="13" xfId="0" applyNumberFormat="1" applyFont="1" applyBorder="1" applyAlignment="1" applyProtection="1">
      <alignment shrinkToFit="1"/>
      <protection locked="0" hidden="1"/>
    </xf>
    <xf numFmtId="0" fontId="1" fillId="0" borderId="3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 shrinkToFit="1"/>
    </xf>
    <xf numFmtId="0" fontId="1" fillId="0" borderId="6" xfId="0" applyFont="1" applyBorder="1" applyAlignment="1">
      <alignment horizontal="center"/>
    </xf>
    <xf numFmtId="169" fontId="2" fillId="0" borderId="4" xfId="0" applyNumberFormat="1" applyFont="1" applyBorder="1" applyAlignment="1" applyProtection="1">
      <alignment shrinkToFit="1"/>
      <protection hidden="1"/>
    </xf>
    <xf numFmtId="0" fontId="2" fillId="0" borderId="33" xfId="0" applyFont="1" applyBorder="1" applyAlignment="1">
      <alignment horizontal="center" shrinkToFit="1"/>
    </xf>
    <xf numFmtId="165" fontId="2" fillId="0" borderId="14" xfId="0" applyNumberFormat="1" applyFont="1" applyBorder="1" applyAlignment="1" applyProtection="1">
      <alignment shrinkToFit="1"/>
      <protection locked="0" hidden="1"/>
    </xf>
    <xf numFmtId="174" fontId="2" fillId="0" borderId="14" xfId="0" applyNumberFormat="1" applyFont="1" applyFill="1" applyBorder="1" applyAlignment="1" applyProtection="1">
      <alignment shrinkToFit="1"/>
      <protection locked="0" hidden="1"/>
    </xf>
    <xf numFmtId="0" fontId="2" fillId="0" borderId="1" xfId="0" applyFont="1" applyFill="1" applyBorder="1" applyAlignment="1" applyProtection="1">
      <alignment shrinkToFit="1"/>
      <protection locked="0" hidden="1"/>
    </xf>
    <xf numFmtId="0" fontId="2" fillId="0" borderId="18" xfId="0" applyFont="1" applyFill="1" applyBorder="1" applyAlignment="1" applyProtection="1">
      <alignment shrinkToFit="1"/>
      <protection locked="0" hidden="1"/>
    </xf>
    <xf numFmtId="0" fontId="2" fillId="0" borderId="2" xfId="0" applyFont="1" applyFill="1" applyBorder="1" applyAlignment="1" applyProtection="1">
      <alignment shrinkToFit="1"/>
      <protection locked="0" hidden="1"/>
    </xf>
    <xf numFmtId="0" fontId="6" fillId="0" borderId="6" xfId="0" applyFont="1" applyBorder="1" applyAlignment="1" applyProtection="1">
      <alignment shrinkToFit="1"/>
      <protection hidden="1"/>
    </xf>
    <xf numFmtId="0" fontId="6" fillId="0" borderId="0" xfId="0" applyFont="1" applyAlignment="1" applyProtection="1">
      <alignment shrinkToFit="1"/>
      <protection hidden="1"/>
    </xf>
    <xf numFmtId="0" fontId="6" fillId="0" borderId="7" xfId="0" applyFont="1" applyBorder="1" applyAlignment="1" applyProtection="1">
      <alignment shrinkToFit="1"/>
      <protection hidden="1"/>
    </xf>
    <xf numFmtId="0" fontId="1" fillId="0" borderId="19" xfId="0" applyFont="1" applyBorder="1" applyAlignment="1">
      <alignment shrinkToFit="1"/>
    </xf>
    <xf numFmtId="0" fontId="1" fillId="0" borderId="20" xfId="0" applyFont="1" applyBorder="1" applyAlignment="1">
      <alignment shrinkToFit="1"/>
    </xf>
    <xf numFmtId="0" fontId="1" fillId="0" borderId="30" xfId="0" applyFont="1" applyBorder="1" applyAlignment="1">
      <alignment shrinkToFit="1"/>
    </xf>
    <xf numFmtId="0" fontId="2" fillId="0" borderId="0" xfId="0" applyFont="1" applyAlignment="1" applyProtection="1">
      <alignment horizontal="left" shrinkToFit="1"/>
      <protection locked="0" hidden="1"/>
    </xf>
    <xf numFmtId="0" fontId="0" fillId="0" borderId="0" xfId="0" applyAlignment="1">
      <alignment horizontal="left" shrinkToFit="1"/>
    </xf>
    <xf numFmtId="0" fontId="2" fillId="0" borderId="1" xfId="0" applyFont="1" applyBorder="1" applyAlignment="1" applyProtection="1">
      <alignment shrinkToFit="1"/>
      <protection locked="0" hidden="1"/>
    </xf>
    <xf numFmtId="0" fontId="2" fillId="0" borderId="18" xfId="0" applyFont="1" applyBorder="1" applyAlignment="1" applyProtection="1">
      <alignment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2" fillId="0" borderId="18" xfId="0" applyFont="1" applyBorder="1" applyAlignment="1" applyProtection="1">
      <alignment horizontal="center" shrinkToFit="1"/>
      <protection locked="0" hidden="1"/>
    </xf>
    <xf numFmtId="0" fontId="2" fillId="0" borderId="19" xfId="0" applyFont="1" applyBorder="1" applyAlignment="1" applyProtection="1">
      <alignment shrinkToFit="1"/>
      <protection locked="0" hidden="1"/>
    </xf>
    <xf numFmtId="0" fontId="2" fillId="0" borderId="20" xfId="0" applyFont="1" applyBorder="1" applyAlignment="1" applyProtection="1">
      <alignment shrinkToFit="1"/>
      <protection locked="0" hidden="1"/>
    </xf>
    <xf numFmtId="0" fontId="2" fillId="0" borderId="30" xfId="0" applyFont="1" applyBorder="1" applyAlignment="1" applyProtection="1">
      <alignment shrinkToFit="1"/>
      <protection locked="0" hidden="1"/>
    </xf>
    <xf numFmtId="0" fontId="3" fillId="0" borderId="6" xfId="0" applyFont="1" applyBorder="1" applyAlignment="1" applyProtection="1">
      <alignment shrinkToFit="1"/>
      <protection hidden="1"/>
    </xf>
    <xf numFmtId="0" fontId="3" fillId="0" borderId="0" xfId="0" applyFont="1" applyAlignment="1" applyProtection="1">
      <alignment shrinkToFit="1"/>
      <protection hidden="1"/>
    </xf>
    <xf numFmtId="0" fontId="0" fillId="0" borderId="0" xfId="0" applyAlignment="1">
      <alignment shrinkToFit="1"/>
    </xf>
    <xf numFmtId="170" fontId="6" fillId="0" borderId="18" xfId="0" applyNumberFormat="1" applyFont="1" applyFill="1" applyBorder="1" applyAlignment="1" applyProtection="1">
      <alignment horizontal="right" shrinkToFit="1"/>
      <protection hidden="1"/>
    </xf>
    <xf numFmtId="170" fontId="11" fillId="0" borderId="18" xfId="0" applyNumberFormat="1" applyFont="1" applyFill="1" applyBorder="1" applyAlignment="1">
      <alignment horizontal="right" shrinkToFit="1"/>
    </xf>
    <xf numFmtId="170" fontId="11" fillId="0" borderId="5" xfId="0" applyNumberFormat="1" applyFont="1" applyFill="1" applyBorder="1" applyAlignment="1">
      <alignment horizontal="right" shrinkToFit="1"/>
    </xf>
    <xf numFmtId="0" fontId="6" fillId="0" borderId="3" xfId="0" applyFont="1" applyBorder="1" applyAlignment="1" applyProtection="1">
      <alignment horizontal="center" shrinkToFit="1"/>
      <protection locked="0" hidden="1"/>
    </xf>
    <xf numFmtId="0" fontId="6" fillId="0" borderId="10" xfId="0" applyFont="1" applyBorder="1" applyAlignment="1" applyProtection="1">
      <alignment horizontal="center" shrinkToFit="1"/>
      <protection locked="0" hidden="1"/>
    </xf>
    <xf numFmtId="0" fontId="6" fillId="0" borderId="11" xfId="0" applyFont="1" applyBorder="1" applyAlignment="1" applyProtection="1">
      <alignment horizontal="center" shrinkToFit="1"/>
      <protection locked="0" hidden="1"/>
    </xf>
    <xf numFmtId="0" fontId="2" fillId="0" borderId="0" xfId="0" applyFont="1" applyAlignment="1" applyProtection="1">
      <alignment horizontal="right" shrinkToFit="1"/>
      <protection hidden="1"/>
    </xf>
    <xf numFmtId="0" fontId="0" fillId="0" borderId="0" xfId="0" applyAlignment="1">
      <alignment horizontal="right" shrinkToFit="1"/>
    </xf>
    <xf numFmtId="0" fontId="0" fillId="0" borderId="7" xfId="0" applyBorder="1" applyAlignment="1">
      <alignment horizontal="right" shrinkToFit="1"/>
    </xf>
    <xf numFmtId="0" fontId="3" fillId="0" borderId="1" xfId="0" applyFont="1" applyBorder="1" applyAlignment="1" applyProtection="1">
      <alignment shrinkToFit="1"/>
      <protection hidden="1"/>
    </xf>
    <xf numFmtId="0" fontId="3" fillId="0" borderId="18" xfId="0" applyFont="1" applyBorder="1" applyAlignment="1" applyProtection="1">
      <alignment shrinkToFit="1"/>
      <protection hidden="1"/>
    </xf>
    <xf numFmtId="0" fontId="0" fillId="0" borderId="18" xfId="0" applyBorder="1" applyAlignment="1">
      <alignment shrinkToFit="1"/>
    </xf>
    <xf numFmtId="0" fontId="3" fillId="0" borderId="3" xfId="0" applyFont="1" applyBorder="1" applyProtection="1">
      <protection hidden="1"/>
    </xf>
    <xf numFmtId="0" fontId="3" fillId="0" borderId="10" xfId="0" applyFont="1" applyBorder="1" applyProtection="1">
      <protection hidden="1"/>
    </xf>
    <xf numFmtId="170" fontId="6" fillId="0" borderId="10" xfId="0" applyNumberFormat="1" applyFont="1" applyFill="1" applyBorder="1" applyAlignment="1" applyProtection="1">
      <alignment horizontal="right" shrinkToFit="1"/>
      <protection hidden="1"/>
    </xf>
    <xf numFmtId="170" fontId="6" fillId="0" borderId="11" xfId="0" applyNumberFormat="1" applyFont="1" applyFill="1" applyBorder="1" applyAlignment="1" applyProtection="1">
      <alignment horizontal="right" shrinkToFit="1"/>
      <protection hidden="1"/>
    </xf>
    <xf numFmtId="0" fontId="2" fillId="0" borderId="6" xfId="0" applyFont="1" applyBorder="1" applyAlignment="1" applyProtection="1">
      <alignment shrinkToFit="1"/>
      <protection hidden="1"/>
    </xf>
    <xf numFmtId="0" fontId="2" fillId="0" borderId="0" xfId="0" applyFont="1" applyAlignment="1" applyProtection="1">
      <alignment shrinkToFit="1"/>
      <protection hidden="1"/>
    </xf>
    <xf numFmtId="0" fontId="11" fillId="0" borderId="0" xfId="0" applyFont="1" applyAlignment="1">
      <alignment shrinkToFit="1"/>
    </xf>
    <xf numFmtId="0" fontId="2" fillId="0" borderId="5" xfId="0" applyFont="1" applyBorder="1" applyAlignment="1" applyProtection="1">
      <alignment horizontal="center" shrinkToFit="1"/>
      <protection locked="0" hidden="1"/>
    </xf>
    <xf numFmtId="0" fontId="1" fillId="0" borderId="19" xfId="0" applyFont="1" applyFill="1" applyBorder="1" applyAlignment="1">
      <alignment shrinkToFit="1"/>
    </xf>
    <xf numFmtId="0" fontId="1" fillId="0" borderId="20" xfId="0" applyFont="1" applyFill="1" applyBorder="1" applyAlignment="1">
      <alignment shrinkToFit="1"/>
    </xf>
    <xf numFmtId="0" fontId="0" fillId="0" borderId="7" xfId="0" applyBorder="1" applyAlignment="1">
      <alignment shrinkToFit="1"/>
    </xf>
    <xf numFmtId="0" fontId="6" fillId="0" borderId="10" xfId="0" applyFont="1" applyBorder="1" applyAlignment="1" applyProtection="1">
      <alignment shrinkToFit="1"/>
      <protection hidden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2" fillId="0" borderId="0" xfId="0" applyFont="1" applyAlignment="1" applyProtection="1">
      <alignment shrinkToFit="1"/>
      <protection locked="0" hidden="1"/>
    </xf>
    <xf numFmtId="0" fontId="2" fillId="0" borderId="3" xfId="0" applyFont="1" applyBorder="1" applyAlignment="1" applyProtection="1">
      <alignment horizontal="center" shrinkToFit="1"/>
      <protection locked="0" hidden="1"/>
    </xf>
    <xf numFmtId="0" fontId="2" fillId="0" borderId="10" xfId="0" applyFont="1" applyBorder="1" applyAlignment="1" applyProtection="1">
      <alignment horizontal="center" shrinkToFit="1"/>
      <protection locked="0" hidden="1"/>
    </xf>
    <xf numFmtId="0" fontId="6" fillId="0" borderId="1" xfId="0" applyFont="1" applyBorder="1" applyAlignment="1" applyProtection="1">
      <alignment horizontal="center" shrinkToFit="1"/>
      <protection hidden="1"/>
    </xf>
    <xf numFmtId="0" fontId="6" fillId="0" borderId="18" xfId="0" applyFont="1" applyBorder="1" applyAlignment="1" applyProtection="1">
      <alignment horizontal="center" shrinkToFit="1"/>
      <protection hidden="1"/>
    </xf>
    <xf numFmtId="0" fontId="6" fillId="0" borderId="5" xfId="0" applyFont="1" applyBorder="1" applyAlignment="1" applyProtection="1">
      <alignment horizontal="center" shrinkToFit="1"/>
      <protection hidden="1"/>
    </xf>
    <xf numFmtId="0" fontId="2" fillId="0" borderId="11" xfId="0" applyFont="1" applyBorder="1" applyAlignment="1" applyProtection="1">
      <alignment horizontal="center" shrinkToFit="1"/>
      <protection locked="0" hidden="1"/>
    </xf>
    <xf numFmtId="165" fontId="2" fillId="0" borderId="6" xfId="0" applyNumberFormat="1" applyFont="1" applyFill="1" applyBorder="1" applyAlignment="1" applyProtection="1">
      <alignment horizontal="center" shrinkToFit="1"/>
      <protection locked="0" hidden="1"/>
    </xf>
    <xf numFmtId="165" fontId="2" fillId="0" borderId="7" xfId="0" applyNumberFormat="1" applyFont="1" applyFill="1" applyBorder="1" applyAlignment="1" applyProtection="1">
      <alignment horizontal="center" shrinkToFit="1"/>
      <protection locked="0" hidden="1"/>
    </xf>
    <xf numFmtId="0" fontId="0" fillId="0" borderId="3" xfId="0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2" fillId="0" borderId="18" xfId="0" applyFont="1" applyBorder="1" applyAlignment="1" applyProtection="1">
      <alignment shrinkToFit="1"/>
      <protection hidden="1"/>
    </xf>
    <xf numFmtId="0" fontId="2" fillId="0" borderId="5" xfId="0" applyFont="1" applyBorder="1" applyAlignment="1" applyProtection="1">
      <alignment shrinkToFit="1"/>
      <protection hidden="1"/>
    </xf>
    <xf numFmtId="0" fontId="6" fillId="0" borderId="19" xfId="0" applyFont="1" applyBorder="1" applyAlignment="1" applyProtection="1">
      <alignment horizontal="center" shrinkToFit="1"/>
      <protection hidden="1"/>
    </xf>
    <xf numFmtId="0" fontId="6" fillId="0" borderId="20" xfId="0" applyFont="1" applyBorder="1" applyAlignment="1" applyProtection="1">
      <alignment horizontal="center" shrinkToFit="1"/>
      <protection hidden="1"/>
    </xf>
    <xf numFmtId="0" fontId="2" fillId="0" borderId="18" xfId="0" quotePrefix="1" applyFont="1" applyBorder="1" applyAlignment="1" applyProtection="1">
      <alignment shrinkToFit="1"/>
      <protection locked="0" hidden="1"/>
    </xf>
    <xf numFmtId="0" fontId="2" fillId="0" borderId="5" xfId="0" applyFont="1" applyBorder="1" applyAlignment="1" applyProtection="1">
      <alignment shrinkToFit="1"/>
      <protection locked="0" hidden="1"/>
    </xf>
    <xf numFmtId="0" fontId="2" fillId="0" borderId="7" xfId="0" applyFont="1" applyBorder="1" applyAlignment="1" applyProtection="1">
      <alignment shrinkToFit="1"/>
      <protection locked="0" hidden="1"/>
    </xf>
    <xf numFmtId="0" fontId="2" fillId="0" borderId="10" xfId="0" applyFont="1" applyBorder="1" applyAlignment="1" applyProtection="1">
      <alignment shrinkToFit="1"/>
      <protection locked="0" hidden="1"/>
    </xf>
    <xf numFmtId="0" fontId="2" fillId="0" borderId="11" xfId="0" applyFont="1" applyBorder="1" applyAlignment="1" applyProtection="1">
      <alignment shrinkToFit="1"/>
      <protection locked="0" hidden="1"/>
    </xf>
    <xf numFmtId="0" fontId="2" fillId="0" borderId="10" xfId="0" applyFont="1" applyBorder="1" applyAlignment="1" applyProtection="1">
      <alignment horizontal="left" shrinkToFit="1"/>
      <protection locked="0" hidden="1"/>
    </xf>
    <xf numFmtId="0" fontId="0" fillId="0" borderId="10" xfId="0" applyBorder="1" applyAlignment="1">
      <alignment horizontal="left" shrinkToFit="1"/>
    </xf>
    <xf numFmtId="0" fontId="2" fillId="0" borderId="0" xfId="0" quotePrefix="1" applyFont="1" applyAlignment="1" applyProtection="1">
      <alignment wrapText="1" shrinkToFit="1"/>
      <protection locked="0" hidden="1"/>
    </xf>
    <xf numFmtId="0" fontId="4" fillId="0" borderId="0" xfId="0" applyFont="1" applyAlignment="1">
      <alignment shrinkToFit="1"/>
    </xf>
    <xf numFmtId="0" fontId="4" fillId="0" borderId="7" xfId="0" applyFont="1" applyBorder="1" applyAlignment="1">
      <alignment shrinkToFit="1"/>
    </xf>
    <xf numFmtId="0" fontId="6" fillId="0" borderId="1" xfId="0" applyFont="1" applyBorder="1" applyAlignment="1" applyProtection="1">
      <alignment shrinkToFit="1"/>
      <protection hidden="1"/>
    </xf>
    <xf numFmtId="0" fontId="6" fillId="0" borderId="18" xfId="0" applyFont="1" applyBorder="1" applyAlignment="1" applyProtection="1">
      <alignment shrinkToFit="1"/>
      <protection hidden="1"/>
    </xf>
    <xf numFmtId="22" fontId="2" fillId="0" borderId="10" xfId="0" quotePrefix="1" applyNumberFormat="1" applyFont="1" applyBorder="1" applyAlignment="1" applyProtection="1">
      <alignment shrinkToFit="1"/>
      <protection locked="0" hidden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shrinkToFit="1"/>
    </xf>
    <xf numFmtId="0" fontId="6" fillId="0" borderId="10" xfId="0" applyFont="1" applyBorder="1" applyAlignment="1" applyProtection="1">
      <alignment horizontal="center" shrinkToFit="1"/>
      <protection hidden="1"/>
    </xf>
    <xf numFmtId="0" fontId="12" fillId="0" borderId="1" xfId="0" applyFont="1" applyBorder="1" applyAlignment="1" applyProtection="1">
      <alignment horizontal="right" shrinkToFit="1"/>
      <protection hidden="1"/>
    </xf>
    <xf numFmtId="0" fontId="12" fillId="0" borderId="18" xfId="0" applyFont="1" applyBorder="1" applyAlignment="1" applyProtection="1">
      <alignment horizontal="right" shrinkToFit="1"/>
      <protection hidden="1"/>
    </xf>
    <xf numFmtId="0" fontId="12" fillId="0" borderId="6" xfId="0" applyFont="1" applyBorder="1" applyAlignment="1" applyProtection="1">
      <alignment horizontal="right" shrinkToFit="1"/>
      <protection hidden="1"/>
    </xf>
    <xf numFmtId="0" fontId="12" fillId="0" borderId="0" xfId="0" applyFont="1" applyAlignment="1" applyProtection="1">
      <alignment horizontal="right" shrinkToFit="1"/>
      <protection hidden="1"/>
    </xf>
    <xf numFmtId="0" fontId="2" fillId="0" borderId="6" xfId="0" applyFont="1" applyBorder="1" applyAlignment="1" applyProtection="1">
      <alignment horizontal="right" shrinkToFit="1"/>
      <protection hidden="1"/>
    </xf>
    <xf numFmtId="0" fontId="2" fillId="0" borderId="3" xfId="0" applyFont="1" applyBorder="1" applyAlignment="1" applyProtection="1">
      <alignment shrinkToFit="1"/>
      <protection hidden="1"/>
    </xf>
    <xf numFmtId="0" fontId="2" fillId="0" borderId="10" xfId="0" applyFont="1" applyBorder="1" applyAlignment="1" applyProtection="1">
      <alignment shrinkToFit="1"/>
      <protection hidden="1"/>
    </xf>
    <xf numFmtId="0" fontId="2" fillId="0" borderId="11" xfId="0" applyFont="1" applyBorder="1" applyAlignment="1" applyProtection="1">
      <alignment shrinkToFit="1"/>
      <protection hidden="1"/>
    </xf>
    <xf numFmtId="0" fontId="2" fillId="0" borderId="3" xfId="0" applyFont="1" applyBorder="1" applyAlignment="1" applyProtection="1">
      <alignment horizontal="right" shrinkToFit="1"/>
      <protection hidden="1"/>
    </xf>
    <xf numFmtId="0" fontId="2" fillId="0" borderId="10" xfId="0" applyFont="1" applyBorder="1" applyAlignment="1" applyProtection="1">
      <alignment horizontal="right" shrinkToFit="1"/>
      <protection hidden="1"/>
    </xf>
    <xf numFmtId="0" fontId="4" fillId="0" borderId="1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7" fillId="0" borderId="18" xfId="0" applyFont="1" applyBorder="1" applyAlignment="1" applyProtection="1">
      <alignment horizontal="right" shrinkToFit="1"/>
      <protection locked="0" hidden="1"/>
    </xf>
    <xf numFmtId="0" fontId="2" fillId="0" borderId="0" xfId="0" quotePrefix="1" applyFont="1" applyAlignment="1" applyProtection="1">
      <alignment shrinkToFit="1"/>
      <protection locked="0" hidden="1"/>
    </xf>
    <xf numFmtId="0" fontId="2" fillId="0" borderId="18" xfId="0" applyFont="1" applyBorder="1" applyAlignment="1" applyProtection="1">
      <alignment horizontal="left" shrinkToFit="1"/>
      <protection locked="0" hidden="1"/>
    </xf>
    <xf numFmtId="170" fontId="6" fillId="0" borderId="10" xfId="0" applyNumberFormat="1" applyFont="1" applyBorder="1" applyAlignment="1" applyProtection="1">
      <alignment horizontal="center" shrinkToFit="1"/>
      <protection hidden="1"/>
    </xf>
    <xf numFmtId="170" fontId="12" fillId="0" borderId="1" xfId="0" applyNumberFormat="1" applyFont="1" applyBorder="1" applyAlignment="1" applyProtection="1">
      <alignment horizontal="right" shrinkToFit="1"/>
      <protection hidden="1"/>
    </xf>
    <xf numFmtId="170" fontId="12" fillId="0" borderId="18" xfId="0" applyNumberFormat="1" applyFont="1" applyBorder="1" applyAlignment="1" applyProtection="1">
      <alignment horizontal="right" shrinkToFit="1"/>
      <protection hidden="1"/>
    </xf>
    <xf numFmtId="170" fontId="12" fillId="0" borderId="6" xfId="0" applyNumberFormat="1" applyFont="1" applyBorder="1" applyAlignment="1" applyProtection="1">
      <alignment horizontal="right" shrinkToFit="1"/>
      <protection hidden="1"/>
    </xf>
    <xf numFmtId="170" fontId="12" fillId="0" borderId="0" xfId="0" applyNumberFormat="1" applyFont="1" applyAlignment="1" applyProtection="1">
      <alignment horizontal="right" shrinkToFit="1"/>
      <protection hidden="1"/>
    </xf>
    <xf numFmtId="170" fontId="2" fillId="0" borderId="18" xfId="0" applyNumberFormat="1" applyFont="1" applyBorder="1" applyAlignment="1" applyProtection="1">
      <alignment shrinkToFit="1"/>
      <protection hidden="1"/>
    </xf>
    <xf numFmtId="170" fontId="2" fillId="0" borderId="5" xfId="0" applyNumberFormat="1" applyFont="1" applyBorder="1" applyAlignment="1" applyProtection="1">
      <alignment shrinkToFit="1"/>
      <protection hidden="1"/>
    </xf>
    <xf numFmtId="170" fontId="2" fillId="0" borderId="10" xfId="0" applyNumberFormat="1" applyFont="1" applyBorder="1" applyAlignment="1" applyProtection="1">
      <alignment shrinkToFit="1"/>
      <protection hidden="1"/>
    </xf>
    <xf numFmtId="170" fontId="2" fillId="0" borderId="11" xfId="0" applyNumberFormat="1" applyFont="1" applyBorder="1" applyAlignment="1" applyProtection="1">
      <alignment shrinkToFit="1"/>
      <protection hidden="1"/>
    </xf>
    <xf numFmtId="170" fontId="2" fillId="0" borderId="6" xfId="0" applyNumberFormat="1" applyFont="1" applyBorder="1" applyAlignment="1" applyProtection="1">
      <alignment horizontal="right" shrinkToFit="1"/>
      <protection hidden="1"/>
    </xf>
    <xf numFmtId="170" fontId="2" fillId="0" borderId="0" xfId="0" applyNumberFormat="1" applyFont="1" applyAlignment="1" applyProtection="1">
      <alignment horizontal="right" shrinkToFit="1"/>
      <protection hidden="1"/>
    </xf>
    <xf numFmtId="170" fontId="6" fillId="0" borderId="1" xfId="0" applyNumberFormat="1" applyFont="1" applyBorder="1" applyAlignment="1" applyProtection="1">
      <alignment shrinkToFit="1"/>
      <protection hidden="1"/>
    </xf>
    <xf numFmtId="170" fontId="6" fillId="0" borderId="18" xfId="0" applyNumberFormat="1" applyFont="1" applyBorder="1" applyAlignment="1" applyProtection="1">
      <alignment shrinkToFit="1"/>
      <protection hidden="1"/>
    </xf>
    <xf numFmtId="170" fontId="2" fillId="0" borderId="18" xfId="0" applyNumberFormat="1" applyFont="1" applyBorder="1" applyAlignment="1" applyProtection="1">
      <alignment horizontal="left" shrinkToFit="1"/>
      <protection locked="0" hidden="1"/>
    </xf>
    <xf numFmtId="170" fontId="2" fillId="0" borderId="5" xfId="0" applyNumberFormat="1" applyFont="1" applyBorder="1" applyAlignment="1" applyProtection="1">
      <alignment horizontal="left" shrinkToFit="1"/>
      <protection locked="0" hidden="1"/>
    </xf>
    <xf numFmtId="170" fontId="6" fillId="0" borderId="1" xfId="0" applyNumberFormat="1" applyFont="1" applyBorder="1" applyAlignment="1" applyProtection="1">
      <alignment horizontal="center" shrinkToFit="1"/>
      <protection hidden="1"/>
    </xf>
    <xf numFmtId="170" fontId="6" fillId="0" borderId="18" xfId="0" applyNumberFormat="1" applyFont="1" applyBorder="1" applyAlignment="1" applyProtection="1">
      <alignment horizontal="center" shrinkToFit="1"/>
      <protection hidden="1"/>
    </xf>
    <xf numFmtId="170" fontId="6" fillId="0" borderId="5" xfId="0" applyNumberFormat="1" applyFont="1" applyBorder="1" applyAlignment="1" applyProtection="1">
      <alignment horizontal="center" shrinkToFit="1"/>
      <protection hidden="1"/>
    </xf>
    <xf numFmtId="170" fontId="2" fillId="0" borderId="6" xfId="0" applyNumberFormat="1" applyFont="1" applyBorder="1" applyAlignment="1" applyProtection="1">
      <alignment shrinkToFit="1"/>
      <protection hidden="1"/>
    </xf>
    <xf numFmtId="170" fontId="2" fillId="0" borderId="0" xfId="0" applyNumberFormat="1" applyFont="1" applyAlignment="1" applyProtection="1">
      <alignment shrinkToFit="1"/>
      <protection hidden="1"/>
    </xf>
    <xf numFmtId="170" fontId="0" fillId="0" borderId="0" xfId="0" applyNumberFormat="1" applyAlignment="1">
      <alignment shrinkToFit="1"/>
    </xf>
    <xf numFmtId="170" fontId="2" fillId="0" borderId="0" xfId="0" applyNumberFormat="1" applyFont="1" applyAlignment="1" applyProtection="1">
      <alignment shrinkToFit="1"/>
      <protection locked="0" hidden="1"/>
    </xf>
    <xf numFmtId="170" fontId="4" fillId="0" borderId="0" xfId="0" applyNumberFormat="1" applyFont="1" applyAlignment="1">
      <alignment shrinkToFit="1"/>
    </xf>
    <xf numFmtId="170" fontId="4" fillId="0" borderId="7" xfId="0" applyNumberFormat="1" applyFont="1" applyBorder="1" applyAlignment="1">
      <alignment shrinkToFit="1"/>
    </xf>
    <xf numFmtId="170" fontId="2" fillId="0" borderId="10" xfId="0" applyNumberFormat="1" applyFont="1" applyBorder="1" applyAlignment="1" applyProtection="1">
      <alignment shrinkToFit="1"/>
      <protection locked="0" hidden="1"/>
    </xf>
    <xf numFmtId="170" fontId="2" fillId="0" borderId="11" xfId="0" applyNumberFormat="1" applyFont="1" applyBorder="1" applyAlignment="1" applyProtection="1">
      <alignment shrinkToFit="1"/>
      <protection locked="0" hidden="1"/>
    </xf>
    <xf numFmtId="170" fontId="2" fillId="0" borderId="3" xfId="0" applyNumberFormat="1" applyFont="1" applyBorder="1" applyAlignment="1" applyProtection="1">
      <alignment horizontal="right" shrinkToFit="1"/>
      <protection hidden="1"/>
    </xf>
    <xf numFmtId="170" fontId="2" fillId="0" borderId="10" xfId="0" applyNumberFormat="1" applyFont="1" applyBorder="1" applyAlignment="1" applyProtection="1">
      <alignment horizontal="right" shrinkToFit="1"/>
      <protection hidden="1"/>
    </xf>
    <xf numFmtId="170" fontId="2" fillId="0" borderId="0" xfId="0" quotePrefix="1" applyNumberFormat="1" applyFont="1" applyAlignment="1" applyProtection="1">
      <alignment shrinkToFit="1"/>
      <protection locked="0" hidden="1"/>
    </xf>
    <xf numFmtId="170" fontId="2" fillId="0" borderId="0" xfId="0" applyNumberFormat="1" applyFont="1" applyAlignment="1" applyProtection="1">
      <alignment horizontal="left" shrinkToFit="1"/>
      <protection locked="0" hidden="1"/>
    </xf>
    <xf numFmtId="170" fontId="2" fillId="0" borderId="7" xfId="0" applyNumberFormat="1" applyFont="1" applyBorder="1" applyAlignment="1" applyProtection="1">
      <alignment horizontal="left" shrinkToFit="1"/>
      <protection locked="0" hidden="1"/>
    </xf>
    <xf numFmtId="170" fontId="6" fillId="0" borderId="3" xfId="0" applyNumberFormat="1" applyFont="1" applyBorder="1" applyAlignment="1" applyProtection="1">
      <alignment horizontal="center" shrinkToFit="1"/>
      <protection locked="0" hidden="1"/>
    </xf>
    <xf numFmtId="170" fontId="6" fillId="0" borderId="10" xfId="0" applyNumberFormat="1" applyFont="1" applyBorder="1" applyAlignment="1" applyProtection="1">
      <alignment horizontal="center" shrinkToFit="1"/>
      <protection locked="0" hidden="1"/>
    </xf>
    <xf numFmtId="170" fontId="6" fillId="0" borderId="11" xfId="0" applyNumberFormat="1" applyFont="1" applyBorder="1" applyAlignment="1" applyProtection="1">
      <alignment horizontal="center" shrinkToFit="1"/>
      <protection locked="0" hidden="1"/>
    </xf>
    <xf numFmtId="170" fontId="2" fillId="0" borderId="18" xfId="0" quotePrefix="1" applyNumberFormat="1" applyFont="1" applyBorder="1" applyAlignment="1" applyProtection="1">
      <alignment shrinkToFit="1"/>
      <protection locked="0" hidden="1"/>
    </xf>
    <xf numFmtId="170" fontId="4" fillId="0" borderId="18" xfId="0" applyNumberFormat="1" applyFont="1" applyBorder="1" applyAlignment="1">
      <alignment shrinkToFit="1"/>
    </xf>
    <xf numFmtId="170" fontId="4" fillId="0" borderId="5" xfId="0" applyNumberFormat="1" applyFont="1" applyBorder="1" applyAlignment="1">
      <alignment shrinkToFit="1"/>
    </xf>
    <xf numFmtId="170" fontId="2" fillId="0" borderId="3" xfId="0" applyNumberFormat="1" applyFont="1" applyBorder="1" applyAlignment="1" applyProtection="1">
      <alignment shrinkToFit="1"/>
      <protection hidden="1"/>
    </xf>
    <xf numFmtId="170" fontId="2" fillId="0" borderId="3" xfId="0" applyNumberFormat="1" applyFont="1" applyBorder="1" applyAlignment="1" applyProtection="1">
      <alignment horizontal="center" shrinkToFit="1"/>
      <protection locked="0" hidden="1"/>
    </xf>
    <xf numFmtId="170" fontId="2" fillId="0" borderId="10" xfId="0" applyNumberFormat="1" applyFont="1" applyBorder="1" applyAlignment="1" applyProtection="1">
      <alignment horizontal="center" shrinkToFit="1"/>
      <protection locked="0" hidden="1"/>
    </xf>
    <xf numFmtId="170" fontId="2" fillId="0" borderId="11" xfId="0" applyNumberFormat="1" applyFont="1" applyBorder="1" applyAlignment="1" applyProtection="1">
      <alignment horizontal="center" shrinkToFit="1"/>
      <protection locked="0" hidden="1"/>
    </xf>
    <xf numFmtId="170" fontId="6" fillId="0" borderId="6" xfId="0" applyNumberFormat="1" applyFont="1" applyBorder="1" applyAlignment="1" applyProtection="1">
      <alignment shrinkToFit="1"/>
      <protection hidden="1"/>
    </xf>
    <xf numFmtId="170" fontId="2" fillId="0" borderId="7" xfId="0" applyNumberFormat="1" applyFont="1" applyBorder="1" applyAlignment="1" applyProtection="1">
      <alignment shrinkToFit="1"/>
      <protection locked="0" hidden="1"/>
    </xf>
    <xf numFmtId="170" fontId="6" fillId="0" borderId="6" xfId="0" applyNumberFormat="1" applyFont="1" applyBorder="1" applyAlignment="1" applyProtection="1">
      <alignment shrinkToFit="1"/>
      <protection locked="0" hidden="1"/>
    </xf>
    <xf numFmtId="170" fontId="6" fillId="0" borderId="0" xfId="0" applyNumberFormat="1" applyFont="1" applyAlignment="1" applyProtection="1">
      <alignment shrinkToFit="1"/>
      <protection locked="0" hidden="1"/>
    </xf>
    <xf numFmtId="170" fontId="6" fillId="0" borderId="19" xfId="0" applyNumberFormat="1" applyFont="1" applyBorder="1" applyAlignment="1" applyProtection="1">
      <alignment horizontal="center" shrinkToFit="1"/>
      <protection hidden="1"/>
    </xf>
    <xf numFmtId="170" fontId="6" fillId="0" borderId="20" xfId="0" applyNumberFormat="1" applyFont="1" applyBorder="1" applyAlignment="1" applyProtection="1">
      <alignment horizontal="center" shrinkToFit="1"/>
      <protection hidden="1"/>
    </xf>
    <xf numFmtId="170" fontId="2" fillId="0" borderId="1" xfId="0" applyNumberFormat="1" applyFont="1" applyBorder="1" applyAlignment="1" applyProtection="1">
      <alignment shrinkToFit="1"/>
      <protection locked="0" hidden="1"/>
    </xf>
    <xf numFmtId="170" fontId="2" fillId="0" borderId="18" xfId="0" applyNumberFormat="1" applyFont="1" applyBorder="1" applyAlignment="1" applyProtection="1">
      <alignment shrinkToFit="1"/>
      <protection locked="0" hidden="1"/>
    </xf>
    <xf numFmtId="170" fontId="7" fillId="0" borderId="18" xfId="0" applyNumberFormat="1" applyFont="1" applyBorder="1" applyAlignment="1" applyProtection="1">
      <alignment horizontal="right" shrinkToFit="1"/>
      <protection locked="0" hidden="1"/>
    </xf>
    <xf numFmtId="170" fontId="0" fillId="0" borderId="10" xfId="0" applyNumberFormat="1" applyBorder="1" applyAlignment="1">
      <alignment shrinkToFit="1"/>
    </xf>
    <xf numFmtId="170" fontId="2" fillId="0" borderId="10" xfId="0" quotePrefix="1" applyNumberFormat="1" applyFont="1" applyBorder="1" applyAlignment="1" applyProtection="1">
      <alignment shrinkToFit="1"/>
      <protection locked="0" hidden="1"/>
    </xf>
    <xf numFmtId="170" fontId="4" fillId="0" borderId="10" xfId="0" applyNumberFormat="1" applyFont="1" applyBorder="1" applyAlignment="1">
      <alignment shrinkToFit="1"/>
    </xf>
    <xf numFmtId="170" fontId="4" fillId="0" borderId="11" xfId="0" applyNumberFormat="1" applyFont="1" applyBorder="1" applyAlignment="1">
      <alignment shrinkToFit="1"/>
    </xf>
    <xf numFmtId="170" fontId="2" fillId="0" borderId="10" xfId="0" applyNumberFormat="1" applyFont="1" applyBorder="1" applyAlignment="1" applyProtection="1">
      <alignment horizontal="left" shrinkToFit="1"/>
      <protection locked="0" hidden="1"/>
    </xf>
    <xf numFmtId="170" fontId="2" fillId="0" borderId="11" xfId="0" applyNumberFormat="1" applyFont="1" applyBorder="1" applyAlignment="1" applyProtection="1">
      <alignment horizontal="left" shrinkToFit="1"/>
      <protection locked="0" hidden="1"/>
    </xf>
    <xf numFmtId="170" fontId="0" fillId="0" borderId="3" xfId="0" applyNumberFormat="1" applyBorder="1" applyAlignment="1">
      <alignment horizontal="center" shrinkToFit="1"/>
    </xf>
    <xf numFmtId="170" fontId="0" fillId="0" borderId="10" xfId="0" applyNumberFormat="1" applyBorder="1" applyAlignment="1">
      <alignment horizontal="center" shrinkToFit="1"/>
    </xf>
    <xf numFmtId="170" fontId="0" fillId="0" borderId="11" xfId="0" applyNumberFormat="1" applyBorder="1" applyAlignment="1">
      <alignment horizontal="center" shrinkToFit="1"/>
    </xf>
    <xf numFmtId="170" fontId="0" fillId="0" borderId="7" xfId="0" applyNumberFormat="1" applyBorder="1" applyAlignment="1">
      <alignment shrinkToFit="1"/>
    </xf>
    <xf numFmtId="170" fontId="2" fillId="0" borderId="1" xfId="0" applyNumberFormat="1" applyFont="1" applyBorder="1" applyAlignment="1" applyProtection="1">
      <alignment horizontal="center" shrinkToFit="1"/>
      <protection locked="0" hidden="1"/>
    </xf>
    <xf numFmtId="170" fontId="2" fillId="0" borderId="18" xfId="0" applyNumberFormat="1" applyFont="1" applyBorder="1" applyAlignment="1" applyProtection="1">
      <alignment horizontal="center" shrinkToFit="1"/>
      <protection locked="0" hidden="1"/>
    </xf>
    <xf numFmtId="170" fontId="2" fillId="0" borderId="5" xfId="0" applyNumberFormat="1" applyFont="1" applyBorder="1" applyAlignment="1" applyProtection="1">
      <alignment horizontal="center" shrinkToFit="1"/>
      <protection locked="0" hidden="1"/>
    </xf>
    <xf numFmtId="170" fontId="0" fillId="0" borderId="0" xfId="0" applyNumberFormat="1" applyAlignment="1">
      <alignment horizontal="left" shrinkToFit="1"/>
    </xf>
    <xf numFmtId="170" fontId="3" fillId="0" borderId="3" xfId="0" applyNumberFormat="1" applyFont="1" applyBorder="1" applyProtection="1">
      <protection hidden="1"/>
    </xf>
    <xf numFmtId="170" fontId="3" fillId="0" borderId="10" xfId="0" applyNumberFormat="1" applyFont="1" applyBorder="1" applyProtection="1">
      <protection hidden="1"/>
    </xf>
    <xf numFmtId="170" fontId="6" fillId="0" borderId="10" xfId="0" applyNumberFormat="1" applyFont="1" applyBorder="1" applyAlignment="1" applyProtection="1">
      <alignment horizontal="right" shrinkToFit="1"/>
      <protection hidden="1"/>
    </xf>
    <xf numFmtId="170" fontId="6" fillId="0" borderId="11" xfId="0" applyNumberFormat="1" applyFont="1" applyBorder="1" applyAlignment="1" applyProtection="1">
      <alignment horizontal="right" shrinkToFit="1"/>
      <protection hidden="1"/>
    </xf>
    <xf numFmtId="170" fontId="3" fillId="0" borderId="1" xfId="0" applyNumberFormat="1" applyFont="1" applyBorder="1" applyAlignment="1" applyProtection="1">
      <alignment shrinkToFit="1"/>
      <protection hidden="1"/>
    </xf>
    <xf numFmtId="170" fontId="3" fillId="0" borderId="18" xfId="0" applyNumberFormat="1" applyFont="1" applyBorder="1" applyAlignment="1" applyProtection="1">
      <alignment shrinkToFit="1"/>
      <protection hidden="1"/>
    </xf>
    <xf numFmtId="170" fontId="0" fillId="0" borderId="18" xfId="0" applyNumberFormat="1" applyBorder="1" applyAlignment="1">
      <alignment shrinkToFit="1"/>
    </xf>
    <xf numFmtId="170" fontId="6" fillId="0" borderId="18" xfId="0" applyNumberFormat="1" applyFont="1" applyBorder="1" applyAlignment="1" applyProtection="1">
      <alignment horizontal="right" shrinkToFit="1"/>
      <protection hidden="1"/>
    </xf>
    <xf numFmtId="170" fontId="11" fillId="0" borderId="18" xfId="0" applyNumberFormat="1" applyFont="1" applyBorder="1" applyAlignment="1">
      <alignment horizontal="right" shrinkToFit="1"/>
    </xf>
    <xf numFmtId="170" fontId="11" fillId="0" borderId="5" xfId="0" applyNumberFormat="1" applyFont="1" applyBorder="1" applyAlignment="1">
      <alignment horizontal="right" shrinkToFit="1"/>
    </xf>
    <xf numFmtId="170" fontId="3" fillId="0" borderId="6" xfId="0" applyNumberFormat="1" applyFont="1" applyBorder="1" applyAlignment="1" applyProtection="1">
      <alignment shrinkToFit="1"/>
      <protection hidden="1"/>
    </xf>
    <xf numFmtId="170" fontId="3" fillId="0" borderId="0" xfId="0" applyNumberFormat="1" applyFont="1" applyAlignment="1" applyProtection="1">
      <alignment shrinkToFit="1"/>
      <protection hidden="1"/>
    </xf>
    <xf numFmtId="170" fontId="0" fillId="0" borderId="0" xfId="0" applyNumberFormat="1" applyAlignment="1">
      <alignment horizontal="right" shrinkToFit="1"/>
    </xf>
    <xf numFmtId="170" fontId="0" fillId="0" borderId="7" xfId="0" applyNumberFormat="1" applyBorder="1" applyAlignment="1">
      <alignment horizontal="right" shrinkToFit="1"/>
    </xf>
    <xf numFmtId="170" fontId="6" fillId="0" borderId="0" xfId="0" applyNumberFormat="1" applyFont="1" applyAlignment="1" applyProtection="1">
      <alignment shrinkToFit="1"/>
      <protection hidden="1"/>
    </xf>
    <xf numFmtId="170" fontId="11" fillId="0" borderId="0" xfId="0" applyNumberFormat="1" applyFont="1" applyAlignment="1">
      <alignment shrinkToFit="1"/>
    </xf>
    <xf numFmtId="174" fontId="2" fillId="0" borderId="12" xfId="0" applyNumberFormat="1" applyFont="1" applyBorder="1" applyAlignment="1" applyProtection="1">
      <alignment shrinkToFit="1"/>
      <protection locked="0" hidden="1"/>
    </xf>
    <xf numFmtId="174" fontId="2" fillId="0" borderId="24" xfId="0" applyNumberFormat="1" applyFont="1" applyBorder="1" applyAlignment="1" applyProtection="1">
      <alignment shrinkToFit="1"/>
      <protection hidden="1"/>
    </xf>
    <xf numFmtId="174" fontId="2" fillId="0" borderId="25" xfId="0" applyNumberFormat="1" applyFont="1" applyBorder="1" applyAlignment="1" applyProtection="1">
      <alignment shrinkToFit="1"/>
      <protection hidden="1"/>
    </xf>
    <xf numFmtId="0" fontId="1" fillId="0" borderId="0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170" fontId="6" fillId="0" borderId="13" xfId="0" applyNumberFormat="1" applyFont="1" applyBorder="1" applyAlignment="1" applyProtection="1">
      <alignment shrinkToFit="1"/>
      <protection locked="0" hidden="1"/>
    </xf>
    <xf numFmtId="174" fontId="2" fillId="0" borderId="13" xfId="0" applyNumberFormat="1" applyFont="1" applyBorder="1" applyAlignment="1" applyProtection="1">
      <alignment shrinkToFit="1"/>
      <protection locked="0" hidden="1"/>
    </xf>
    <xf numFmtId="170" fontId="2" fillId="0" borderId="6" xfId="0" applyNumberFormat="1" applyFont="1" applyBorder="1" applyAlignment="1" applyProtection="1">
      <alignment horizontal="center" shrinkToFit="1"/>
      <protection locked="0" hidden="1"/>
    </xf>
    <xf numFmtId="170" fontId="2" fillId="0" borderId="7" xfId="0" applyNumberFormat="1" applyFont="1" applyBorder="1" applyAlignment="1" applyProtection="1">
      <alignment horizontal="center" shrinkToFit="1"/>
      <protection locked="0" hidden="1"/>
    </xf>
    <xf numFmtId="170" fontId="2" fillId="0" borderId="3" xfId="0" applyNumberFormat="1" applyFont="1" applyFill="1" applyBorder="1" applyAlignment="1" applyProtection="1">
      <alignment shrinkToFit="1"/>
      <protection locked="0" hidden="1"/>
    </xf>
    <xf numFmtId="170" fontId="2" fillId="0" borderId="10" xfId="0" applyNumberFormat="1" applyFont="1" applyFill="1" applyBorder="1" applyAlignment="1" applyProtection="1">
      <alignment shrinkToFit="1"/>
      <protection locked="0" hidden="1"/>
    </xf>
    <xf numFmtId="170" fontId="2" fillId="0" borderId="11" xfId="0" applyNumberFormat="1" applyFont="1" applyFill="1" applyBorder="1" applyAlignment="1" applyProtection="1">
      <alignment shrinkToFit="1"/>
      <protection locked="0" hidden="1"/>
    </xf>
    <xf numFmtId="170" fontId="6" fillId="0" borderId="19" xfId="0" applyNumberFormat="1" applyFont="1" applyBorder="1" applyAlignment="1" applyProtection="1">
      <alignment shrinkToFit="1"/>
      <protection locked="0" hidden="1"/>
    </xf>
    <xf numFmtId="170" fontId="6" fillId="0" borderId="20" xfId="0" applyNumberFormat="1" applyFont="1" applyBorder="1" applyAlignment="1" applyProtection="1">
      <alignment shrinkToFit="1"/>
      <protection locked="0" hidden="1"/>
    </xf>
    <xf numFmtId="170" fontId="6" fillId="0" borderId="12" xfId="0" applyNumberFormat="1" applyFont="1" applyBorder="1" applyAlignment="1" applyProtection="1">
      <alignment shrinkToFit="1"/>
      <protection locked="0" hidden="1"/>
    </xf>
    <xf numFmtId="170" fontId="3" fillId="0" borderId="3" xfId="0" applyNumberFormat="1" applyFont="1" applyBorder="1" applyAlignment="1">
      <alignment horizontal="center" shrinkToFit="1"/>
    </xf>
    <xf numFmtId="170" fontId="3" fillId="0" borderId="11" xfId="0" applyNumberFormat="1" applyFont="1" applyBorder="1" applyAlignment="1">
      <alignment horizontal="center" shrinkToFit="1"/>
    </xf>
    <xf numFmtId="170" fontId="3" fillId="0" borderId="19" xfId="0" applyNumberFormat="1" applyFont="1" applyBorder="1"/>
    <xf numFmtId="170" fontId="3" fillId="0" borderId="20" xfId="0" applyNumberFormat="1" applyFont="1" applyBorder="1"/>
    <xf numFmtId="174" fontId="2" fillId="0" borderId="13" xfId="0" applyNumberFormat="1" applyFont="1" applyFill="1" applyBorder="1" applyAlignment="1" applyProtection="1">
      <alignment shrinkToFit="1"/>
      <protection locked="0" hidden="1"/>
    </xf>
    <xf numFmtId="170" fontId="2" fillId="0" borderId="6" xfId="0" applyNumberFormat="1" applyFont="1" applyFill="1" applyBorder="1" applyAlignment="1" applyProtection="1">
      <alignment shrinkToFit="1"/>
      <protection locked="0" hidden="1"/>
    </xf>
    <xf numFmtId="170" fontId="2" fillId="0" borderId="0" xfId="0" applyNumberFormat="1" applyFont="1" applyFill="1" applyAlignment="1" applyProtection="1">
      <alignment shrinkToFit="1"/>
      <protection locked="0" hidden="1"/>
    </xf>
    <xf numFmtId="170" fontId="2" fillId="0" borderId="7" xfId="0" applyNumberFormat="1" applyFont="1" applyFill="1" applyBorder="1" applyAlignment="1" applyProtection="1">
      <alignment shrinkToFit="1"/>
      <protection locked="0" hidden="1"/>
    </xf>
    <xf numFmtId="0" fontId="2" fillId="0" borderId="0" xfId="0" applyFont="1" applyFill="1" applyBorder="1" applyAlignment="1" applyProtection="1">
      <alignment horizontal="center" shrinkToFit="1"/>
      <protection locked="0" hidden="1"/>
    </xf>
    <xf numFmtId="0" fontId="2" fillId="0" borderId="7" xfId="0" applyFont="1" applyFill="1" applyBorder="1" applyAlignment="1" applyProtection="1">
      <alignment horizontal="center" shrinkToFit="1"/>
      <protection locked="0" hidden="1"/>
    </xf>
    <xf numFmtId="0" fontId="2" fillId="0" borderId="19" xfId="0" applyFont="1" applyFill="1" applyBorder="1" applyAlignment="1" applyProtection="1">
      <alignment shrinkToFit="1"/>
      <protection locked="0" hidden="1"/>
    </xf>
    <xf numFmtId="0" fontId="2" fillId="0" borderId="20" xfId="0" applyFont="1" applyFill="1" applyBorder="1" applyAlignment="1" applyProtection="1">
      <alignment shrinkToFit="1"/>
      <protection locked="0" hidden="1"/>
    </xf>
    <xf numFmtId="0" fontId="2" fillId="0" borderId="5" xfId="0" applyFont="1" applyFill="1" applyBorder="1" applyAlignment="1" applyProtection="1">
      <alignment shrinkToFit="1"/>
      <protection locked="0" hidden="1"/>
    </xf>
    <xf numFmtId="0" fontId="2" fillId="0" borderId="3" xfId="0" applyFont="1" applyFill="1" applyBorder="1" applyAlignment="1" applyProtection="1">
      <alignment horizontal="center" shrinkToFit="1"/>
      <protection locked="0" hidden="1"/>
    </xf>
    <xf numFmtId="0" fontId="2" fillId="0" borderId="11" xfId="0" applyFont="1" applyFill="1" applyBorder="1" applyAlignment="1" applyProtection="1">
      <alignment horizontal="center" shrinkToFit="1"/>
      <protection locked="0" hidden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0" fillId="0" borderId="19" xfId="1" applyFont="1" applyBorder="1" applyAlignment="1">
      <alignment horizontal="left" vertical="center"/>
    </xf>
    <xf numFmtId="0" fontId="10" fillId="0" borderId="20" xfId="1" applyFont="1" applyBorder="1" applyAlignment="1">
      <alignment horizontal="left" vertical="center"/>
    </xf>
    <xf numFmtId="0" fontId="9" fillId="0" borderId="3" xfId="1" applyFont="1" applyBorder="1" applyAlignment="1">
      <alignment vertical="center"/>
    </xf>
    <xf numFmtId="0" fontId="0" fillId="0" borderId="11" xfId="0" applyBorder="1" applyAlignment="1">
      <alignment vertical="center"/>
    </xf>
    <xf numFmtId="164" fontId="9" fillId="0" borderId="19" xfId="1" applyNumberFormat="1" applyFont="1" applyBorder="1" applyAlignment="1">
      <alignment horizontal="center"/>
    </xf>
    <xf numFmtId="164" fontId="9" fillId="0" borderId="30" xfId="1" applyNumberFormat="1" applyFont="1" applyBorder="1" applyAlignment="1">
      <alignment horizontal="center"/>
    </xf>
    <xf numFmtId="0" fontId="9" fillId="0" borderId="19" xfId="1" applyFont="1" applyBorder="1" applyAlignment="1">
      <alignment vertical="center" shrinkToFit="1"/>
    </xf>
    <xf numFmtId="0" fontId="11" fillId="0" borderId="20" xfId="0" applyFont="1" applyBorder="1" applyAlignment="1">
      <alignment vertical="center" shrinkToFit="1"/>
    </xf>
    <xf numFmtId="164" fontId="9" fillId="0" borderId="3" xfId="1" applyNumberFormat="1" applyFont="1" applyBorder="1" applyAlignment="1">
      <alignment horizontal="center"/>
    </xf>
    <xf numFmtId="164" fontId="9" fillId="0" borderId="11" xfId="1" applyNumberFormat="1" applyFont="1" applyBorder="1" applyAlignment="1">
      <alignment horizontal="center"/>
    </xf>
    <xf numFmtId="0" fontId="10" fillId="0" borderId="10" xfId="1" applyFont="1" applyBorder="1" applyAlignment="1">
      <alignment horizontal="left" vertical="center"/>
    </xf>
    <xf numFmtId="0" fontId="9" fillId="0" borderId="19" xfId="1" applyFont="1" applyBorder="1" applyAlignment="1">
      <alignment vertical="center"/>
    </xf>
    <xf numFmtId="0" fontId="0" fillId="0" borderId="30" xfId="0" applyBorder="1" applyAlignment="1">
      <alignment vertical="center"/>
    </xf>
    <xf numFmtId="0" fontId="9" fillId="0" borderId="30" xfId="1" applyFont="1" applyBorder="1" applyAlignment="1">
      <alignment vertical="center" shrinkToFit="1"/>
    </xf>
    <xf numFmtId="0" fontId="10" fillId="0" borderId="0" xfId="1" applyFont="1" applyAlignment="1">
      <alignment horizontal="center"/>
    </xf>
    <xf numFmtId="0" fontId="10" fillId="0" borderId="10" xfId="1" applyFont="1" applyBorder="1"/>
    <xf numFmtId="0" fontId="9" fillId="0" borderId="3" xfId="1" applyFont="1" applyBorder="1"/>
    <xf numFmtId="0" fontId="9" fillId="0" borderId="10" xfId="1" applyFont="1" applyBorder="1"/>
    <xf numFmtId="0" fontId="9" fillId="0" borderId="4" xfId="1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1</xdr:col>
      <xdr:colOff>9525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286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9</xdr:col>
      <xdr:colOff>119391</xdr:colOff>
      <xdr:row>3</xdr:row>
      <xdr:rowOff>28575</xdr:rowOff>
    </xdr:from>
    <xdr:to>
      <xdr:col>10</xdr:col>
      <xdr:colOff>742950</xdr:colOff>
      <xdr:row>11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5966" y="504825"/>
          <a:ext cx="1385559" cy="1362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1</xdr:col>
      <xdr:colOff>9525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286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28575</xdr:rowOff>
    </xdr:from>
    <xdr:to>
      <xdr:col>10</xdr:col>
      <xdr:colOff>747384</xdr:colOff>
      <xdr:row>11</xdr:row>
      <xdr:rowOff>133350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504825"/>
          <a:ext cx="1385559" cy="1362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85725</xdr:rowOff>
    </xdr:from>
    <xdr:to>
      <xdr:col>6</xdr:col>
      <xdr:colOff>561975</xdr:colOff>
      <xdr:row>6</xdr:row>
      <xdr:rowOff>38100</xdr:rowOff>
    </xdr:to>
    <xdr:sp macro="" textlink="">
      <xdr:nvSpPr>
        <xdr:cNvPr id="14364" name="Text Box 2">
          <a:extLst>
            <a:ext uri="{FF2B5EF4-FFF2-40B4-BE49-F238E27FC236}">
              <a16:creationId xmlns:a16="http://schemas.microsoft.com/office/drawing/2014/main" xmlns="" id="{00000000-0008-0000-0200-00001C38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5162550" y="85725"/>
          <a:ext cx="1171575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0</xdr:row>
      <xdr:rowOff>76200</xdr:rowOff>
    </xdr:from>
    <xdr:to>
      <xdr:col>5</xdr:col>
      <xdr:colOff>57150</xdr:colOff>
      <xdr:row>6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/>
      </xdr:nvSpPr>
      <xdr:spPr>
        <a:xfrm>
          <a:off x="57150" y="76200"/>
          <a:ext cx="5019675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 rtl="0"/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  <a:ea typeface="+mn-ea"/>
              <a:cs typeface="Arial"/>
            </a:rPr>
            <a:t>J a i k v i n  G l o b a l</a:t>
          </a:r>
        </a:p>
        <a:p>
          <a:pPr algn="r" rtl="0"/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Merchant Exporters</a:t>
          </a:r>
        </a:p>
        <a:p>
          <a:pPr algn="r" rtl="0"/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A-101, Rajshree Royale, Navroji Lane, Karani Lane, Ghatkopar (W),</a:t>
          </a:r>
        </a:p>
        <a:p>
          <a:pPr marL="0" indent="0" algn="r" rtl="0">
            <a:defRPr sz="1000"/>
          </a:pP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Mumbai- 400086.</a:t>
          </a:r>
          <a:r>
            <a:rPr lang="en-US" sz="1100" b="0" i="0" strike="noStrike" baseline="0">
              <a:solidFill>
                <a:srgbClr val="0000FF"/>
              </a:solidFill>
              <a:latin typeface="+mn-lt"/>
              <a:ea typeface="+mn-ea"/>
              <a:cs typeface="Arial"/>
            </a:rPr>
            <a:t> </a:t>
          </a: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Tel: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91-9987122600 </a:t>
          </a:r>
          <a:r>
            <a:rPr lang="en-US" sz="1100" b="0" i="0">
              <a:solidFill>
                <a:srgbClr val="0000FF"/>
              </a:solidFill>
              <a:latin typeface="+mn-lt"/>
              <a:ea typeface="+mn-ea"/>
              <a:cs typeface="+mn-cs"/>
            </a:rPr>
            <a:t>E-Mail: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aalok.shah@jaikvinglobal.com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r" rtl="0">
            <a:defRPr sz="1000"/>
          </a:pP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GSTIN:</a:t>
          </a:r>
          <a:r>
            <a:rPr lang="en-US" sz="1100" b="0" i="0" strike="noStrike" baseline="0">
              <a:solidFill>
                <a:srgbClr val="0000FF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27AVIPS4808H1Z8 </a:t>
          </a: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PAN No 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AVIPS4808H</a:t>
          </a:r>
        </a:p>
      </xdr:txBody>
    </xdr:sp>
    <xdr:clientData/>
  </xdr:twoCellAnchor>
  <xdr:twoCellAnchor editAs="oneCell">
    <xdr:from>
      <xdr:col>5</xdr:col>
      <xdr:colOff>371475</xdr:colOff>
      <xdr:row>1</xdr:row>
      <xdr:rowOff>76200</xdr:rowOff>
    </xdr:from>
    <xdr:to>
      <xdr:col>6</xdr:col>
      <xdr:colOff>342900</xdr:colOff>
      <xdr:row>5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266700"/>
          <a:ext cx="733425" cy="733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1"/>
  <sheetViews>
    <sheetView tabSelected="1" zoomScaleNormal="100" workbookViewId="0"/>
  </sheetViews>
  <sheetFormatPr defaultColWidth="0" defaultRowHeight="12" zeroHeight="1" x14ac:dyDescent="0.2"/>
  <cols>
    <col min="1" max="1" width="13.83203125" style="1" customWidth="1"/>
    <col min="2" max="2" width="14.1640625" style="1" bestFit="1" customWidth="1"/>
    <col min="3" max="5" width="11.83203125" style="1" customWidth="1"/>
    <col min="6" max="8" width="13.33203125" style="1" customWidth="1"/>
    <col min="9" max="9" width="17" style="1" bestFit="1" customWidth="1"/>
    <col min="10" max="11" width="13.33203125" style="1" customWidth="1"/>
    <col min="12" max="12" width="9.33203125" style="193" customWidth="1"/>
    <col min="13" max="16384" width="0" style="1" hidden="1"/>
  </cols>
  <sheetData>
    <row r="1" spans="1:11" x14ac:dyDescent="0.2">
      <c r="A1" s="2" t="s">
        <v>119</v>
      </c>
      <c r="B1" s="316" t="s">
        <v>14</v>
      </c>
      <c r="C1" s="316"/>
      <c r="D1" s="316"/>
      <c r="E1" s="316"/>
      <c r="F1" s="316"/>
      <c r="G1" s="316"/>
      <c r="H1" s="316"/>
      <c r="I1" s="316"/>
      <c r="J1" s="316"/>
      <c r="K1" s="316"/>
    </row>
    <row r="2" spans="1:11" ht="12.75" customHeight="1" x14ac:dyDescent="0.2">
      <c r="A2" s="317" t="s">
        <v>84</v>
      </c>
      <c r="B2" s="318"/>
      <c r="C2" s="318"/>
      <c r="D2" s="318"/>
      <c r="E2" s="318"/>
      <c r="F2" s="3" t="s">
        <v>5</v>
      </c>
      <c r="G2" s="297" t="s">
        <v>154</v>
      </c>
      <c r="H2" s="297"/>
      <c r="I2" s="297"/>
      <c r="J2" s="298"/>
      <c r="K2" s="4" t="s">
        <v>15</v>
      </c>
    </row>
    <row r="3" spans="1:11" ht="12.75" customHeight="1" x14ac:dyDescent="0.2">
      <c r="A3" s="319"/>
      <c r="B3" s="320"/>
      <c r="C3" s="320"/>
      <c r="D3" s="320"/>
      <c r="E3" s="320"/>
      <c r="F3" s="26" t="s">
        <v>27</v>
      </c>
      <c r="G3" s="323"/>
      <c r="H3" s="323"/>
      <c r="I3" s="323"/>
      <c r="J3" s="324"/>
      <c r="K3" s="28" t="s">
        <v>89</v>
      </c>
    </row>
    <row r="4" spans="1:11" x14ac:dyDescent="0.2">
      <c r="A4" s="321" t="s">
        <v>85</v>
      </c>
      <c r="B4" s="265"/>
      <c r="C4" s="265"/>
      <c r="D4" s="265"/>
      <c r="E4" s="265"/>
      <c r="F4" s="311" t="s">
        <v>6</v>
      </c>
      <c r="G4" s="312"/>
      <c r="H4" s="250" t="s">
        <v>155</v>
      </c>
      <c r="I4" s="250"/>
      <c r="J4" s="250"/>
      <c r="K4" s="302"/>
    </row>
    <row r="5" spans="1:11" x14ac:dyDescent="0.2">
      <c r="A5" s="321" t="s">
        <v>86</v>
      </c>
      <c r="B5" s="265"/>
      <c r="C5" s="265"/>
      <c r="D5" s="265"/>
      <c r="E5" s="265"/>
      <c r="F5" s="322" t="s">
        <v>2</v>
      </c>
      <c r="G5" s="323"/>
      <c r="H5" s="304"/>
      <c r="I5" s="304"/>
      <c r="J5" s="304"/>
      <c r="K5" s="305"/>
    </row>
    <row r="6" spans="1:11" x14ac:dyDescent="0.2">
      <c r="A6" s="321" t="s">
        <v>87</v>
      </c>
      <c r="B6" s="265"/>
      <c r="C6" s="265"/>
      <c r="D6" s="265"/>
      <c r="E6" s="265"/>
      <c r="F6" s="311" t="s">
        <v>9</v>
      </c>
      <c r="G6" s="312"/>
      <c r="H6" s="250"/>
      <c r="I6" s="250"/>
      <c r="J6" s="250"/>
      <c r="K6" s="302"/>
    </row>
    <row r="7" spans="1:11" x14ac:dyDescent="0.2">
      <c r="A7" s="325" t="s">
        <v>88</v>
      </c>
      <c r="B7" s="326"/>
      <c r="C7" s="326"/>
      <c r="D7" s="326"/>
      <c r="E7" s="326"/>
      <c r="F7" s="322" t="s">
        <v>3</v>
      </c>
      <c r="G7" s="323"/>
      <c r="H7" s="304"/>
      <c r="I7" s="304"/>
      <c r="J7" s="304"/>
      <c r="K7" s="305"/>
    </row>
    <row r="8" spans="1:11" ht="12.75" x14ac:dyDescent="0.2">
      <c r="A8" s="311" t="s">
        <v>19</v>
      </c>
      <c r="B8" s="312"/>
      <c r="C8" s="329"/>
      <c r="D8" s="329"/>
      <c r="E8" s="329"/>
      <c r="F8" s="6" t="s">
        <v>120</v>
      </c>
      <c r="G8" s="301" t="s">
        <v>182</v>
      </c>
      <c r="H8" s="327"/>
      <c r="I8" s="327"/>
      <c r="J8" s="327"/>
      <c r="K8" s="328"/>
    </row>
    <row r="9" spans="1:11" ht="12.75" x14ac:dyDescent="0.2">
      <c r="A9" s="275" t="s">
        <v>29</v>
      </c>
      <c r="B9" s="276"/>
      <c r="C9" s="276"/>
      <c r="D9" s="276"/>
      <c r="E9" s="276"/>
      <c r="F9" s="24"/>
      <c r="G9" s="308" t="s">
        <v>183</v>
      </c>
      <c r="H9" s="309"/>
      <c r="I9" s="309"/>
      <c r="J9" s="309"/>
      <c r="K9" s="310"/>
    </row>
    <row r="10" spans="1:11" ht="12.75" x14ac:dyDescent="0.2">
      <c r="A10" s="275" t="s">
        <v>28</v>
      </c>
      <c r="B10" s="276"/>
      <c r="C10" s="276"/>
      <c r="D10" s="258"/>
      <c r="E10" s="258"/>
      <c r="F10" s="24" t="s">
        <v>121</v>
      </c>
      <c r="G10" s="330" t="s">
        <v>184</v>
      </c>
      <c r="H10" s="309"/>
      <c r="I10" s="309"/>
      <c r="J10" s="309"/>
      <c r="K10" s="310"/>
    </row>
    <row r="11" spans="1:11" ht="12.75" x14ac:dyDescent="0.2">
      <c r="A11" s="275" t="s">
        <v>48</v>
      </c>
      <c r="B11" s="276"/>
      <c r="C11" s="276"/>
      <c r="D11" s="258"/>
      <c r="E11" s="258"/>
      <c r="F11" s="119"/>
      <c r="G11" s="285"/>
      <c r="H11" s="309"/>
      <c r="I11" s="309"/>
      <c r="J11" s="309"/>
      <c r="K11" s="310"/>
    </row>
    <row r="12" spans="1:11" ht="12.75" x14ac:dyDescent="0.2">
      <c r="A12" s="322" t="s">
        <v>47</v>
      </c>
      <c r="B12" s="323"/>
      <c r="C12" s="323"/>
      <c r="D12" s="283"/>
      <c r="E12" s="283"/>
      <c r="F12" s="8" t="s">
        <v>122</v>
      </c>
      <c r="G12" s="313" t="s">
        <v>185</v>
      </c>
      <c r="H12" s="314"/>
      <c r="I12" s="314"/>
      <c r="J12" s="314"/>
      <c r="K12" s="315"/>
    </row>
    <row r="13" spans="1:11" x14ac:dyDescent="0.2">
      <c r="A13" s="3" t="s">
        <v>21</v>
      </c>
      <c r="B13" s="331" t="s">
        <v>116</v>
      </c>
      <c r="C13" s="331"/>
      <c r="D13" s="331"/>
      <c r="E13" s="331"/>
      <c r="F13" s="288" t="s">
        <v>8</v>
      </c>
      <c r="G13" s="289"/>
      <c r="H13" s="290"/>
      <c r="I13" s="288" t="s">
        <v>7</v>
      </c>
      <c r="J13" s="289"/>
      <c r="K13" s="290"/>
    </row>
    <row r="14" spans="1:11" ht="12.75" x14ac:dyDescent="0.2">
      <c r="A14" s="7" t="s">
        <v>22</v>
      </c>
      <c r="B14" s="247" t="s">
        <v>131</v>
      </c>
      <c r="C14" s="247"/>
      <c r="D14" s="248"/>
      <c r="E14" s="248"/>
      <c r="F14" s="262" t="s">
        <v>10</v>
      </c>
      <c r="G14" s="263"/>
      <c r="H14" s="264"/>
      <c r="I14" s="262" t="s">
        <v>30</v>
      </c>
      <c r="J14" s="263"/>
      <c r="K14" s="264"/>
    </row>
    <row r="15" spans="1:11" ht="12.75" x14ac:dyDescent="0.2">
      <c r="A15" s="5" t="s">
        <v>23</v>
      </c>
      <c r="B15" s="306" t="s">
        <v>132</v>
      </c>
      <c r="C15" s="306"/>
      <c r="D15" s="307"/>
      <c r="E15" s="307"/>
      <c r="F15" s="6" t="s">
        <v>112</v>
      </c>
      <c r="G15" s="301" t="s">
        <v>190</v>
      </c>
      <c r="H15" s="250"/>
      <c r="I15" s="250"/>
      <c r="J15" s="250"/>
      <c r="K15" s="302"/>
    </row>
    <row r="16" spans="1:11" x14ac:dyDescent="0.2">
      <c r="A16" s="288" t="s">
        <v>16</v>
      </c>
      <c r="B16" s="289"/>
      <c r="C16" s="288" t="s">
        <v>17</v>
      </c>
      <c r="D16" s="289"/>
      <c r="E16" s="290"/>
      <c r="F16" s="24" t="s">
        <v>49</v>
      </c>
      <c r="G16" s="285" t="s">
        <v>191</v>
      </c>
      <c r="H16" s="285"/>
      <c r="I16" s="285"/>
      <c r="J16" s="285"/>
      <c r="K16" s="303"/>
    </row>
    <row r="17" spans="1:12" ht="12.75" x14ac:dyDescent="0.2">
      <c r="A17" s="286" t="s">
        <v>4</v>
      </c>
      <c r="B17" s="287"/>
      <c r="C17" s="294"/>
      <c r="D17" s="295"/>
      <c r="E17" s="296"/>
      <c r="F17" s="8" t="s">
        <v>25</v>
      </c>
      <c r="G17" s="304" t="s">
        <v>187</v>
      </c>
      <c r="H17" s="304"/>
      <c r="I17" s="304"/>
      <c r="J17" s="304"/>
      <c r="K17" s="305"/>
    </row>
    <row r="18" spans="1:12" ht="12.75" x14ac:dyDescent="0.2">
      <c r="A18" s="288" t="s">
        <v>13</v>
      </c>
      <c r="B18" s="289"/>
      <c r="C18" s="288" t="s">
        <v>0</v>
      </c>
      <c r="D18" s="289"/>
      <c r="E18" s="290"/>
      <c r="F18" s="241" t="s">
        <v>11</v>
      </c>
      <c r="G18" s="242"/>
      <c r="H18" s="285" t="s">
        <v>111</v>
      </c>
      <c r="I18" s="258"/>
      <c r="J18" s="258"/>
      <c r="K18" s="281"/>
    </row>
    <row r="19" spans="1:12" ht="12.75" customHeight="1" x14ac:dyDescent="0.2">
      <c r="A19" s="286" t="str">
        <f>G16</f>
        <v>CAPE SYROS VOYAGE 092E</v>
      </c>
      <c r="B19" s="287"/>
      <c r="C19" s="262" t="s">
        <v>103</v>
      </c>
      <c r="D19" s="263"/>
      <c r="E19" s="264"/>
      <c r="F19" s="241" t="s">
        <v>26</v>
      </c>
      <c r="G19" s="258"/>
      <c r="H19" s="285" t="s">
        <v>31</v>
      </c>
      <c r="I19" s="258"/>
      <c r="J19" s="258"/>
      <c r="K19" s="281"/>
    </row>
    <row r="20" spans="1:12" ht="12.75" customHeight="1" x14ac:dyDescent="0.2">
      <c r="A20" s="288" t="s">
        <v>1</v>
      </c>
      <c r="B20" s="289"/>
      <c r="C20" s="288" t="s">
        <v>20</v>
      </c>
      <c r="D20" s="289"/>
      <c r="E20" s="290"/>
      <c r="F20" s="241" t="s">
        <v>24</v>
      </c>
      <c r="G20" s="258"/>
      <c r="H20" s="242" t="s">
        <v>98</v>
      </c>
      <c r="I20" s="258"/>
      <c r="J20" s="258"/>
      <c r="K20" s="281"/>
    </row>
    <row r="21" spans="1:12" ht="12.75" customHeight="1" x14ac:dyDescent="0.2">
      <c r="A21" s="286" t="s">
        <v>32</v>
      </c>
      <c r="B21" s="287"/>
      <c r="C21" s="286" t="s">
        <v>33</v>
      </c>
      <c r="D21" s="287"/>
      <c r="E21" s="291"/>
      <c r="F21" s="5"/>
      <c r="G21" s="27"/>
      <c r="H21" s="282" t="s">
        <v>99</v>
      </c>
      <c r="I21" s="283"/>
      <c r="J21" s="283"/>
      <c r="K21" s="284"/>
    </row>
    <row r="22" spans="1:12" x14ac:dyDescent="0.2">
      <c r="A22" s="9" t="s">
        <v>12</v>
      </c>
      <c r="B22" s="299" t="s">
        <v>65</v>
      </c>
      <c r="C22" s="300"/>
      <c r="D22" s="300"/>
      <c r="E22" s="10" t="s">
        <v>51</v>
      </c>
      <c r="F22" s="10" t="s">
        <v>53</v>
      </c>
      <c r="G22" s="10" t="s">
        <v>52</v>
      </c>
      <c r="H22" s="10" t="s">
        <v>53</v>
      </c>
      <c r="I22" s="10" t="s">
        <v>66</v>
      </c>
      <c r="J22" s="10" t="s">
        <v>63</v>
      </c>
      <c r="K22" s="10" t="s">
        <v>64</v>
      </c>
    </row>
    <row r="23" spans="1:12" x14ac:dyDescent="0.2">
      <c r="A23" s="11" t="s">
        <v>71</v>
      </c>
      <c r="B23" s="249" t="s">
        <v>158</v>
      </c>
      <c r="C23" s="250"/>
      <c r="D23" s="250"/>
      <c r="E23" s="250"/>
      <c r="F23" s="251" t="s">
        <v>69</v>
      </c>
      <c r="G23" s="252"/>
      <c r="H23" s="251" t="s">
        <v>70</v>
      </c>
      <c r="I23" s="278"/>
      <c r="J23" s="29"/>
      <c r="K23" s="29"/>
    </row>
    <row r="24" spans="1:12" ht="12.75" x14ac:dyDescent="0.2">
      <c r="A24" s="11" t="s">
        <v>186</v>
      </c>
      <c r="B24" s="247" t="s">
        <v>152</v>
      </c>
      <c r="C24" s="247"/>
      <c r="D24" s="248"/>
      <c r="E24" s="248"/>
      <c r="F24" s="13"/>
      <c r="G24" s="13"/>
      <c r="H24" s="292" t="s">
        <v>156</v>
      </c>
      <c r="I24" s="293"/>
      <c r="J24" s="29"/>
      <c r="K24" s="29"/>
    </row>
    <row r="25" spans="1:12" ht="12.75" x14ac:dyDescent="0.2">
      <c r="A25" s="14" t="s">
        <v>157</v>
      </c>
      <c r="B25" s="247" t="s">
        <v>153</v>
      </c>
      <c r="C25" s="247"/>
      <c r="D25" s="248"/>
      <c r="E25" s="248"/>
      <c r="F25" s="13"/>
      <c r="G25" s="13"/>
      <c r="H25" s="139"/>
      <c r="I25" s="138"/>
      <c r="J25" s="29"/>
      <c r="K25" s="29"/>
    </row>
    <row r="26" spans="1:12" ht="12.75" customHeight="1" x14ac:dyDescent="0.2">
      <c r="A26" s="14"/>
      <c r="B26" s="244" t="s">
        <v>78</v>
      </c>
      <c r="C26" s="245"/>
      <c r="D26" s="245"/>
      <c r="E26" s="245"/>
      <c r="F26" s="245"/>
      <c r="G26" s="246"/>
      <c r="H26" s="139"/>
      <c r="I26" s="108"/>
      <c r="J26" s="29"/>
      <c r="K26" s="108"/>
    </row>
    <row r="27" spans="1:12" x14ac:dyDescent="0.2">
      <c r="A27" s="14"/>
      <c r="B27" s="117" t="s">
        <v>72</v>
      </c>
      <c r="C27" s="116" t="s">
        <v>101</v>
      </c>
      <c r="D27" s="118" t="s">
        <v>102</v>
      </c>
      <c r="E27" s="83" t="s">
        <v>73</v>
      </c>
      <c r="F27" s="95" t="s">
        <v>74</v>
      </c>
      <c r="G27" s="38"/>
      <c r="H27" s="44"/>
      <c r="I27" s="36"/>
      <c r="J27" s="37"/>
      <c r="K27" s="36"/>
    </row>
    <row r="28" spans="1:12" x14ac:dyDescent="0.2">
      <c r="A28" s="12"/>
      <c r="B28" s="39" t="s">
        <v>123</v>
      </c>
      <c r="C28" s="122">
        <v>15</v>
      </c>
      <c r="D28" s="93">
        <v>225</v>
      </c>
      <c r="E28" s="32">
        <v>6000</v>
      </c>
      <c r="F28" s="186">
        <v>7.0000000000000007E-2</v>
      </c>
      <c r="G28" s="41">
        <f>E28*F28</f>
        <v>420.00000000000006</v>
      </c>
      <c r="H28" s="187">
        <f t="shared" ref="H28" si="0">I28/E28</f>
        <v>6.4750000000000014</v>
      </c>
      <c r="I28" s="188">
        <v>38850.000000000007</v>
      </c>
      <c r="J28" s="42">
        <v>0.18</v>
      </c>
      <c r="K28" s="101">
        <f>ROUND(I28*J28,)</f>
        <v>6993</v>
      </c>
      <c r="L28" s="194"/>
    </row>
    <row r="29" spans="1:12" x14ac:dyDescent="0.2">
      <c r="A29" s="12"/>
      <c r="B29" s="98" t="s">
        <v>126</v>
      </c>
      <c r="C29" s="123">
        <v>15</v>
      </c>
      <c r="D29" s="99">
        <v>457</v>
      </c>
      <c r="E29" s="32">
        <v>7200</v>
      </c>
      <c r="F29" s="186">
        <v>0.24</v>
      </c>
      <c r="G29" s="41">
        <f t="shared" ref="G29:G69" si="1">E29*F29</f>
        <v>1728</v>
      </c>
      <c r="H29" s="187">
        <f>I29/E29</f>
        <v>22.2</v>
      </c>
      <c r="I29" s="188">
        <v>159840</v>
      </c>
      <c r="J29" s="42">
        <v>0.18</v>
      </c>
      <c r="K29" s="101">
        <f t="shared" ref="K29" si="2">ROUND(I29*J29,)</f>
        <v>28771</v>
      </c>
      <c r="L29" s="194"/>
    </row>
    <row r="30" spans="1:12" x14ac:dyDescent="0.2">
      <c r="A30" s="12"/>
      <c r="B30" s="98">
        <v>90441400</v>
      </c>
      <c r="C30" s="123" t="s">
        <v>128</v>
      </c>
      <c r="D30" s="99">
        <v>450</v>
      </c>
      <c r="E30" s="32">
        <v>2600</v>
      </c>
      <c r="F30" s="186">
        <v>0.24</v>
      </c>
      <c r="G30" s="41">
        <f t="shared" si="1"/>
        <v>624</v>
      </c>
      <c r="H30" s="187">
        <f t="shared" ref="H30:H36" si="3">I30/E30</f>
        <v>22.2</v>
      </c>
      <c r="I30" s="188">
        <v>57720</v>
      </c>
      <c r="J30" s="42">
        <v>0.18</v>
      </c>
      <c r="K30" s="101">
        <f t="shared" ref="K30:K36" si="4">ROUND(I30*J30,)</f>
        <v>10390</v>
      </c>
      <c r="L30" s="121"/>
    </row>
    <row r="31" spans="1:12" x14ac:dyDescent="0.2">
      <c r="A31" s="12"/>
      <c r="B31" s="98" t="s">
        <v>127</v>
      </c>
      <c r="C31" s="123">
        <v>15</v>
      </c>
      <c r="D31" s="99">
        <v>610</v>
      </c>
      <c r="E31" s="32">
        <v>2300</v>
      </c>
      <c r="F31" s="33">
        <v>0.3</v>
      </c>
      <c r="G31" s="41">
        <f t="shared" si="1"/>
        <v>690</v>
      </c>
      <c r="H31" s="100">
        <f t="shared" si="3"/>
        <v>27.75</v>
      </c>
      <c r="I31" s="101">
        <v>63825</v>
      </c>
      <c r="J31" s="42">
        <v>0.18</v>
      </c>
      <c r="K31" s="101">
        <f t="shared" si="4"/>
        <v>11489</v>
      </c>
      <c r="L31" s="121"/>
    </row>
    <row r="32" spans="1:12" x14ac:dyDescent="0.2">
      <c r="A32" s="12"/>
      <c r="B32" s="98">
        <v>90441600</v>
      </c>
      <c r="C32" s="123" t="s">
        <v>128</v>
      </c>
      <c r="D32" s="99">
        <v>600</v>
      </c>
      <c r="E32" s="32">
        <v>1600</v>
      </c>
      <c r="F32" s="33">
        <v>0.31</v>
      </c>
      <c r="G32" s="41">
        <f t="shared" si="1"/>
        <v>496</v>
      </c>
      <c r="H32" s="100">
        <f t="shared" si="3"/>
        <v>28.675000000000001</v>
      </c>
      <c r="I32" s="101">
        <v>45880</v>
      </c>
      <c r="J32" s="42">
        <v>0.18</v>
      </c>
      <c r="K32" s="101">
        <f t="shared" si="4"/>
        <v>8258</v>
      </c>
      <c r="L32" s="121"/>
    </row>
    <row r="33" spans="1:11" x14ac:dyDescent="0.2">
      <c r="A33" s="12"/>
      <c r="B33" s="98" t="s">
        <v>159</v>
      </c>
      <c r="C33" s="123">
        <v>15</v>
      </c>
      <c r="D33" s="99">
        <v>915</v>
      </c>
      <c r="E33" s="32">
        <v>1000</v>
      </c>
      <c r="F33" s="33">
        <v>0.41</v>
      </c>
      <c r="G33" s="41">
        <f t="shared" si="1"/>
        <v>410</v>
      </c>
      <c r="H33" s="100">
        <f t="shared" si="3"/>
        <v>37.924999999999997</v>
      </c>
      <c r="I33" s="101">
        <v>37925</v>
      </c>
      <c r="J33" s="42">
        <v>0.18</v>
      </c>
      <c r="K33" s="101">
        <f t="shared" si="4"/>
        <v>6827</v>
      </c>
    </row>
    <row r="34" spans="1:11" x14ac:dyDescent="0.2">
      <c r="A34" s="12"/>
      <c r="B34" s="98">
        <v>90441800</v>
      </c>
      <c r="C34" s="123" t="s">
        <v>128</v>
      </c>
      <c r="D34" s="99">
        <v>900</v>
      </c>
      <c r="E34" s="32">
        <v>700</v>
      </c>
      <c r="F34" s="33">
        <v>0.44</v>
      </c>
      <c r="G34" s="41">
        <f t="shared" si="1"/>
        <v>308</v>
      </c>
      <c r="H34" s="100">
        <f t="shared" si="3"/>
        <v>40.700000000000003</v>
      </c>
      <c r="I34" s="101">
        <v>28490</v>
      </c>
      <c r="J34" s="42">
        <v>0.18</v>
      </c>
      <c r="K34" s="101">
        <f t="shared" si="4"/>
        <v>5128</v>
      </c>
    </row>
    <row r="35" spans="1:11" x14ac:dyDescent="0.2">
      <c r="A35" s="12"/>
      <c r="B35" s="98" t="s">
        <v>133</v>
      </c>
      <c r="C35" s="123">
        <v>15</v>
      </c>
      <c r="D35" s="99">
        <v>1220</v>
      </c>
      <c r="E35" s="32">
        <v>50</v>
      </c>
      <c r="F35" s="33">
        <v>0.53</v>
      </c>
      <c r="G35" s="41">
        <f t="shared" si="1"/>
        <v>26.5</v>
      </c>
      <c r="H35" s="100">
        <f t="shared" si="3"/>
        <v>49.024999999999999</v>
      </c>
      <c r="I35" s="101">
        <v>2451.25</v>
      </c>
      <c r="J35" s="42">
        <v>0.18</v>
      </c>
      <c r="K35" s="101">
        <f t="shared" si="4"/>
        <v>441</v>
      </c>
    </row>
    <row r="36" spans="1:11" x14ac:dyDescent="0.2">
      <c r="A36" s="12"/>
      <c r="B36" s="98" t="s">
        <v>160</v>
      </c>
      <c r="C36" s="123">
        <v>20</v>
      </c>
      <c r="D36" s="99">
        <v>100</v>
      </c>
      <c r="E36" s="32">
        <v>500</v>
      </c>
      <c r="F36" s="33">
        <v>0.13</v>
      </c>
      <c r="G36" s="41">
        <f t="shared" si="1"/>
        <v>65</v>
      </c>
      <c r="H36" s="100">
        <f t="shared" si="3"/>
        <v>12.025</v>
      </c>
      <c r="I36" s="101">
        <v>6012.5</v>
      </c>
      <c r="J36" s="42">
        <v>0.18</v>
      </c>
      <c r="K36" s="101">
        <f t="shared" si="4"/>
        <v>1082</v>
      </c>
    </row>
    <row r="37" spans="1:11" x14ac:dyDescent="0.2">
      <c r="A37" s="12"/>
      <c r="B37" s="98">
        <v>90447000</v>
      </c>
      <c r="C37" s="123" t="s">
        <v>107</v>
      </c>
      <c r="D37" s="99">
        <v>240</v>
      </c>
      <c r="E37" s="32">
        <v>4000</v>
      </c>
      <c r="F37" s="33">
        <v>0.22</v>
      </c>
      <c r="G37" s="41">
        <f t="shared" si="1"/>
        <v>880</v>
      </c>
      <c r="H37" s="100">
        <f t="shared" ref="H37:H45" si="5">I37/E37</f>
        <v>20.350000000000001</v>
      </c>
      <c r="I37" s="101">
        <v>81400</v>
      </c>
      <c r="J37" s="42">
        <v>0.18</v>
      </c>
      <c r="K37" s="101">
        <f t="shared" ref="K37:K45" si="6">ROUND(I37*J37,)</f>
        <v>14652</v>
      </c>
    </row>
    <row r="38" spans="1:11" x14ac:dyDescent="0.2">
      <c r="A38" s="12"/>
      <c r="B38" s="98" t="s">
        <v>161</v>
      </c>
      <c r="C38" s="123">
        <v>20</v>
      </c>
      <c r="D38" s="99">
        <v>457</v>
      </c>
      <c r="E38" s="32">
        <v>400</v>
      </c>
      <c r="F38" s="33">
        <v>0.35</v>
      </c>
      <c r="G38" s="41">
        <f t="shared" si="1"/>
        <v>140</v>
      </c>
      <c r="H38" s="100">
        <f t="shared" ref="H38:H42" si="7">I38/E38</f>
        <v>32.375</v>
      </c>
      <c r="I38" s="101">
        <v>12950</v>
      </c>
      <c r="J38" s="42">
        <v>0.18</v>
      </c>
      <c r="K38" s="101">
        <f t="shared" ref="K38:K42" si="8">ROUND(I38*J38,)</f>
        <v>2331</v>
      </c>
    </row>
    <row r="39" spans="1:11" x14ac:dyDescent="0.2">
      <c r="A39" s="12"/>
      <c r="B39" s="98">
        <v>90442400</v>
      </c>
      <c r="C39" s="123" t="s">
        <v>107</v>
      </c>
      <c r="D39" s="99">
        <v>450</v>
      </c>
      <c r="E39" s="32">
        <v>1600</v>
      </c>
      <c r="F39" s="33">
        <v>0.36</v>
      </c>
      <c r="G39" s="41">
        <f t="shared" si="1"/>
        <v>576</v>
      </c>
      <c r="H39" s="100">
        <f t="shared" si="7"/>
        <v>33.299999999999997</v>
      </c>
      <c r="I39" s="101">
        <v>53280</v>
      </c>
      <c r="J39" s="42">
        <v>0.18</v>
      </c>
      <c r="K39" s="101">
        <f t="shared" si="8"/>
        <v>9590</v>
      </c>
    </row>
    <row r="40" spans="1:11" x14ac:dyDescent="0.2">
      <c r="A40" s="12"/>
      <c r="B40" s="98" t="s">
        <v>134</v>
      </c>
      <c r="C40" s="123">
        <v>20</v>
      </c>
      <c r="D40" s="99">
        <v>610</v>
      </c>
      <c r="E40" s="32">
        <v>1000</v>
      </c>
      <c r="F40" s="33">
        <v>0.45</v>
      </c>
      <c r="G40" s="41">
        <f t="shared" si="1"/>
        <v>450</v>
      </c>
      <c r="H40" s="100">
        <f t="shared" si="7"/>
        <v>41.625</v>
      </c>
      <c r="I40" s="101">
        <v>41625</v>
      </c>
      <c r="J40" s="42">
        <v>0.18</v>
      </c>
      <c r="K40" s="101">
        <f t="shared" si="8"/>
        <v>7493</v>
      </c>
    </row>
    <row r="41" spans="1:11" x14ac:dyDescent="0.2">
      <c r="A41" s="12"/>
      <c r="B41" s="98">
        <v>90442700</v>
      </c>
      <c r="C41" s="123" t="s">
        <v>107</v>
      </c>
      <c r="D41" s="99">
        <v>750</v>
      </c>
      <c r="E41" s="32">
        <v>500</v>
      </c>
      <c r="F41" s="33">
        <v>0.56000000000000005</v>
      </c>
      <c r="G41" s="41">
        <f t="shared" si="1"/>
        <v>280</v>
      </c>
      <c r="H41" s="100">
        <f t="shared" si="7"/>
        <v>51.8</v>
      </c>
      <c r="I41" s="101">
        <v>25900</v>
      </c>
      <c r="J41" s="42">
        <v>0.18</v>
      </c>
      <c r="K41" s="101">
        <f t="shared" si="8"/>
        <v>4662</v>
      </c>
    </row>
    <row r="42" spans="1:11" x14ac:dyDescent="0.2">
      <c r="A42" s="12"/>
      <c r="B42" s="98" t="s">
        <v>162</v>
      </c>
      <c r="C42" s="123">
        <v>25</v>
      </c>
      <c r="D42" s="99">
        <v>200</v>
      </c>
      <c r="E42" s="32">
        <v>600</v>
      </c>
      <c r="F42" s="33">
        <v>0.24</v>
      </c>
      <c r="G42" s="41">
        <f t="shared" si="1"/>
        <v>144</v>
      </c>
      <c r="H42" s="100">
        <f t="shared" si="7"/>
        <v>22.2</v>
      </c>
      <c r="I42" s="101">
        <v>13320</v>
      </c>
      <c r="J42" s="42">
        <v>0.18</v>
      </c>
      <c r="K42" s="101">
        <f t="shared" si="8"/>
        <v>2398</v>
      </c>
    </row>
    <row r="43" spans="1:11" x14ac:dyDescent="0.2">
      <c r="A43" s="73"/>
      <c r="B43" s="98">
        <v>90448000</v>
      </c>
      <c r="C43" s="123" t="s">
        <v>76</v>
      </c>
      <c r="D43" s="99">
        <v>270</v>
      </c>
      <c r="E43" s="32">
        <v>500</v>
      </c>
      <c r="F43" s="33">
        <v>0.35</v>
      </c>
      <c r="G43" s="41">
        <f t="shared" si="1"/>
        <v>175</v>
      </c>
      <c r="H43" s="100">
        <f t="shared" si="5"/>
        <v>32.375</v>
      </c>
      <c r="I43" s="101">
        <v>16187.5</v>
      </c>
      <c r="J43" s="42">
        <v>0.18</v>
      </c>
      <c r="K43" s="101">
        <f t="shared" si="6"/>
        <v>2914</v>
      </c>
    </row>
    <row r="44" spans="1:11" x14ac:dyDescent="0.2">
      <c r="A44" s="12"/>
      <c r="B44" s="98" t="s">
        <v>129</v>
      </c>
      <c r="C44" s="123">
        <v>25</v>
      </c>
      <c r="D44" s="99">
        <v>375</v>
      </c>
      <c r="E44" s="32">
        <v>1000</v>
      </c>
      <c r="F44" s="33">
        <v>0.39</v>
      </c>
      <c r="G44" s="41">
        <f t="shared" si="1"/>
        <v>390</v>
      </c>
      <c r="H44" s="100">
        <f t="shared" si="5"/>
        <v>36.075000000000003</v>
      </c>
      <c r="I44" s="101">
        <v>36075</v>
      </c>
      <c r="J44" s="42">
        <v>0.18</v>
      </c>
      <c r="K44" s="101">
        <f t="shared" si="6"/>
        <v>6494</v>
      </c>
    </row>
    <row r="45" spans="1:11" x14ac:dyDescent="0.2">
      <c r="A45" s="12"/>
      <c r="B45" s="98" t="s">
        <v>124</v>
      </c>
      <c r="C45" s="123">
        <v>25</v>
      </c>
      <c r="D45" s="99">
        <v>457</v>
      </c>
      <c r="E45" s="32">
        <v>2300</v>
      </c>
      <c r="F45" s="33">
        <v>0.45</v>
      </c>
      <c r="G45" s="41">
        <f t="shared" si="1"/>
        <v>1035</v>
      </c>
      <c r="H45" s="100">
        <f t="shared" si="5"/>
        <v>41.625</v>
      </c>
      <c r="I45" s="101">
        <v>95737.5</v>
      </c>
      <c r="J45" s="42">
        <v>0.18</v>
      </c>
      <c r="K45" s="101">
        <f t="shared" si="6"/>
        <v>17233</v>
      </c>
    </row>
    <row r="46" spans="1:11" x14ac:dyDescent="0.2">
      <c r="A46" s="12"/>
      <c r="B46" s="98">
        <v>90443400</v>
      </c>
      <c r="C46" s="123" t="s">
        <v>76</v>
      </c>
      <c r="D46" s="99">
        <v>450</v>
      </c>
      <c r="E46" s="32">
        <v>800</v>
      </c>
      <c r="F46" s="33">
        <v>0.46</v>
      </c>
      <c r="G46" s="41">
        <f t="shared" si="1"/>
        <v>368</v>
      </c>
      <c r="H46" s="100">
        <f t="shared" ref="H46:H50" si="9">I46/E46</f>
        <v>42.55</v>
      </c>
      <c r="I46" s="101">
        <v>34040</v>
      </c>
      <c r="J46" s="42">
        <v>0.18</v>
      </c>
      <c r="K46" s="101">
        <f t="shared" ref="K46:K50" si="10">ROUND(I46*J46,)</f>
        <v>6127</v>
      </c>
    </row>
    <row r="47" spans="1:11" x14ac:dyDescent="0.2">
      <c r="A47" s="12"/>
      <c r="B47" s="98" t="s">
        <v>163</v>
      </c>
      <c r="C47" s="123">
        <v>25</v>
      </c>
      <c r="D47" s="99">
        <v>610</v>
      </c>
      <c r="E47" s="32">
        <v>400</v>
      </c>
      <c r="F47" s="33">
        <v>0.57999999999999996</v>
      </c>
      <c r="G47" s="41">
        <f t="shared" si="1"/>
        <v>231.99999999999997</v>
      </c>
      <c r="H47" s="100">
        <f t="shared" si="9"/>
        <v>53.649999999999991</v>
      </c>
      <c r="I47" s="101">
        <v>21459.999999999996</v>
      </c>
      <c r="J47" s="42">
        <v>0.18</v>
      </c>
      <c r="K47" s="101">
        <f t="shared" si="10"/>
        <v>3863</v>
      </c>
    </row>
    <row r="48" spans="1:11" x14ac:dyDescent="0.2">
      <c r="A48" s="12"/>
      <c r="B48" s="98">
        <v>90443600</v>
      </c>
      <c r="C48" s="123" t="s">
        <v>76</v>
      </c>
      <c r="D48" s="99">
        <v>600</v>
      </c>
      <c r="E48" s="32">
        <v>500</v>
      </c>
      <c r="F48" s="33">
        <v>0.6</v>
      </c>
      <c r="G48" s="41">
        <f t="shared" si="1"/>
        <v>300</v>
      </c>
      <c r="H48" s="100">
        <f t="shared" si="9"/>
        <v>55.5</v>
      </c>
      <c r="I48" s="101">
        <v>27750</v>
      </c>
      <c r="J48" s="42">
        <v>0.18</v>
      </c>
      <c r="K48" s="101">
        <f t="shared" si="10"/>
        <v>4995</v>
      </c>
    </row>
    <row r="49" spans="1:11" x14ac:dyDescent="0.2">
      <c r="A49" s="11"/>
      <c r="B49" s="98">
        <v>90443700</v>
      </c>
      <c r="C49" s="123" t="s">
        <v>76</v>
      </c>
      <c r="D49" s="99">
        <v>750</v>
      </c>
      <c r="E49" s="32">
        <v>500</v>
      </c>
      <c r="F49" s="33">
        <v>0.72</v>
      </c>
      <c r="G49" s="41">
        <f t="shared" si="1"/>
        <v>360</v>
      </c>
      <c r="H49" s="100">
        <f t="shared" si="9"/>
        <v>66.599999999999994</v>
      </c>
      <c r="I49" s="101">
        <v>33300</v>
      </c>
      <c r="J49" s="42">
        <v>0.18</v>
      </c>
      <c r="K49" s="101">
        <f t="shared" si="10"/>
        <v>5994</v>
      </c>
    </row>
    <row r="50" spans="1:11" x14ac:dyDescent="0.2">
      <c r="A50" s="12"/>
      <c r="B50" s="98">
        <v>90443900</v>
      </c>
      <c r="C50" s="123" t="s">
        <v>76</v>
      </c>
      <c r="D50" s="99">
        <v>1800</v>
      </c>
      <c r="E50" s="32">
        <v>200</v>
      </c>
      <c r="F50" s="33">
        <v>1.66</v>
      </c>
      <c r="G50" s="41">
        <f t="shared" si="1"/>
        <v>332</v>
      </c>
      <c r="H50" s="100">
        <f t="shared" si="9"/>
        <v>153.55000000000001</v>
      </c>
      <c r="I50" s="101">
        <v>30710</v>
      </c>
      <c r="J50" s="42">
        <v>0.18</v>
      </c>
      <c r="K50" s="101">
        <f t="shared" si="10"/>
        <v>5528</v>
      </c>
    </row>
    <row r="51" spans="1:11" x14ac:dyDescent="0.2">
      <c r="A51" s="12"/>
      <c r="B51" s="98" t="s">
        <v>164</v>
      </c>
      <c r="C51" s="123">
        <v>32</v>
      </c>
      <c r="D51" s="99">
        <v>150</v>
      </c>
      <c r="E51" s="32">
        <v>600</v>
      </c>
      <c r="F51" s="33">
        <v>0.28000000000000003</v>
      </c>
      <c r="G51" s="41">
        <f t="shared" si="1"/>
        <v>168.00000000000003</v>
      </c>
      <c r="H51" s="100">
        <f t="shared" ref="H51:H56" si="11">I51/E51</f>
        <v>25.900000000000002</v>
      </c>
      <c r="I51" s="101">
        <v>15540.000000000002</v>
      </c>
      <c r="J51" s="42">
        <v>0.18</v>
      </c>
      <c r="K51" s="101">
        <f t="shared" ref="K51:K56" si="12">ROUND(I51*J51,)</f>
        <v>2797</v>
      </c>
    </row>
    <row r="52" spans="1:11" x14ac:dyDescent="0.2">
      <c r="A52" s="45"/>
      <c r="B52" s="98">
        <v>90446200</v>
      </c>
      <c r="C52" s="123" t="s">
        <v>171</v>
      </c>
      <c r="D52" s="99">
        <v>150</v>
      </c>
      <c r="E52" s="32">
        <v>300</v>
      </c>
      <c r="F52" s="33">
        <v>0.28999999999999998</v>
      </c>
      <c r="G52" s="41">
        <f t="shared" si="1"/>
        <v>87</v>
      </c>
      <c r="H52" s="100">
        <f t="shared" si="11"/>
        <v>26.824999999999999</v>
      </c>
      <c r="I52" s="101">
        <v>8047.5</v>
      </c>
      <c r="J52" s="42">
        <v>0.18</v>
      </c>
      <c r="K52" s="101">
        <f t="shared" si="12"/>
        <v>1449</v>
      </c>
    </row>
    <row r="53" spans="1:11" x14ac:dyDescent="0.2">
      <c r="A53" s="46"/>
      <c r="B53" s="98" t="s">
        <v>165</v>
      </c>
      <c r="C53" s="123">
        <v>32</v>
      </c>
      <c r="D53" s="99">
        <v>450</v>
      </c>
      <c r="E53" s="32">
        <v>100</v>
      </c>
      <c r="F53" s="33">
        <v>0.6</v>
      </c>
      <c r="G53" s="41">
        <f t="shared" si="1"/>
        <v>60</v>
      </c>
      <c r="H53" s="100">
        <f t="shared" si="11"/>
        <v>55.5</v>
      </c>
      <c r="I53" s="101">
        <v>5550</v>
      </c>
      <c r="J53" s="42">
        <v>0.18</v>
      </c>
      <c r="K53" s="101">
        <f t="shared" si="12"/>
        <v>999</v>
      </c>
    </row>
    <row r="54" spans="1:11" x14ac:dyDescent="0.2">
      <c r="A54" s="45"/>
      <c r="B54" s="98">
        <v>90446400</v>
      </c>
      <c r="C54" s="123" t="s">
        <v>171</v>
      </c>
      <c r="D54" s="99">
        <v>450</v>
      </c>
      <c r="E54" s="32">
        <v>100</v>
      </c>
      <c r="F54" s="33">
        <v>0.63</v>
      </c>
      <c r="G54" s="41">
        <f t="shared" si="1"/>
        <v>63</v>
      </c>
      <c r="H54" s="100">
        <f t="shared" si="11"/>
        <v>58.274999999999999</v>
      </c>
      <c r="I54" s="101">
        <v>5827.5</v>
      </c>
      <c r="J54" s="42">
        <v>0.18</v>
      </c>
      <c r="K54" s="101">
        <f t="shared" si="12"/>
        <v>1049</v>
      </c>
    </row>
    <row r="55" spans="1:11" x14ac:dyDescent="0.2">
      <c r="A55" s="46"/>
      <c r="B55" s="98">
        <v>90446600</v>
      </c>
      <c r="C55" s="123" t="s">
        <v>171</v>
      </c>
      <c r="D55" s="99">
        <v>600</v>
      </c>
      <c r="E55" s="32">
        <v>200</v>
      </c>
      <c r="F55" s="33">
        <v>0.8</v>
      </c>
      <c r="G55" s="41">
        <f t="shared" si="1"/>
        <v>160</v>
      </c>
      <c r="H55" s="100">
        <f t="shared" si="11"/>
        <v>74</v>
      </c>
      <c r="I55" s="101">
        <v>14800</v>
      </c>
      <c r="J55" s="42">
        <v>0.18</v>
      </c>
      <c r="K55" s="101">
        <f t="shared" si="12"/>
        <v>2664</v>
      </c>
    </row>
    <row r="56" spans="1:11" x14ac:dyDescent="0.2">
      <c r="A56" s="12"/>
      <c r="B56" s="98" t="s">
        <v>166</v>
      </c>
      <c r="C56" s="123">
        <v>32</v>
      </c>
      <c r="D56" s="99">
        <v>750</v>
      </c>
      <c r="E56" s="32">
        <v>60</v>
      </c>
      <c r="F56" s="33">
        <v>0.93</v>
      </c>
      <c r="G56" s="41">
        <f t="shared" si="1"/>
        <v>55.800000000000004</v>
      </c>
      <c r="H56" s="100">
        <f t="shared" si="11"/>
        <v>86.025000000000006</v>
      </c>
      <c r="I56" s="101">
        <v>5161.5</v>
      </c>
      <c r="J56" s="42">
        <v>0.18</v>
      </c>
      <c r="K56" s="101">
        <f t="shared" si="12"/>
        <v>929</v>
      </c>
    </row>
    <row r="57" spans="1:11" x14ac:dyDescent="0.2">
      <c r="A57" s="12"/>
      <c r="B57" s="98">
        <v>90446700</v>
      </c>
      <c r="C57" s="123" t="s">
        <v>171</v>
      </c>
      <c r="D57" s="99">
        <v>900</v>
      </c>
      <c r="E57" s="32">
        <v>100</v>
      </c>
      <c r="F57" s="33">
        <v>1.1499999999999999</v>
      </c>
      <c r="G57" s="41">
        <f t="shared" si="1"/>
        <v>114.99999999999999</v>
      </c>
      <c r="H57" s="102">
        <f t="shared" ref="H57:H71" si="13">I57/E57</f>
        <v>106.37499999999999</v>
      </c>
      <c r="I57" s="177">
        <v>10637.499999999998</v>
      </c>
      <c r="J57" s="35">
        <v>0.18</v>
      </c>
      <c r="K57" s="177">
        <f t="shared" ref="K57:K71" si="14">ROUND(I57*J57,)</f>
        <v>1915</v>
      </c>
    </row>
    <row r="58" spans="1:11" x14ac:dyDescent="0.2">
      <c r="A58" s="12"/>
      <c r="B58" s="98">
        <v>90446800</v>
      </c>
      <c r="C58" s="123" t="s">
        <v>171</v>
      </c>
      <c r="D58" s="99">
        <v>1800</v>
      </c>
      <c r="E58" s="32">
        <v>50</v>
      </c>
      <c r="F58" s="33">
        <v>2.2000000000000002</v>
      </c>
      <c r="G58" s="41">
        <f t="shared" si="1"/>
        <v>110.00000000000001</v>
      </c>
      <c r="H58" s="102">
        <f t="shared" si="13"/>
        <v>203.50000000000003</v>
      </c>
      <c r="I58" s="177">
        <v>10175.000000000002</v>
      </c>
      <c r="J58" s="35">
        <v>0.18</v>
      </c>
      <c r="K58" s="177">
        <f t="shared" si="14"/>
        <v>1832</v>
      </c>
    </row>
    <row r="59" spans="1:11" x14ac:dyDescent="0.2">
      <c r="A59" s="12"/>
      <c r="B59" s="98">
        <v>90447200</v>
      </c>
      <c r="C59" s="123" t="s">
        <v>172</v>
      </c>
      <c r="D59" s="99">
        <v>150</v>
      </c>
      <c r="E59" s="32">
        <v>300</v>
      </c>
      <c r="F59" s="33">
        <v>0.34</v>
      </c>
      <c r="G59" s="41">
        <f t="shared" si="1"/>
        <v>102.00000000000001</v>
      </c>
      <c r="H59" s="102">
        <f t="shared" si="13"/>
        <v>31.450000000000006</v>
      </c>
      <c r="I59" s="177">
        <v>9435.0000000000018</v>
      </c>
      <c r="J59" s="35">
        <v>0.18</v>
      </c>
      <c r="K59" s="177">
        <f t="shared" si="14"/>
        <v>1698</v>
      </c>
    </row>
    <row r="60" spans="1:11" x14ac:dyDescent="0.2">
      <c r="A60" s="12"/>
      <c r="B60" s="98" t="s">
        <v>167</v>
      </c>
      <c r="C60" s="123">
        <v>40</v>
      </c>
      <c r="D60" s="99">
        <v>200</v>
      </c>
      <c r="E60" s="32">
        <v>150</v>
      </c>
      <c r="F60" s="33">
        <v>0.44</v>
      </c>
      <c r="G60" s="41">
        <f t="shared" si="1"/>
        <v>66</v>
      </c>
      <c r="H60" s="102">
        <f t="shared" si="13"/>
        <v>40.700000000000003</v>
      </c>
      <c r="I60" s="177">
        <v>6105</v>
      </c>
      <c r="J60" s="35">
        <v>0.18</v>
      </c>
      <c r="K60" s="177">
        <f t="shared" si="14"/>
        <v>1099</v>
      </c>
    </row>
    <row r="61" spans="1:11" x14ac:dyDescent="0.2">
      <c r="A61" s="11"/>
      <c r="B61" s="98" t="s">
        <v>168</v>
      </c>
      <c r="C61" s="123">
        <v>40</v>
      </c>
      <c r="D61" s="99">
        <v>450</v>
      </c>
      <c r="E61" s="32">
        <v>100</v>
      </c>
      <c r="F61" s="33">
        <v>0.81</v>
      </c>
      <c r="G61" s="41">
        <f t="shared" si="1"/>
        <v>81</v>
      </c>
      <c r="H61" s="102">
        <f t="shared" si="13"/>
        <v>74.924999999999997</v>
      </c>
      <c r="I61" s="177">
        <v>7492.5</v>
      </c>
      <c r="J61" s="35">
        <v>0.18</v>
      </c>
      <c r="K61" s="177">
        <f t="shared" si="14"/>
        <v>1349</v>
      </c>
    </row>
    <row r="62" spans="1:11" x14ac:dyDescent="0.2">
      <c r="A62" s="11"/>
      <c r="B62" s="98">
        <v>90447400</v>
      </c>
      <c r="C62" s="123" t="s">
        <v>172</v>
      </c>
      <c r="D62" s="99">
        <v>450</v>
      </c>
      <c r="E62" s="32">
        <v>200</v>
      </c>
      <c r="F62" s="33">
        <v>0.86</v>
      </c>
      <c r="G62" s="41">
        <f t="shared" si="1"/>
        <v>172</v>
      </c>
      <c r="H62" s="102">
        <f t="shared" si="13"/>
        <v>79.55</v>
      </c>
      <c r="I62" s="177">
        <v>15910</v>
      </c>
      <c r="J62" s="35">
        <v>0.18</v>
      </c>
      <c r="K62" s="177">
        <f t="shared" si="14"/>
        <v>2864</v>
      </c>
    </row>
    <row r="63" spans="1:11" x14ac:dyDescent="0.2">
      <c r="A63" s="11"/>
      <c r="B63" s="98" t="s">
        <v>169</v>
      </c>
      <c r="C63" s="123">
        <v>50</v>
      </c>
      <c r="D63" s="99">
        <v>150</v>
      </c>
      <c r="E63" s="32">
        <v>150</v>
      </c>
      <c r="F63" s="33">
        <v>0.41</v>
      </c>
      <c r="G63" s="41">
        <f t="shared" si="1"/>
        <v>61.499999999999993</v>
      </c>
      <c r="H63" s="100">
        <f t="shared" si="13"/>
        <v>37.924999999999997</v>
      </c>
      <c r="I63" s="101">
        <v>5688.7499999999991</v>
      </c>
      <c r="J63" s="42">
        <v>0.18</v>
      </c>
      <c r="K63" s="101">
        <f t="shared" si="14"/>
        <v>1024</v>
      </c>
    </row>
    <row r="64" spans="1:11" x14ac:dyDescent="0.2">
      <c r="A64" s="12"/>
      <c r="B64" s="98">
        <v>90448200</v>
      </c>
      <c r="C64" s="123" t="s">
        <v>125</v>
      </c>
      <c r="D64" s="99">
        <v>150</v>
      </c>
      <c r="E64" s="32">
        <v>150</v>
      </c>
      <c r="F64" s="33">
        <v>0.42</v>
      </c>
      <c r="G64" s="41">
        <f t="shared" si="1"/>
        <v>63</v>
      </c>
      <c r="H64" s="100">
        <f t="shared" si="13"/>
        <v>38.85</v>
      </c>
      <c r="I64" s="101">
        <v>5827.5</v>
      </c>
      <c r="J64" s="42">
        <v>0.18</v>
      </c>
      <c r="K64" s="101">
        <f t="shared" si="14"/>
        <v>1049</v>
      </c>
    </row>
    <row r="65" spans="1:11" x14ac:dyDescent="0.2">
      <c r="A65" s="45"/>
      <c r="B65" s="98">
        <v>90448300</v>
      </c>
      <c r="C65" s="123" t="s">
        <v>125</v>
      </c>
      <c r="D65" s="99">
        <v>300</v>
      </c>
      <c r="E65" s="32">
        <v>75</v>
      </c>
      <c r="F65" s="33">
        <v>0.75</v>
      </c>
      <c r="G65" s="41">
        <f t="shared" si="1"/>
        <v>56.25</v>
      </c>
      <c r="H65" s="100">
        <f t="shared" si="13"/>
        <v>69.375</v>
      </c>
      <c r="I65" s="101">
        <v>5203.125</v>
      </c>
      <c r="J65" s="42">
        <v>0.18</v>
      </c>
      <c r="K65" s="101">
        <f t="shared" si="14"/>
        <v>937</v>
      </c>
    </row>
    <row r="66" spans="1:11" x14ac:dyDescent="0.2">
      <c r="A66" s="45"/>
      <c r="B66" s="98" t="s">
        <v>170</v>
      </c>
      <c r="C66" s="123">
        <v>50</v>
      </c>
      <c r="D66" s="99">
        <v>450</v>
      </c>
      <c r="E66" s="32">
        <v>100</v>
      </c>
      <c r="F66" s="33">
        <v>1.02</v>
      </c>
      <c r="G66" s="41">
        <f t="shared" si="1"/>
        <v>102</v>
      </c>
      <c r="H66" s="100">
        <f t="shared" si="13"/>
        <v>94.35</v>
      </c>
      <c r="I66" s="101">
        <v>9435</v>
      </c>
      <c r="J66" s="42">
        <v>0.18</v>
      </c>
      <c r="K66" s="101">
        <f t="shared" si="14"/>
        <v>1698</v>
      </c>
    </row>
    <row r="67" spans="1:11" x14ac:dyDescent="0.2">
      <c r="A67" s="46"/>
      <c r="B67" s="98">
        <v>90448400</v>
      </c>
      <c r="C67" s="123" t="s">
        <v>125</v>
      </c>
      <c r="D67" s="99">
        <v>450</v>
      </c>
      <c r="E67" s="32">
        <v>100</v>
      </c>
      <c r="F67" s="33">
        <v>1.07</v>
      </c>
      <c r="G67" s="41">
        <f t="shared" si="1"/>
        <v>107</v>
      </c>
      <c r="H67" s="102">
        <f t="shared" si="13"/>
        <v>98.974999999999994</v>
      </c>
      <c r="I67" s="177">
        <v>9897.5</v>
      </c>
      <c r="J67" s="35">
        <v>0.18</v>
      </c>
      <c r="K67" s="177">
        <f t="shared" si="14"/>
        <v>1782</v>
      </c>
    </row>
    <row r="68" spans="1:11" x14ac:dyDescent="0.2">
      <c r="A68" s="12"/>
      <c r="B68" s="98">
        <v>90448800</v>
      </c>
      <c r="C68" s="123" t="s">
        <v>125</v>
      </c>
      <c r="D68" s="99">
        <v>1200</v>
      </c>
      <c r="E68" s="32">
        <v>50</v>
      </c>
      <c r="F68" s="33">
        <v>2.69</v>
      </c>
      <c r="G68" s="41">
        <f t="shared" si="1"/>
        <v>134.5</v>
      </c>
      <c r="H68" s="102">
        <f t="shared" si="13"/>
        <v>248.82499999999999</v>
      </c>
      <c r="I68" s="177">
        <v>12441.25</v>
      </c>
      <c r="J68" s="35">
        <v>0.18</v>
      </c>
      <c r="K68" s="177">
        <f t="shared" si="14"/>
        <v>2239</v>
      </c>
    </row>
    <row r="69" spans="1:11" x14ac:dyDescent="0.2">
      <c r="A69" s="12"/>
      <c r="B69" s="98">
        <v>90448820</v>
      </c>
      <c r="C69" s="123" t="s">
        <v>125</v>
      </c>
      <c r="D69" s="99">
        <v>1800</v>
      </c>
      <c r="E69" s="32">
        <v>60</v>
      </c>
      <c r="F69" s="33">
        <v>4.0199999999999996</v>
      </c>
      <c r="G69" s="41">
        <f t="shared" si="1"/>
        <v>241.2</v>
      </c>
      <c r="H69" s="221">
        <f t="shared" si="13"/>
        <v>371.85</v>
      </c>
      <c r="I69" s="222">
        <v>22311</v>
      </c>
      <c r="J69" s="223">
        <v>0.18</v>
      </c>
      <c r="K69" s="222">
        <f t="shared" si="14"/>
        <v>4016</v>
      </c>
    </row>
    <row r="70" spans="1:11" x14ac:dyDescent="0.2">
      <c r="A70" s="11"/>
      <c r="B70" s="279" t="s">
        <v>114</v>
      </c>
      <c r="C70" s="280"/>
      <c r="D70" s="280"/>
      <c r="E70" s="280"/>
      <c r="F70" s="280"/>
      <c r="G70" s="280"/>
      <c r="H70" s="224"/>
      <c r="I70" s="225"/>
      <c r="J70" s="226"/>
      <c r="K70" s="227"/>
    </row>
    <row r="71" spans="1:11" x14ac:dyDescent="0.2">
      <c r="A71" s="12"/>
      <c r="B71" s="98" t="s">
        <v>173</v>
      </c>
      <c r="C71" s="123">
        <v>25</v>
      </c>
      <c r="D71" s="99">
        <v>600</v>
      </c>
      <c r="E71" s="32">
        <v>100</v>
      </c>
      <c r="F71" s="33">
        <v>0.6</v>
      </c>
      <c r="G71" s="41">
        <f t="shared" ref="G71:G74" si="15">E71*F71</f>
        <v>60</v>
      </c>
      <c r="H71" s="100">
        <f t="shared" si="13"/>
        <v>55.5</v>
      </c>
      <c r="I71" s="101">
        <v>5550</v>
      </c>
      <c r="J71" s="42">
        <v>0.18</v>
      </c>
      <c r="K71" s="101">
        <f t="shared" si="14"/>
        <v>999</v>
      </c>
    </row>
    <row r="72" spans="1:11" x14ac:dyDescent="0.2">
      <c r="A72" s="12"/>
      <c r="B72" s="98">
        <v>90445600</v>
      </c>
      <c r="C72" s="123" t="s">
        <v>76</v>
      </c>
      <c r="D72" s="99">
        <v>600</v>
      </c>
      <c r="E72" s="32">
        <v>500</v>
      </c>
      <c r="F72" s="33">
        <v>0.63</v>
      </c>
      <c r="G72" s="41">
        <f t="shared" si="15"/>
        <v>315</v>
      </c>
      <c r="H72" s="190">
        <f t="shared" ref="H72:H73" si="16">I72/E72</f>
        <v>58.274999999999999</v>
      </c>
      <c r="I72" s="191">
        <v>29137.5</v>
      </c>
      <c r="J72" s="192">
        <v>0.18</v>
      </c>
      <c r="K72" s="191">
        <f t="shared" ref="K72:K73" si="17">ROUND(I72*J72,)</f>
        <v>5245</v>
      </c>
    </row>
    <row r="73" spans="1:11" x14ac:dyDescent="0.2">
      <c r="A73" s="11"/>
      <c r="B73" s="98">
        <v>90445700</v>
      </c>
      <c r="C73" s="123" t="s">
        <v>76</v>
      </c>
      <c r="D73" s="99">
        <v>750</v>
      </c>
      <c r="E73" s="32">
        <v>200</v>
      </c>
      <c r="F73" s="33">
        <v>0.77</v>
      </c>
      <c r="G73" s="41">
        <f t="shared" si="15"/>
        <v>154</v>
      </c>
      <c r="H73" s="102">
        <f t="shared" si="16"/>
        <v>71.224999999999994</v>
      </c>
      <c r="I73" s="176">
        <v>14245</v>
      </c>
      <c r="J73" s="35">
        <v>0.18</v>
      </c>
      <c r="K73" s="176">
        <f t="shared" si="17"/>
        <v>2564</v>
      </c>
    </row>
    <row r="74" spans="1:11" x14ac:dyDescent="0.2">
      <c r="A74" s="12"/>
      <c r="B74" s="39" t="s">
        <v>174</v>
      </c>
      <c r="C74" s="32">
        <v>25</v>
      </c>
      <c r="D74" s="206">
        <v>900</v>
      </c>
      <c r="E74" s="32">
        <v>200</v>
      </c>
      <c r="F74" s="33">
        <v>0.86</v>
      </c>
      <c r="G74" s="34">
        <f t="shared" si="15"/>
        <v>172</v>
      </c>
      <c r="H74" s="190">
        <f t="shared" ref="H74" si="18">I74/E74</f>
        <v>79.55</v>
      </c>
      <c r="I74" s="196">
        <v>15910</v>
      </c>
      <c r="J74" s="192">
        <v>0.18</v>
      </c>
      <c r="K74" s="196">
        <f t="shared" ref="K74" si="19">ROUND(I74*J74,)</f>
        <v>2864</v>
      </c>
    </row>
    <row r="75" spans="1:11" x14ac:dyDescent="0.2">
      <c r="A75" s="11"/>
      <c r="B75" s="207">
        <v>90445800</v>
      </c>
      <c r="C75" s="208" t="s">
        <v>76</v>
      </c>
      <c r="D75" s="209">
        <v>900</v>
      </c>
      <c r="E75" s="94">
        <v>200</v>
      </c>
      <c r="F75" s="51">
        <v>0.89</v>
      </c>
      <c r="G75" s="38">
        <f t="shared" ref="G75" si="20">E75*F75</f>
        <v>178</v>
      </c>
      <c r="H75" s="210">
        <f t="shared" ref="H75" si="21">I75/E75</f>
        <v>82.325000000000003</v>
      </c>
      <c r="I75" s="211">
        <v>16465</v>
      </c>
      <c r="J75" s="37">
        <v>0.18</v>
      </c>
      <c r="K75" s="211">
        <f t="shared" ref="K75" si="22">ROUND(I75*J75,)</f>
        <v>2964</v>
      </c>
    </row>
    <row r="76" spans="1:11" x14ac:dyDescent="0.2">
      <c r="A76" s="11"/>
      <c r="B76" s="253" t="s">
        <v>105</v>
      </c>
      <c r="C76" s="254"/>
      <c r="D76" s="254"/>
      <c r="E76" s="254"/>
      <c r="F76" s="254"/>
      <c r="G76" s="255"/>
      <c r="H76" s="140"/>
      <c r="I76" s="200"/>
      <c r="J76" s="92"/>
      <c r="K76" s="141"/>
    </row>
    <row r="77" spans="1:11" x14ac:dyDescent="0.2">
      <c r="A77" s="11"/>
      <c r="B77" s="117" t="s">
        <v>72</v>
      </c>
      <c r="C77" s="228" t="s">
        <v>101</v>
      </c>
      <c r="D77" s="118"/>
      <c r="E77" s="83" t="s">
        <v>73</v>
      </c>
      <c r="F77" s="95" t="s">
        <v>117</v>
      </c>
      <c r="G77" s="38"/>
      <c r="H77" s="44"/>
      <c r="I77" s="201"/>
      <c r="J77" s="37"/>
      <c r="K77" s="36"/>
    </row>
    <row r="78" spans="1:11" x14ac:dyDescent="0.2">
      <c r="A78" s="11"/>
      <c r="B78" s="98" t="s">
        <v>135</v>
      </c>
      <c r="C78" s="230">
        <v>15</v>
      </c>
      <c r="D78" s="99"/>
      <c r="E78" s="32">
        <v>300</v>
      </c>
      <c r="F78" s="33">
        <v>14.4</v>
      </c>
      <c r="G78" s="41">
        <f t="shared" ref="G78:G79" si="23">E78*F78/100</f>
        <v>43.2</v>
      </c>
      <c r="H78" s="100">
        <f t="shared" ref="H78:H79" si="24">I78/E78</f>
        <v>13.320000000000002</v>
      </c>
      <c r="I78" s="188">
        <v>3996.0000000000005</v>
      </c>
      <c r="J78" s="42">
        <v>0.18</v>
      </c>
      <c r="K78" s="101">
        <f t="shared" ref="K78:K79" si="25">ROUND(I78*J78,)</f>
        <v>719</v>
      </c>
    </row>
    <row r="79" spans="1:11" x14ac:dyDescent="0.2">
      <c r="A79" s="11"/>
      <c r="B79" s="154" t="s">
        <v>136</v>
      </c>
      <c r="C79" s="231">
        <v>15</v>
      </c>
      <c r="D79" s="235"/>
      <c r="E79" s="94">
        <v>4000</v>
      </c>
      <c r="F79" s="51">
        <v>13.8</v>
      </c>
      <c r="G79" s="236">
        <f t="shared" si="23"/>
        <v>552</v>
      </c>
      <c r="H79" s="104">
        <f t="shared" si="24"/>
        <v>12.765000000000001</v>
      </c>
      <c r="I79" s="237">
        <v>51060</v>
      </c>
      <c r="J79" s="52">
        <v>0.18</v>
      </c>
      <c r="K79" s="103">
        <f t="shared" si="25"/>
        <v>9191</v>
      </c>
    </row>
    <row r="80" spans="1:11" x14ac:dyDescent="0.2">
      <c r="A80" s="11"/>
      <c r="B80" s="169"/>
      <c r="C80" s="168"/>
      <c r="D80" s="232"/>
      <c r="E80" s="233"/>
      <c r="F80" s="13"/>
      <c r="G80" s="157"/>
      <c r="H80" s="139"/>
      <c r="I80" s="108"/>
      <c r="J80" s="29"/>
      <c r="K80" s="108"/>
    </row>
    <row r="81" spans="1:11" x14ac:dyDescent="0.2">
      <c r="A81" s="12"/>
      <c r="B81" s="241"/>
      <c r="C81" s="242"/>
      <c r="D81" s="243"/>
      <c r="E81" s="112"/>
      <c r="F81" s="113"/>
      <c r="G81" s="234"/>
      <c r="H81" s="113"/>
      <c r="I81" s="114"/>
      <c r="J81" s="113"/>
      <c r="K81" s="115"/>
    </row>
    <row r="82" spans="1:11" ht="12.75" thickBot="1" x14ac:dyDescent="0.25">
      <c r="A82" s="15"/>
      <c r="B82" s="262" t="s">
        <v>94</v>
      </c>
      <c r="C82" s="263"/>
      <c r="D82" s="264"/>
      <c r="E82" s="83"/>
      <c r="F82" s="16"/>
      <c r="G82" s="18">
        <f>SUM(G28:G81)</f>
        <v>13908.95</v>
      </c>
      <c r="H82" s="16"/>
      <c r="I82" s="107">
        <f>SUM(I28:I81)</f>
        <v>1286577.875</v>
      </c>
      <c r="J82" s="16"/>
      <c r="K82" s="106">
        <f>SUM(K28:K81)</f>
        <v>231588</v>
      </c>
    </row>
    <row r="83" spans="1:11" ht="13.5" thickTop="1" x14ac:dyDescent="0.2">
      <c r="A83" s="268" t="s">
        <v>90</v>
      </c>
      <c r="B83" s="269"/>
      <c r="C83" s="269"/>
      <c r="D83" s="269"/>
      <c r="E83" s="270"/>
      <c r="F83" s="270"/>
      <c r="G83" s="270"/>
      <c r="H83" s="259" t="s">
        <v>192</v>
      </c>
      <c r="I83" s="260"/>
      <c r="J83" s="260"/>
      <c r="K83" s="261"/>
    </row>
    <row r="84" spans="1:11" ht="12.75" x14ac:dyDescent="0.2">
      <c r="A84" s="256" t="s">
        <v>91</v>
      </c>
      <c r="B84" s="257"/>
      <c r="C84" s="257"/>
      <c r="D84" s="257"/>
      <c r="E84" s="258"/>
      <c r="F84" s="258"/>
      <c r="G84" s="258"/>
      <c r="H84" s="265"/>
      <c r="I84" s="266"/>
      <c r="J84" s="266"/>
      <c r="K84" s="267"/>
    </row>
    <row r="85" spans="1:11" ht="12.75" x14ac:dyDescent="0.2">
      <c r="A85" s="275" t="s">
        <v>18</v>
      </c>
      <c r="B85" s="276"/>
      <c r="C85" s="276"/>
      <c r="D85" s="276"/>
      <c r="E85" s="258"/>
      <c r="F85" s="258"/>
      <c r="G85" s="258"/>
      <c r="H85" s="265"/>
      <c r="I85" s="266"/>
      <c r="J85" s="266"/>
      <c r="K85" s="267"/>
    </row>
    <row r="86" spans="1:11" ht="12.75" x14ac:dyDescent="0.2">
      <c r="A86" s="275" t="s">
        <v>68</v>
      </c>
      <c r="B86" s="276"/>
      <c r="C86" s="276"/>
      <c r="D86" s="276"/>
      <c r="E86" s="276"/>
      <c r="F86" s="276"/>
      <c r="G86" s="276"/>
      <c r="H86" s="265"/>
      <c r="I86" s="266"/>
      <c r="J86" s="266"/>
      <c r="K86" s="267"/>
    </row>
    <row r="87" spans="1:11" ht="12.75" customHeight="1" x14ac:dyDescent="0.2">
      <c r="A87" s="241" t="s">
        <v>106</v>
      </c>
      <c r="B87" s="242"/>
      <c r="C87" s="242"/>
      <c r="D87" s="242"/>
      <c r="E87" s="277"/>
      <c r="F87" s="277"/>
      <c r="G87" s="277"/>
      <c r="H87" s="265"/>
      <c r="I87" s="266"/>
      <c r="J87" s="266"/>
      <c r="K87" s="267"/>
    </row>
    <row r="88" spans="1:11" x14ac:dyDescent="0.2">
      <c r="A88" s="271" t="s">
        <v>79</v>
      </c>
      <c r="B88" s="272"/>
      <c r="C88" s="272"/>
      <c r="D88" s="272"/>
      <c r="E88" s="272"/>
      <c r="F88" s="272"/>
      <c r="G88" s="272"/>
      <c r="H88" s="273" t="s">
        <v>193</v>
      </c>
      <c r="I88" s="273"/>
      <c r="J88" s="273"/>
      <c r="K88" s="274"/>
    </row>
    <row r="89" spans="1:11" x14ac:dyDescent="0.2"/>
    <row r="90" spans="1:11" x14ac:dyDescent="0.2"/>
    <row r="91" spans="1:11" x14ac:dyDescent="0.2"/>
    <row r="92" spans="1:11" x14ac:dyDescent="0.2"/>
    <row r="93" spans="1:11" x14ac:dyDescent="0.2"/>
    <row r="94" spans="1:11" x14ac:dyDescent="0.2"/>
    <row r="95" spans="1:11" x14ac:dyDescent="0.2"/>
    <row r="96" spans="1:11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</sheetData>
  <mergeCells count="80">
    <mergeCell ref="G10:K10"/>
    <mergeCell ref="G11:K11"/>
    <mergeCell ref="A10:E10"/>
    <mergeCell ref="A11:E11"/>
    <mergeCell ref="B14:E14"/>
    <mergeCell ref="A12:E12"/>
    <mergeCell ref="B13:E13"/>
    <mergeCell ref="B1:K1"/>
    <mergeCell ref="A8:B8"/>
    <mergeCell ref="A2:E3"/>
    <mergeCell ref="A4:E4"/>
    <mergeCell ref="A5:E5"/>
    <mergeCell ref="F6:G6"/>
    <mergeCell ref="F7:G7"/>
    <mergeCell ref="G3:J3"/>
    <mergeCell ref="F5:G5"/>
    <mergeCell ref="A6:E6"/>
    <mergeCell ref="A7:E7"/>
    <mergeCell ref="H4:K4"/>
    <mergeCell ref="H5:K5"/>
    <mergeCell ref="H6:K6"/>
    <mergeCell ref="G8:K8"/>
    <mergeCell ref="C8:E8"/>
    <mergeCell ref="G2:J2"/>
    <mergeCell ref="B22:D22"/>
    <mergeCell ref="H19:K19"/>
    <mergeCell ref="G15:K15"/>
    <mergeCell ref="G16:K16"/>
    <mergeCell ref="G17:K17"/>
    <mergeCell ref="B15:E15"/>
    <mergeCell ref="I13:K13"/>
    <mergeCell ref="I14:K14"/>
    <mergeCell ref="F13:H13"/>
    <mergeCell ref="F14:H14"/>
    <mergeCell ref="G9:K9"/>
    <mergeCell ref="H7:K7"/>
    <mergeCell ref="F4:G4"/>
    <mergeCell ref="G12:K12"/>
    <mergeCell ref="A9:E9"/>
    <mergeCell ref="C16:E16"/>
    <mergeCell ref="C18:E18"/>
    <mergeCell ref="C17:E17"/>
    <mergeCell ref="A17:B17"/>
    <mergeCell ref="A16:B16"/>
    <mergeCell ref="H23:I23"/>
    <mergeCell ref="B70:G70"/>
    <mergeCell ref="H20:K20"/>
    <mergeCell ref="H21:K21"/>
    <mergeCell ref="F18:G18"/>
    <mergeCell ref="H18:K18"/>
    <mergeCell ref="A19:B19"/>
    <mergeCell ref="F19:G19"/>
    <mergeCell ref="A20:B20"/>
    <mergeCell ref="A21:B21"/>
    <mergeCell ref="C20:E20"/>
    <mergeCell ref="C21:E21"/>
    <mergeCell ref="C19:E19"/>
    <mergeCell ref="F20:G20"/>
    <mergeCell ref="H24:I24"/>
    <mergeCell ref="A18:B18"/>
    <mergeCell ref="A88:G88"/>
    <mergeCell ref="H88:K88"/>
    <mergeCell ref="A85:G85"/>
    <mergeCell ref="H85:K85"/>
    <mergeCell ref="A86:G86"/>
    <mergeCell ref="H86:K86"/>
    <mergeCell ref="A87:G87"/>
    <mergeCell ref="H87:K87"/>
    <mergeCell ref="A84:G84"/>
    <mergeCell ref="H83:K83"/>
    <mergeCell ref="B82:D82"/>
    <mergeCell ref="H84:K84"/>
    <mergeCell ref="A83:G83"/>
    <mergeCell ref="B81:D81"/>
    <mergeCell ref="B26:G26"/>
    <mergeCell ref="B24:E24"/>
    <mergeCell ref="B23:E23"/>
    <mergeCell ref="B25:E25"/>
    <mergeCell ref="F23:G23"/>
    <mergeCell ref="B76:G76"/>
  </mergeCells>
  <phoneticPr fontId="0" type="noConversion"/>
  <printOptions horizontalCentered="1"/>
  <pageMargins left="0.51181102362204722" right="0.23622047244094491" top="0.23622047244094491" bottom="0.23622047244094491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6"/>
  <sheetViews>
    <sheetView zoomScaleNormal="100" workbookViewId="0"/>
  </sheetViews>
  <sheetFormatPr defaultColWidth="0" defaultRowHeight="12" customHeight="1" zeroHeight="1" x14ac:dyDescent="0.2"/>
  <cols>
    <col min="1" max="1" width="13.83203125" style="55" customWidth="1"/>
    <col min="2" max="2" width="14.1640625" style="55" bestFit="1" customWidth="1"/>
    <col min="3" max="5" width="11.83203125" style="55" customWidth="1"/>
    <col min="6" max="8" width="13.33203125" style="55" customWidth="1"/>
    <col min="9" max="9" width="17" style="55" bestFit="1" customWidth="1"/>
    <col min="10" max="11" width="13.33203125" style="55" customWidth="1"/>
    <col min="12" max="12" width="12.1640625" style="55" bestFit="1" customWidth="1"/>
    <col min="13" max="16384" width="0" style="55" hidden="1"/>
  </cols>
  <sheetData>
    <row r="1" spans="1:11" x14ac:dyDescent="0.2">
      <c r="A1" s="53" t="str">
        <f>Page1!A1</f>
        <v>MERCHANT</v>
      </c>
      <c r="B1" s="332" t="str">
        <f>Page1!B1</f>
        <v>INVOICE</v>
      </c>
      <c r="C1" s="332"/>
      <c r="D1" s="332"/>
      <c r="E1" s="332"/>
      <c r="F1" s="332"/>
      <c r="G1" s="332"/>
      <c r="H1" s="332"/>
      <c r="I1" s="332"/>
      <c r="J1" s="332"/>
      <c r="K1" s="54" t="s">
        <v>92</v>
      </c>
    </row>
    <row r="2" spans="1:11" ht="12.75" customHeight="1" x14ac:dyDescent="0.2">
      <c r="A2" s="333" t="str">
        <f>Page1!A2</f>
        <v>JAIKVIN GLOBAL</v>
      </c>
      <c r="B2" s="334"/>
      <c r="C2" s="334"/>
      <c r="D2" s="334"/>
      <c r="E2" s="334"/>
      <c r="F2" s="56" t="str">
        <f>Page1!F2</f>
        <v xml:space="preserve">Invoice No. </v>
      </c>
      <c r="G2" s="337" t="str">
        <f>Page1!G2</f>
        <v>JG/26-27/6002 DT 04.05.2026</v>
      </c>
      <c r="H2" s="337"/>
      <c r="I2" s="337"/>
      <c r="J2" s="338"/>
      <c r="K2" s="57" t="str">
        <f>Page1!K2</f>
        <v>Exporter's Ref.</v>
      </c>
    </row>
    <row r="3" spans="1:11" ht="12.75" customHeight="1" x14ac:dyDescent="0.2">
      <c r="A3" s="335"/>
      <c r="B3" s="336"/>
      <c r="C3" s="336"/>
      <c r="D3" s="336"/>
      <c r="E3" s="336"/>
      <c r="F3" s="58" t="str">
        <f>Page1!F3</f>
        <v>Date:</v>
      </c>
      <c r="G3" s="339">
        <f>Page1!G3</f>
        <v>0</v>
      </c>
      <c r="H3" s="339"/>
      <c r="I3" s="339"/>
      <c r="J3" s="340"/>
      <c r="K3" s="59" t="str">
        <f>Page1!K3</f>
        <v>IEC AVIPS4808H</v>
      </c>
    </row>
    <row r="4" spans="1:11" x14ac:dyDescent="0.2">
      <c r="A4" s="341" t="str">
        <f>Page1!A4</f>
        <v>Merchant Exporters</v>
      </c>
      <c r="B4" s="342"/>
      <c r="C4" s="342"/>
      <c r="D4" s="342"/>
      <c r="E4" s="342"/>
      <c r="F4" s="343" t="str">
        <f>Page1!F4</f>
        <v xml:space="preserve">Buyers Order No: </v>
      </c>
      <c r="G4" s="344"/>
      <c r="H4" s="337" t="str">
        <f>Page1!H4</f>
        <v>JG/26-P/09 DT 27.04.2026</v>
      </c>
      <c r="I4" s="337"/>
      <c r="J4" s="337"/>
      <c r="K4" s="338"/>
    </row>
    <row r="5" spans="1:11" x14ac:dyDescent="0.2">
      <c r="A5" s="341" t="str">
        <f>Page1!A5</f>
        <v>A-101, Rajshree Royale, Navroji Lane, Ghatkopar (W),</v>
      </c>
      <c r="B5" s="342"/>
      <c r="C5" s="342"/>
      <c r="D5" s="342"/>
      <c r="E5" s="342"/>
      <c r="F5" s="369" t="str">
        <f>Page1!F5</f>
        <v xml:space="preserve">                                                                                                          </v>
      </c>
      <c r="G5" s="339"/>
      <c r="H5" s="356">
        <f>Page1!H5</f>
        <v>0</v>
      </c>
      <c r="I5" s="356"/>
      <c r="J5" s="356"/>
      <c r="K5" s="357"/>
    </row>
    <row r="6" spans="1:11" x14ac:dyDescent="0.2">
      <c r="A6" s="341" t="str">
        <f>Page1!A6</f>
        <v>MUMBAI-400 086. Maharashtra (State Code : 27)</v>
      </c>
      <c r="B6" s="342"/>
      <c r="C6" s="342"/>
      <c r="D6" s="342"/>
      <c r="E6" s="342"/>
      <c r="F6" s="343" t="str">
        <f>Page1!F6</f>
        <v>Other Reference(s):</v>
      </c>
      <c r="G6" s="344"/>
      <c r="H6" s="337">
        <f>Page1!H6</f>
        <v>0</v>
      </c>
      <c r="I6" s="337"/>
      <c r="J6" s="337"/>
      <c r="K6" s="338"/>
    </row>
    <row r="7" spans="1:11" x14ac:dyDescent="0.2">
      <c r="A7" s="358" t="str">
        <f>Page1!A7</f>
        <v>Tel: 9987122600 E-Mail: aalok.shah@jaikvinglobal.com</v>
      </c>
      <c r="B7" s="359"/>
      <c r="C7" s="359"/>
      <c r="D7" s="359"/>
      <c r="E7" s="359"/>
      <c r="F7" s="369" t="str">
        <f>Page1!F7</f>
        <v xml:space="preserve">                                                                                                     </v>
      </c>
      <c r="G7" s="339"/>
      <c r="H7" s="339">
        <f>Page1!H7</f>
        <v>0</v>
      </c>
      <c r="I7" s="339"/>
      <c r="J7" s="339"/>
      <c r="K7" s="340"/>
    </row>
    <row r="8" spans="1:11" ht="12.75" x14ac:dyDescent="0.2">
      <c r="A8" s="343" t="str">
        <f>Page1!A8</f>
        <v>On Account &amp; Risks of:</v>
      </c>
      <c r="B8" s="344"/>
      <c r="C8" s="381">
        <f>Page1!C8</f>
        <v>0</v>
      </c>
      <c r="D8" s="381"/>
      <c r="E8" s="381"/>
      <c r="F8" s="60" t="str">
        <f>Page1!F8</f>
        <v>IRN No</v>
      </c>
      <c r="G8" s="366" t="str">
        <f>Page1!G8</f>
        <v>5049ef43c7126a4c35bf29795ce49390de0338</v>
      </c>
      <c r="H8" s="367"/>
      <c r="I8" s="367"/>
      <c r="J8" s="367"/>
      <c r="K8" s="368"/>
    </row>
    <row r="9" spans="1:11" ht="12.75" x14ac:dyDescent="0.2">
      <c r="A9" s="350" t="str">
        <f>Page1!A9</f>
        <v>Messrs Corecomp Pty Ltd.,</v>
      </c>
      <c r="B9" s="351"/>
      <c r="C9" s="351"/>
      <c r="D9" s="351"/>
      <c r="E9" s="351"/>
      <c r="F9" s="61">
        <f>Page1!F9</f>
        <v>0</v>
      </c>
      <c r="G9" s="353" t="str">
        <f>Page1!G9</f>
        <v>c2897a4b4929c186580cfacad7</v>
      </c>
      <c r="H9" s="354"/>
      <c r="I9" s="354"/>
      <c r="J9" s="354"/>
      <c r="K9" s="355"/>
    </row>
    <row r="10" spans="1:11" ht="12.75" x14ac:dyDescent="0.2">
      <c r="A10" s="350" t="str">
        <f>Page1!A10</f>
        <v>T/A G.D.Watermark</v>
      </c>
      <c r="B10" s="351"/>
      <c r="C10" s="351"/>
      <c r="D10" s="352"/>
      <c r="E10" s="352"/>
      <c r="F10" s="61" t="str">
        <f>Page1!F10</f>
        <v>Ack No</v>
      </c>
      <c r="G10" s="360" t="str">
        <f>Page1!G10</f>
        <v>122632432448548</v>
      </c>
      <c r="H10" s="354"/>
      <c r="I10" s="354"/>
      <c r="J10" s="354"/>
      <c r="K10" s="355"/>
    </row>
    <row r="11" spans="1:11" ht="12.75" x14ac:dyDescent="0.2">
      <c r="A11" s="350" t="str">
        <f>Page1!A11</f>
        <v>13, Tesla Link,</v>
      </c>
      <c r="B11" s="351"/>
      <c r="C11" s="351"/>
      <c r="D11" s="352"/>
      <c r="E11" s="352"/>
      <c r="F11" s="62">
        <f>Page1!F11</f>
        <v>0</v>
      </c>
      <c r="G11" s="353">
        <f>Page1!G11</f>
        <v>0</v>
      </c>
      <c r="H11" s="354"/>
      <c r="I11" s="354"/>
      <c r="J11" s="354"/>
      <c r="K11" s="355"/>
    </row>
    <row r="12" spans="1:11" ht="12.75" x14ac:dyDescent="0.2">
      <c r="A12" s="369" t="str">
        <f>Page1!A12</f>
        <v xml:space="preserve">Wangara WA 6065 (Australia) </v>
      </c>
      <c r="B12" s="339"/>
      <c r="C12" s="339"/>
      <c r="D12" s="382"/>
      <c r="E12" s="382"/>
      <c r="F12" s="63" t="str">
        <f>Page1!F12</f>
        <v>Ack Dt</v>
      </c>
      <c r="G12" s="383" t="str">
        <f>Page1!G12</f>
        <v>04-05-2026  3:51:00 PM</v>
      </c>
      <c r="H12" s="384"/>
      <c r="I12" s="384"/>
      <c r="J12" s="384"/>
      <c r="K12" s="385"/>
    </row>
    <row r="13" spans="1:11" x14ac:dyDescent="0.2">
      <c r="A13" s="56" t="str">
        <f>Page1!A13</f>
        <v>Invoice of:</v>
      </c>
      <c r="B13" s="345" t="str">
        <f>Page1!B13</f>
        <v xml:space="preserve">PLASTIC (PP) EXTRUDED PIPES, PLASTIC (PP) </v>
      </c>
      <c r="C13" s="345"/>
      <c r="D13" s="345"/>
      <c r="E13" s="346"/>
      <c r="F13" s="347" t="str">
        <f>Page1!F13</f>
        <v>Country of Origin</v>
      </c>
      <c r="G13" s="348"/>
      <c r="H13" s="349"/>
      <c r="I13" s="347" t="str">
        <f>Page1!I13</f>
        <v>Country of Final Destination</v>
      </c>
      <c r="J13" s="348"/>
      <c r="K13" s="349"/>
    </row>
    <row r="14" spans="1:11" x14ac:dyDescent="0.2">
      <c r="A14" s="64" t="str">
        <f>Page1!A14</f>
        <v xml:space="preserve">                                                                                                    </v>
      </c>
      <c r="B14" s="361" t="str">
        <f>Page1!B14</f>
        <v xml:space="preserve">&amp; (PA) MOULDED FITTINGS AND CORRUGATED </v>
      </c>
      <c r="C14" s="361"/>
      <c r="D14" s="361"/>
      <c r="E14" s="362"/>
      <c r="F14" s="363" t="str">
        <f>Page1!F14</f>
        <v>INDIA</v>
      </c>
      <c r="G14" s="364"/>
      <c r="H14" s="365"/>
      <c r="I14" s="363" t="str">
        <f>Page1!I14</f>
        <v>AUSTRALIA</v>
      </c>
      <c r="J14" s="364"/>
      <c r="K14" s="365"/>
    </row>
    <row r="15" spans="1:11" x14ac:dyDescent="0.2">
      <c r="A15" s="65" t="str">
        <f>Page1!A15</f>
        <v xml:space="preserve">                                                                                                   </v>
      </c>
      <c r="B15" s="386" t="str">
        <f>Page1!B15</f>
        <v>BOXES</v>
      </c>
      <c r="C15" s="386"/>
      <c r="D15" s="386"/>
      <c r="E15" s="387"/>
      <c r="F15" s="56" t="str">
        <f>Page1!F15</f>
        <v>BL. NO.</v>
      </c>
      <c r="G15" s="337" t="str">
        <f>Page1!G15</f>
        <v>SFPM2605165498  DT. 19.05.2026</v>
      </c>
      <c r="H15" s="337">
        <f>Page1!H15</f>
        <v>0</v>
      </c>
      <c r="I15" s="337">
        <f>Page1!I15</f>
        <v>0</v>
      </c>
      <c r="J15" s="337">
        <f>Page1!J15</f>
        <v>0</v>
      </c>
      <c r="K15" s="338">
        <f>Page1!K15</f>
        <v>0</v>
      </c>
    </row>
    <row r="16" spans="1:11" ht="12.75" customHeight="1" x14ac:dyDescent="0.2">
      <c r="A16" s="347" t="str">
        <f>Page1!A16</f>
        <v>Pre-Carraige by:</v>
      </c>
      <c r="B16" s="348"/>
      <c r="C16" s="347" t="str">
        <f>Page1!C16</f>
        <v>Place of Receipt by Pre-Carraige</v>
      </c>
      <c r="D16" s="348"/>
      <c r="E16" s="349"/>
      <c r="F16" s="120" t="str">
        <f>Page1!F16</f>
        <v>Shipped Per</v>
      </c>
      <c r="G16" s="353" t="str">
        <f>Page1!G16</f>
        <v>CAPE SYROS VOYAGE 092E</v>
      </c>
      <c r="H16" s="353">
        <f>Page1!H16</f>
        <v>0</v>
      </c>
      <c r="I16" s="353">
        <f>Page1!I16</f>
        <v>0</v>
      </c>
      <c r="J16" s="353">
        <f>Page1!J16</f>
        <v>0</v>
      </c>
      <c r="K16" s="374">
        <f>Page1!K16</f>
        <v>0</v>
      </c>
    </row>
    <row r="17" spans="1:11" ht="12.75" x14ac:dyDescent="0.2">
      <c r="A17" s="370" t="str">
        <f>Page1!A17</f>
        <v xml:space="preserve">                                                              </v>
      </c>
      <c r="B17" s="371"/>
      <c r="C17" s="388">
        <f>Page1!C17</f>
        <v>0</v>
      </c>
      <c r="D17" s="389"/>
      <c r="E17" s="390"/>
      <c r="F17" s="63" t="str">
        <f>Page1!F17</f>
        <v>S/B No:</v>
      </c>
      <c r="G17" s="356" t="str">
        <f>Page1!G17</f>
        <v>2945305 DT. 04.05.2026</v>
      </c>
      <c r="H17" s="356">
        <f>Page1!H17</f>
        <v>0</v>
      </c>
      <c r="I17" s="356">
        <f>Page1!I17</f>
        <v>0</v>
      </c>
      <c r="J17" s="356">
        <f>Page1!J17</f>
        <v>0</v>
      </c>
      <c r="K17" s="357">
        <f>Page1!K17</f>
        <v>0</v>
      </c>
    </row>
    <row r="18" spans="1:11" ht="12.75" x14ac:dyDescent="0.2">
      <c r="A18" s="347" t="str">
        <f>Page1!A18</f>
        <v>Shipped per:</v>
      </c>
      <c r="B18" s="348"/>
      <c r="C18" s="347" t="str">
        <f>Page1!C18</f>
        <v>Port of Loading:</v>
      </c>
      <c r="D18" s="348"/>
      <c r="E18" s="349"/>
      <c r="F18" s="373" t="str">
        <f>Page1!F18</f>
        <v>Terms of Delivery:</v>
      </c>
      <c r="G18" s="352"/>
      <c r="H18" s="353" t="str">
        <f>Page1!H18</f>
        <v>FOB MUMBAI</v>
      </c>
      <c r="I18" s="352"/>
      <c r="J18" s="352"/>
      <c r="K18" s="391"/>
    </row>
    <row r="19" spans="1:11" ht="12.75" customHeight="1" x14ac:dyDescent="0.2">
      <c r="A19" s="370" t="str">
        <f>Page1!A19</f>
        <v>CAPE SYROS VOYAGE 092E</v>
      </c>
      <c r="B19" s="371"/>
      <c r="C19" s="363" t="str">
        <f>Page1!C19</f>
        <v>NHAVA SHEVA-MUMBAI (INDIA)</v>
      </c>
      <c r="D19" s="364"/>
      <c r="E19" s="365"/>
      <c r="F19" s="375" t="str">
        <f>Page1!F19</f>
        <v>Terms of Payment:</v>
      </c>
      <c r="G19" s="376"/>
      <c r="H19" s="353" t="str">
        <f>Page1!H19</f>
        <v>D.P.SIGHT DRAFT</v>
      </c>
      <c r="I19" s="353"/>
      <c r="J19" s="353"/>
      <c r="K19" s="374"/>
    </row>
    <row r="20" spans="1:11" ht="12.75" customHeight="1" x14ac:dyDescent="0.2">
      <c r="A20" s="347" t="str">
        <f>Page1!A20</f>
        <v>Port of Discharge:</v>
      </c>
      <c r="B20" s="348"/>
      <c r="C20" s="347" t="str">
        <f>Page1!C20</f>
        <v>Port of destination</v>
      </c>
      <c r="D20" s="348"/>
      <c r="E20" s="349"/>
      <c r="F20" s="373" t="str">
        <f>Page1!F20</f>
        <v>Through:</v>
      </c>
      <c r="G20" s="352"/>
      <c r="H20" s="242" t="str">
        <f>Page1!H20</f>
        <v>HDFC BANK LTD, GHATKOPAR (E) BRANCH</v>
      </c>
      <c r="I20" s="258"/>
      <c r="J20" s="258"/>
      <c r="K20" s="281"/>
    </row>
    <row r="21" spans="1:11" ht="12.75" customHeight="1" x14ac:dyDescent="0.2">
      <c r="A21" s="370" t="str">
        <f>Page1!A21</f>
        <v>FREMANTLE</v>
      </c>
      <c r="B21" s="371"/>
      <c r="C21" s="370" t="str">
        <f>Page1!C21</f>
        <v xml:space="preserve">FREMANTLE </v>
      </c>
      <c r="D21" s="371"/>
      <c r="E21" s="372"/>
      <c r="F21" s="369">
        <f>Page1!F21</f>
        <v>0</v>
      </c>
      <c r="G21" s="339"/>
      <c r="H21" s="282" t="str">
        <f>Page1!H21</f>
        <v>GHATKOPAR (E), MUMBAI 400 077 (INDIA)</v>
      </c>
      <c r="I21" s="283"/>
      <c r="J21" s="283"/>
      <c r="K21" s="284"/>
    </row>
    <row r="22" spans="1:11" x14ac:dyDescent="0.2">
      <c r="A22" s="66" t="s">
        <v>12</v>
      </c>
      <c r="B22" s="377" t="s">
        <v>65</v>
      </c>
      <c r="C22" s="378"/>
      <c r="D22" s="378"/>
      <c r="E22" s="67" t="s">
        <v>51</v>
      </c>
      <c r="F22" s="67" t="s">
        <v>53</v>
      </c>
      <c r="G22" s="67" t="s">
        <v>52</v>
      </c>
      <c r="H22" s="67" t="s">
        <v>53</v>
      </c>
      <c r="I22" s="67" t="s">
        <v>66</v>
      </c>
      <c r="J22" s="67" t="s">
        <v>63</v>
      </c>
      <c r="K22" s="67" t="s">
        <v>64</v>
      </c>
    </row>
    <row r="23" spans="1:11" x14ac:dyDescent="0.2">
      <c r="A23" s="68" t="str">
        <f>Page1!A23</f>
        <v>GDW NOS :</v>
      </c>
      <c r="B23" s="379" t="str">
        <f>Page1!B23</f>
        <v>421 PACKAGES (343 CARTONS &amp; 78 HDP BUNDLES) CONTAINING</v>
      </c>
      <c r="C23" s="380"/>
      <c r="D23" s="380"/>
      <c r="E23" s="380"/>
      <c r="F23" s="392" t="str">
        <f>Page1!F23</f>
        <v>FOB MUMBAI IN US$</v>
      </c>
      <c r="G23" s="393"/>
      <c r="H23" s="392" t="str">
        <f>Page1!H23</f>
        <v>FOB MUMBAI IN INR</v>
      </c>
      <c r="I23" s="394"/>
      <c r="J23" s="392">
        <f>Page1!J23</f>
        <v>0</v>
      </c>
      <c r="K23" s="394"/>
    </row>
    <row r="24" spans="1:11" ht="12.75" x14ac:dyDescent="0.2">
      <c r="A24" s="68" t="str">
        <f>Page1!A24</f>
        <v>2001 - 2421</v>
      </c>
      <c r="B24" s="361" t="str">
        <f>Page1!B24</f>
        <v xml:space="preserve">PLASTIC (PP) EXTRUDED PIPES, PLASTIC (PP) &amp; </v>
      </c>
      <c r="C24" s="361"/>
      <c r="D24" s="395"/>
      <c r="E24" s="395"/>
      <c r="F24" s="69"/>
      <c r="G24" s="69"/>
      <c r="H24" s="419" t="str">
        <f>Page1!H24</f>
        <v>EX. RATE @ Rs.92.50</v>
      </c>
      <c r="I24" s="420"/>
      <c r="J24" s="419">
        <f>Page1!J24</f>
        <v>0</v>
      </c>
      <c r="K24" s="420"/>
    </row>
    <row r="25" spans="1:11" ht="12.75" x14ac:dyDescent="0.2">
      <c r="A25" s="70" t="str">
        <f>Page1!A25</f>
        <v>2421</v>
      </c>
      <c r="B25" s="361" t="str">
        <f>Page1!B25</f>
        <v>(PA) MOULDED FITTINGS &amp; CORRUGATED BOXES</v>
      </c>
      <c r="C25" s="361"/>
      <c r="D25" s="395"/>
      <c r="E25" s="395"/>
      <c r="F25" s="69" t="s">
        <v>93</v>
      </c>
      <c r="G25" s="97">
        <f>Page1!G82</f>
        <v>13908.95</v>
      </c>
      <c r="H25" s="62"/>
      <c r="I25" s="96">
        <f>Page1!I82</f>
        <v>1286577.875</v>
      </c>
      <c r="J25" s="62">
        <f>Page1!J25</f>
        <v>0</v>
      </c>
      <c r="K25" s="96">
        <f>Page1!K82</f>
        <v>231588</v>
      </c>
    </row>
    <row r="26" spans="1:11" x14ac:dyDescent="0.2">
      <c r="A26" s="70">
        <f>Page1!A26</f>
        <v>0</v>
      </c>
      <c r="B26" s="253" t="s">
        <v>95</v>
      </c>
      <c r="C26" s="254"/>
      <c r="D26" s="254"/>
      <c r="E26" s="254"/>
      <c r="F26" s="254"/>
      <c r="G26" s="302"/>
      <c r="H26" s="140"/>
      <c r="I26" s="200"/>
      <c r="J26" s="92"/>
      <c r="K26" s="141"/>
    </row>
    <row r="27" spans="1:11" ht="12.75" customHeight="1" x14ac:dyDescent="0.2">
      <c r="A27" s="68">
        <f>Page1!A27</f>
        <v>0</v>
      </c>
      <c r="B27" s="117" t="s">
        <v>72</v>
      </c>
      <c r="C27" s="195" t="s">
        <v>101</v>
      </c>
      <c r="D27" s="118"/>
      <c r="E27" s="83" t="s">
        <v>73</v>
      </c>
      <c r="F27" s="95" t="s">
        <v>117</v>
      </c>
      <c r="G27" s="38"/>
      <c r="H27" s="44"/>
      <c r="I27" s="201"/>
      <c r="J27" s="37"/>
      <c r="K27" s="36"/>
    </row>
    <row r="28" spans="1:11" ht="12.75" customHeight="1" x14ac:dyDescent="0.2">
      <c r="A28" s="74"/>
      <c r="B28" s="98" t="s">
        <v>137</v>
      </c>
      <c r="C28" s="202">
        <v>15</v>
      </c>
      <c r="D28" s="99"/>
      <c r="E28" s="32">
        <v>10000</v>
      </c>
      <c r="F28" s="33">
        <v>9.6</v>
      </c>
      <c r="G28" s="41">
        <f t="shared" ref="G28:G38" si="0">E28*F28/100</f>
        <v>960</v>
      </c>
      <c r="H28" s="100">
        <f t="shared" ref="H28:H38" si="1">I28/E28</f>
        <v>8.8800000000000008</v>
      </c>
      <c r="I28" s="188">
        <v>88800</v>
      </c>
      <c r="J28" s="42">
        <v>0.18</v>
      </c>
      <c r="K28" s="101">
        <f t="shared" ref="K28:K38" si="2">ROUND(I28*J28,)</f>
        <v>15984</v>
      </c>
    </row>
    <row r="29" spans="1:11" x14ac:dyDescent="0.2">
      <c r="A29" s="74"/>
      <c r="B29" s="98" t="s">
        <v>138</v>
      </c>
      <c r="C29" s="202">
        <v>20</v>
      </c>
      <c r="D29" s="99"/>
      <c r="E29" s="32">
        <v>3000</v>
      </c>
      <c r="F29" s="33">
        <v>12</v>
      </c>
      <c r="G29" s="41">
        <f t="shared" si="0"/>
        <v>360</v>
      </c>
      <c r="H29" s="100">
        <f t="shared" si="1"/>
        <v>11.1</v>
      </c>
      <c r="I29" s="188">
        <v>33300</v>
      </c>
      <c r="J29" s="42">
        <v>0.18</v>
      </c>
      <c r="K29" s="101">
        <f t="shared" si="2"/>
        <v>5994</v>
      </c>
    </row>
    <row r="30" spans="1:11" x14ac:dyDescent="0.2">
      <c r="A30" s="74"/>
      <c r="B30" s="98" t="s">
        <v>139</v>
      </c>
      <c r="C30" s="202">
        <v>25</v>
      </c>
      <c r="D30" s="99"/>
      <c r="E30" s="32">
        <v>900</v>
      </c>
      <c r="F30" s="33">
        <v>15.6</v>
      </c>
      <c r="G30" s="41">
        <f t="shared" si="0"/>
        <v>140.4</v>
      </c>
      <c r="H30" s="100">
        <f t="shared" si="1"/>
        <v>14.43</v>
      </c>
      <c r="I30" s="188">
        <v>12987</v>
      </c>
      <c r="J30" s="42">
        <v>0.18</v>
      </c>
      <c r="K30" s="101">
        <f t="shared" si="2"/>
        <v>2338</v>
      </c>
    </row>
    <row r="31" spans="1:11" x14ac:dyDescent="0.2">
      <c r="A31" s="75" t="s">
        <v>80</v>
      </c>
      <c r="B31" s="98" t="s">
        <v>140</v>
      </c>
      <c r="C31" s="202">
        <v>25</v>
      </c>
      <c r="D31" s="99"/>
      <c r="E31" s="32">
        <v>1400</v>
      </c>
      <c r="F31" s="33">
        <v>33.6</v>
      </c>
      <c r="G31" s="41">
        <f t="shared" si="0"/>
        <v>470.4</v>
      </c>
      <c r="H31" s="100">
        <f t="shared" si="1"/>
        <v>31.08</v>
      </c>
      <c r="I31" s="188">
        <v>43512</v>
      </c>
      <c r="J31" s="42">
        <v>0.18</v>
      </c>
      <c r="K31" s="101">
        <f t="shared" si="2"/>
        <v>7832</v>
      </c>
    </row>
    <row r="32" spans="1:11" x14ac:dyDescent="0.2">
      <c r="A32" s="69" t="s">
        <v>188</v>
      </c>
      <c r="B32" s="98" t="s">
        <v>141</v>
      </c>
      <c r="C32" s="202" t="s">
        <v>146</v>
      </c>
      <c r="D32" s="99"/>
      <c r="E32" s="32">
        <v>1800</v>
      </c>
      <c r="F32" s="33">
        <v>21.6</v>
      </c>
      <c r="G32" s="41">
        <f t="shared" si="0"/>
        <v>388.8</v>
      </c>
      <c r="H32" s="100">
        <f t="shared" si="1"/>
        <v>19.98</v>
      </c>
      <c r="I32" s="188">
        <v>35964</v>
      </c>
      <c r="J32" s="42">
        <v>0.18</v>
      </c>
      <c r="K32" s="101">
        <f t="shared" si="2"/>
        <v>6474</v>
      </c>
    </row>
    <row r="33" spans="1:11" x14ac:dyDescent="0.2">
      <c r="A33" s="70"/>
      <c r="B33" s="98" t="s">
        <v>142</v>
      </c>
      <c r="C33" s="202" t="s">
        <v>147</v>
      </c>
      <c r="D33" s="99"/>
      <c r="E33" s="32">
        <v>1650</v>
      </c>
      <c r="F33" s="33">
        <v>24</v>
      </c>
      <c r="G33" s="41">
        <f t="shared" si="0"/>
        <v>396</v>
      </c>
      <c r="H33" s="100">
        <f t="shared" si="1"/>
        <v>22.2</v>
      </c>
      <c r="I33" s="188">
        <v>36630</v>
      </c>
      <c r="J33" s="42">
        <v>0.18</v>
      </c>
      <c r="K33" s="101">
        <f t="shared" si="2"/>
        <v>6593</v>
      </c>
    </row>
    <row r="34" spans="1:11" x14ac:dyDescent="0.2">
      <c r="A34" s="68"/>
      <c r="B34" s="98" t="s">
        <v>143</v>
      </c>
      <c r="C34" s="202">
        <v>25</v>
      </c>
      <c r="D34" s="99"/>
      <c r="E34" s="32">
        <v>500</v>
      </c>
      <c r="F34" s="33">
        <v>22.8</v>
      </c>
      <c r="G34" s="41">
        <f t="shared" si="0"/>
        <v>114</v>
      </c>
      <c r="H34" s="100">
        <f t="shared" si="1"/>
        <v>21.09</v>
      </c>
      <c r="I34" s="188">
        <v>10545</v>
      </c>
      <c r="J34" s="42">
        <v>0.18</v>
      </c>
      <c r="K34" s="101">
        <f t="shared" si="2"/>
        <v>1898</v>
      </c>
    </row>
    <row r="35" spans="1:11" x14ac:dyDescent="0.2">
      <c r="A35" s="68"/>
      <c r="B35" s="98" t="s">
        <v>144</v>
      </c>
      <c r="C35" s="202">
        <v>15</v>
      </c>
      <c r="D35" s="99"/>
      <c r="E35" s="32">
        <v>2160</v>
      </c>
      <c r="F35" s="33">
        <v>33.6</v>
      </c>
      <c r="G35" s="41">
        <f t="shared" si="0"/>
        <v>725.76</v>
      </c>
      <c r="H35" s="100">
        <f t="shared" si="1"/>
        <v>31.080000000000002</v>
      </c>
      <c r="I35" s="188">
        <v>67132.800000000003</v>
      </c>
      <c r="J35" s="42">
        <v>0.18</v>
      </c>
      <c r="K35" s="101">
        <f t="shared" si="2"/>
        <v>12084</v>
      </c>
    </row>
    <row r="36" spans="1:11" x14ac:dyDescent="0.2">
      <c r="A36" s="68"/>
      <c r="B36" s="98" t="s">
        <v>145</v>
      </c>
      <c r="C36" s="202">
        <v>20</v>
      </c>
      <c r="D36" s="99"/>
      <c r="E36" s="32">
        <v>700</v>
      </c>
      <c r="F36" s="33">
        <v>40.799999999999997</v>
      </c>
      <c r="G36" s="41">
        <f t="shared" si="0"/>
        <v>285.59999999999997</v>
      </c>
      <c r="H36" s="100">
        <f t="shared" si="1"/>
        <v>37.739999999999995</v>
      </c>
      <c r="I36" s="188">
        <v>26417.999999999996</v>
      </c>
      <c r="J36" s="42">
        <v>0.18</v>
      </c>
      <c r="K36" s="101">
        <f t="shared" si="2"/>
        <v>4755</v>
      </c>
    </row>
    <row r="37" spans="1:11" x14ac:dyDescent="0.2">
      <c r="A37" s="68"/>
      <c r="B37" s="98" t="s">
        <v>148</v>
      </c>
      <c r="C37" s="202">
        <v>25</v>
      </c>
      <c r="D37" s="99"/>
      <c r="E37" s="32">
        <v>1760</v>
      </c>
      <c r="F37" s="33">
        <v>50.4</v>
      </c>
      <c r="G37" s="41">
        <f t="shared" si="0"/>
        <v>887.04</v>
      </c>
      <c r="H37" s="100">
        <f t="shared" si="1"/>
        <v>46.62</v>
      </c>
      <c r="I37" s="188">
        <v>82051.199999999997</v>
      </c>
      <c r="J37" s="42">
        <v>0.18</v>
      </c>
      <c r="K37" s="101">
        <f t="shared" si="2"/>
        <v>14769</v>
      </c>
    </row>
    <row r="38" spans="1:11" x14ac:dyDescent="0.2">
      <c r="A38" s="68"/>
      <c r="B38" s="98" t="s">
        <v>175</v>
      </c>
      <c r="C38" s="202">
        <v>32</v>
      </c>
      <c r="D38" s="99"/>
      <c r="E38" s="32">
        <v>1000</v>
      </c>
      <c r="F38" s="33">
        <v>91.2</v>
      </c>
      <c r="G38" s="41">
        <f t="shared" si="0"/>
        <v>912</v>
      </c>
      <c r="H38" s="100">
        <f t="shared" si="1"/>
        <v>84.36</v>
      </c>
      <c r="I38" s="188">
        <v>84360</v>
      </c>
      <c r="J38" s="42">
        <v>0.18</v>
      </c>
      <c r="K38" s="101">
        <f t="shared" si="2"/>
        <v>15185</v>
      </c>
    </row>
    <row r="39" spans="1:11" ht="12.75" customHeight="1" x14ac:dyDescent="0.2">
      <c r="A39" s="68"/>
      <c r="B39" s="437" t="s">
        <v>149</v>
      </c>
      <c r="C39" s="438"/>
      <c r="D39" s="438"/>
      <c r="E39" s="438"/>
      <c r="F39" s="438"/>
      <c r="G39" s="439"/>
      <c r="H39" s="140"/>
      <c r="I39" s="200"/>
      <c r="J39" s="92"/>
      <c r="K39" s="141"/>
    </row>
    <row r="40" spans="1:11" x14ac:dyDescent="0.2">
      <c r="A40" s="68"/>
      <c r="B40" s="182" t="s">
        <v>72</v>
      </c>
      <c r="C40" s="440" t="s">
        <v>150</v>
      </c>
      <c r="D40" s="441"/>
      <c r="E40" s="183" t="s">
        <v>73</v>
      </c>
      <c r="F40" s="184" t="s">
        <v>74</v>
      </c>
      <c r="G40" s="185"/>
      <c r="H40" s="44"/>
      <c r="I40" s="201"/>
      <c r="J40" s="37"/>
      <c r="K40" s="36"/>
    </row>
    <row r="41" spans="1:11" x14ac:dyDescent="0.2">
      <c r="A41" s="75" t="s">
        <v>81</v>
      </c>
      <c r="B41" s="40" t="s">
        <v>178</v>
      </c>
      <c r="C41" s="442" t="s">
        <v>179</v>
      </c>
      <c r="D41" s="443"/>
      <c r="E41" s="32">
        <v>750</v>
      </c>
      <c r="F41" s="186">
        <v>0.85</v>
      </c>
      <c r="G41" s="189">
        <f>E41*F41</f>
        <v>637.5</v>
      </c>
      <c r="H41" s="102">
        <f t="shared" ref="H41:H42" si="3">I41/E41</f>
        <v>78.625</v>
      </c>
      <c r="I41" s="229">
        <v>58968.75</v>
      </c>
      <c r="J41" s="35">
        <v>0.05</v>
      </c>
      <c r="K41" s="229">
        <f>ROUND(I41*J41,)</f>
        <v>2948</v>
      </c>
    </row>
    <row r="42" spans="1:11" x14ac:dyDescent="0.2">
      <c r="A42" s="69" t="s">
        <v>189</v>
      </c>
      <c r="B42" s="154" t="s">
        <v>176</v>
      </c>
      <c r="C42" s="444" t="s">
        <v>177</v>
      </c>
      <c r="D42" s="445"/>
      <c r="E42" s="94">
        <v>277</v>
      </c>
      <c r="F42" s="203">
        <v>0.85</v>
      </c>
      <c r="G42" s="204">
        <f>E42*F42</f>
        <v>235.45</v>
      </c>
      <c r="H42" s="104">
        <f t="shared" si="3"/>
        <v>78.625</v>
      </c>
      <c r="I42" s="103">
        <v>21779.125</v>
      </c>
      <c r="J42" s="52">
        <v>0.05</v>
      </c>
      <c r="K42" s="103">
        <f>ROUND(I42*J42,)</f>
        <v>1089</v>
      </c>
    </row>
    <row r="43" spans="1:11" x14ac:dyDescent="0.2">
      <c r="A43" s="68"/>
      <c r="B43" s="238"/>
      <c r="C43" s="239"/>
      <c r="D43" s="239"/>
      <c r="E43" s="240"/>
      <c r="F43" s="240"/>
      <c r="G43" s="240"/>
      <c r="H43" s="140"/>
      <c r="I43" s="200"/>
      <c r="J43" s="92"/>
      <c r="K43" s="141"/>
    </row>
    <row r="44" spans="1:11" x14ac:dyDescent="0.2">
      <c r="A44" s="62"/>
      <c r="B44" s="169"/>
      <c r="C44" s="168"/>
      <c r="D44" s="155"/>
      <c r="E44" s="156"/>
      <c r="F44" s="13"/>
      <c r="G44" s="157"/>
      <c r="H44" s="139"/>
      <c r="I44" s="108"/>
      <c r="J44" s="29"/>
      <c r="K44" s="108"/>
    </row>
    <row r="45" spans="1:11" x14ac:dyDescent="0.2">
      <c r="A45" s="68"/>
      <c r="B45" s="169"/>
      <c r="C45" s="168"/>
      <c r="D45" s="155"/>
      <c r="E45" s="156"/>
      <c r="F45" s="13"/>
      <c r="G45" s="157"/>
      <c r="H45" s="139"/>
      <c r="I45" s="108"/>
      <c r="J45" s="29"/>
      <c r="K45" s="108"/>
    </row>
    <row r="46" spans="1:11" x14ac:dyDescent="0.2">
      <c r="A46" s="68"/>
      <c r="B46" s="169"/>
      <c r="C46" s="168"/>
      <c r="D46" s="155"/>
      <c r="E46" s="156"/>
      <c r="F46" s="13"/>
      <c r="G46" s="157"/>
      <c r="H46" s="139"/>
      <c r="I46" s="108"/>
      <c r="J46" s="29"/>
      <c r="K46" s="108"/>
    </row>
    <row r="47" spans="1:11" x14ac:dyDescent="0.2">
      <c r="A47" s="68"/>
      <c r="B47" s="169"/>
      <c r="C47" s="168"/>
      <c r="D47" s="155"/>
      <c r="E47" s="156"/>
      <c r="F47" s="13"/>
      <c r="G47" s="157"/>
      <c r="H47" s="139"/>
      <c r="I47" s="108"/>
      <c r="J47" s="29"/>
      <c r="K47" s="108"/>
    </row>
    <row r="48" spans="1:11" x14ac:dyDescent="0.2">
      <c r="A48" s="68"/>
      <c r="B48" s="169"/>
      <c r="C48" s="168"/>
      <c r="D48" s="155"/>
      <c r="E48" s="156"/>
      <c r="F48" s="13"/>
      <c r="G48" s="157"/>
      <c r="H48" s="139"/>
      <c r="I48" s="108"/>
      <c r="J48" s="29"/>
      <c r="K48" s="108"/>
    </row>
    <row r="49" spans="1:11" x14ac:dyDescent="0.2">
      <c r="A49" s="71"/>
      <c r="B49" s="169"/>
      <c r="C49" s="168"/>
      <c r="D49" s="155"/>
      <c r="E49" s="156"/>
      <c r="F49" s="13"/>
      <c r="G49" s="157"/>
      <c r="H49" s="139"/>
      <c r="I49" s="108"/>
      <c r="J49" s="29"/>
      <c r="K49" s="108"/>
    </row>
    <row r="50" spans="1:11" x14ac:dyDescent="0.2">
      <c r="A50" s="73" t="s">
        <v>82</v>
      </c>
      <c r="B50" s="169"/>
      <c r="C50" s="168"/>
      <c r="D50" s="155"/>
      <c r="E50" s="156"/>
      <c r="F50" s="13"/>
      <c r="G50" s="157"/>
      <c r="H50" s="139"/>
      <c r="I50" s="108"/>
      <c r="J50" s="29"/>
      <c r="K50" s="108"/>
    </row>
    <row r="51" spans="1:11" ht="12.75" customHeight="1" x14ac:dyDescent="0.2">
      <c r="A51" s="136">
        <v>6050.915</v>
      </c>
      <c r="B51" s="169"/>
      <c r="C51" s="168"/>
      <c r="D51" s="155"/>
      <c r="E51" s="156"/>
      <c r="F51" s="13"/>
      <c r="G51" s="157"/>
      <c r="H51" s="139"/>
      <c r="I51" s="108"/>
      <c r="J51" s="29"/>
      <c r="K51" s="108"/>
    </row>
    <row r="52" spans="1:11" x14ac:dyDescent="0.2">
      <c r="A52" s="69" t="s">
        <v>45</v>
      </c>
      <c r="B52" s="169"/>
      <c r="C52" s="168"/>
      <c r="D52" s="155"/>
      <c r="E52" s="156"/>
      <c r="F52" s="13"/>
      <c r="G52" s="157"/>
      <c r="H52" s="139"/>
      <c r="I52" s="108"/>
      <c r="J52" s="29"/>
      <c r="K52" s="108"/>
    </row>
    <row r="53" spans="1:11" ht="12.75" customHeight="1" x14ac:dyDescent="0.2">
      <c r="A53" s="73"/>
      <c r="B53" s="169"/>
      <c r="C53" s="168"/>
      <c r="D53" s="155"/>
      <c r="E53" s="156"/>
      <c r="F53" s="13"/>
      <c r="G53" s="157"/>
      <c r="H53" s="139"/>
      <c r="I53" s="108"/>
      <c r="J53" s="29"/>
      <c r="K53" s="108"/>
    </row>
    <row r="54" spans="1:11" ht="12.75" customHeight="1" x14ac:dyDescent="0.2">
      <c r="A54" s="73"/>
      <c r="B54" s="169"/>
      <c r="C54" s="168"/>
      <c r="D54" s="155"/>
      <c r="E54" s="156"/>
      <c r="F54" s="13"/>
      <c r="G54" s="157"/>
      <c r="H54" s="139"/>
      <c r="I54" s="108"/>
      <c r="J54" s="29"/>
      <c r="K54" s="108"/>
    </row>
    <row r="55" spans="1:11" ht="12.75" customHeight="1" x14ac:dyDescent="0.2">
      <c r="A55" s="73"/>
      <c r="B55" s="169"/>
      <c r="C55" s="168"/>
      <c r="D55" s="155"/>
      <c r="E55" s="156"/>
      <c r="F55" s="13"/>
      <c r="G55" s="157"/>
      <c r="H55" s="139"/>
      <c r="I55" s="108"/>
      <c r="J55" s="29"/>
      <c r="K55" s="108"/>
    </row>
    <row r="56" spans="1:11" ht="12.75" customHeight="1" x14ac:dyDescent="0.2">
      <c r="A56" s="73"/>
      <c r="B56" s="169"/>
      <c r="C56" s="168"/>
      <c r="D56" s="155"/>
      <c r="E56" s="156"/>
      <c r="F56" s="13"/>
      <c r="G56" s="157"/>
      <c r="H56" s="139"/>
      <c r="I56" s="108"/>
      <c r="J56" s="29"/>
      <c r="K56" s="108"/>
    </row>
    <row r="57" spans="1:11" x14ac:dyDescent="0.2">
      <c r="A57" s="73"/>
      <c r="B57" s="169"/>
      <c r="C57" s="168"/>
      <c r="D57" s="155"/>
      <c r="E57" s="156"/>
      <c r="F57" s="13"/>
      <c r="G57" s="157"/>
      <c r="H57" s="139"/>
      <c r="I57" s="108"/>
      <c r="J57" s="29"/>
      <c r="K57" s="108"/>
    </row>
    <row r="58" spans="1:11" x14ac:dyDescent="0.2">
      <c r="A58" s="76"/>
      <c r="B58" s="169"/>
      <c r="C58" s="168"/>
      <c r="D58" s="155"/>
      <c r="E58" s="156"/>
      <c r="F58" s="13"/>
      <c r="G58" s="157"/>
      <c r="H58" s="139"/>
      <c r="I58" s="108"/>
      <c r="J58" s="29"/>
      <c r="K58" s="108"/>
    </row>
    <row r="59" spans="1:11" x14ac:dyDescent="0.2">
      <c r="A59" s="73" t="s">
        <v>83</v>
      </c>
      <c r="B59" s="169"/>
      <c r="C59" s="168"/>
      <c r="D59" s="155"/>
      <c r="E59" s="156"/>
      <c r="F59" s="13"/>
      <c r="G59" s="157"/>
      <c r="H59" s="139"/>
      <c r="I59" s="108"/>
      <c r="J59" s="29"/>
      <c r="K59" s="108"/>
    </row>
    <row r="60" spans="1:11" x14ac:dyDescent="0.2">
      <c r="A60" s="217">
        <v>6400</v>
      </c>
      <c r="B60" s="169"/>
      <c r="C60" s="168"/>
      <c r="D60" s="155"/>
      <c r="E60" s="156"/>
      <c r="F60" s="13"/>
      <c r="G60" s="157"/>
      <c r="H60" s="139"/>
      <c r="I60" s="108"/>
      <c r="J60" s="29"/>
      <c r="K60" s="108"/>
    </row>
    <row r="61" spans="1:11" x14ac:dyDescent="0.2">
      <c r="A61" s="69" t="s">
        <v>45</v>
      </c>
      <c r="B61" s="169"/>
      <c r="C61" s="168"/>
      <c r="D61" s="155"/>
      <c r="E61" s="156"/>
      <c r="F61" s="13"/>
      <c r="G61" s="157"/>
      <c r="H61" s="139"/>
      <c r="I61" s="108"/>
      <c r="J61" s="29"/>
      <c r="K61" s="108"/>
    </row>
    <row r="62" spans="1:11" x14ac:dyDescent="0.2">
      <c r="A62" s="69"/>
      <c r="B62" s="169"/>
      <c r="C62" s="168"/>
      <c r="D62" s="155"/>
      <c r="E62" s="156"/>
      <c r="F62" s="13"/>
      <c r="G62" s="157"/>
      <c r="H62" s="139"/>
      <c r="I62" s="108"/>
      <c r="J62" s="29"/>
      <c r="K62" s="108"/>
    </row>
    <row r="63" spans="1:11" x14ac:dyDescent="0.2">
      <c r="A63" s="69"/>
      <c r="B63" s="169"/>
      <c r="C63" s="168"/>
      <c r="D63" s="155"/>
      <c r="E63" s="156"/>
      <c r="F63" s="13"/>
      <c r="G63" s="157"/>
      <c r="H63" s="139"/>
      <c r="I63" s="108"/>
      <c r="J63" s="29"/>
      <c r="K63" s="108"/>
    </row>
    <row r="64" spans="1:11" x14ac:dyDescent="0.2">
      <c r="A64" s="69"/>
      <c r="B64" s="169"/>
      <c r="C64" s="168"/>
      <c r="D64" s="155"/>
      <c r="E64" s="156"/>
      <c r="F64" s="13"/>
      <c r="G64" s="157"/>
      <c r="H64" s="139"/>
      <c r="I64" s="108"/>
      <c r="J64" s="29"/>
      <c r="K64" s="108"/>
    </row>
    <row r="65" spans="1:11" x14ac:dyDescent="0.2">
      <c r="A65" s="69"/>
      <c r="B65" s="169"/>
      <c r="C65" s="168"/>
      <c r="D65" s="155"/>
      <c r="E65" s="156"/>
      <c r="F65" s="13"/>
      <c r="G65" s="157"/>
      <c r="H65" s="139"/>
      <c r="I65" s="108"/>
      <c r="J65" s="29"/>
      <c r="K65" s="108"/>
    </row>
    <row r="66" spans="1:11" x14ac:dyDescent="0.2">
      <c r="A66" s="72"/>
      <c r="B66" s="169"/>
      <c r="C66" s="168"/>
      <c r="D66" s="155"/>
      <c r="E66" s="156"/>
      <c r="F66" s="13"/>
      <c r="G66" s="157"/>
      <c r="H66" s="139"/>
      <c r="I66" s="108"/>
      <c r="J66" s="29"/>
      <c r="K66" s="108"/>
    </row>
    <row r="67" spans="1:11" x14ac:dyDescent="0.2">
      <c r="A67" s="73" t="s">
        <v>35</v>
      </c>
      <c r="B67" s="169"/>
      <c r="C67" s="168"/>
      <c r="D67" s="155"/>
      <c r="E67" s="156"/>
      <c r="F67" s="13"/>
      <c r="G67" s="157"/>
      <c r="H67" s="139"/>
      <c r="I67" s="108"/>
      <c r="J67" s="29"/>
      <c r="K67" s="108"/>
    </row>
    <row r="68" spans="1:11" x14ac:dyDescent="0.2">
      <c r="A68" s="89" t="s">
        <v>108</v>
      </c>
      <c r="B68" s="169"/>
      <c r="C68" s="168"/>
      <c r="D68" s="155"/>
      <c r="E68" s="156"/>
      <c r="F68" s="13"/>
      <c r="G68" s="157"/>
      <c r="H68" s="139"/>
      <c r="I68" s="108"/>
      <c r="J68" s="29"/>
      <c r="K68" s="108"/>
    </row>
    <row r="69" spans="1:11" x14ac:dyDescent="0.2">
      <c r="A69" s="90" t="s">
        <v>109</v>
      </c>
      <c r="B69" s="169"/>
      <c r="C69" s="168"/>
      <c r="D69" s="155"/>
      <c r="E69" s="156"/>
      <c r="F69" s="13"/>
      <c r="G69" s="157"/>
      <c r="H69" s="139"/>
      <c r="I69" s="108"/>
      <c r="J69" s="29"/>
      <c r="K69" s="108"/>
    </row>
    <row r="70" spans="1:11" x14ac:dyDescent="0.2">
      <c r="A70" s="74"/>
      <c r="B70" s="161"/>
      <c r="C70" s="435"/>
      <c r="D70" s="436"/>
      <c r="E70" s="162"/>
      <c r="F70" s="163"/>
      <c r="G70" s="164"/>
      <c r="H70" s="158"/>
      <c r="I70" s="159"/>
      <c r="J70" s="160"/>
      <c r="K70" s="159"/>
    </row>
    <row r="71" spans="1:11" x14ac:dyDescent="0.2">
      <c r="A71" s="74"/>
      <c r="B71" s="165"/>
      <c r="C71" s="415"/>
      <c r="D71" s="416"/>
      <c r="E71" s="166"/>
      <c r="F71" s="163"/>
      <c r="G71" s="164"/>
      <c r="H71" s="158"/>
      <c r="I71" s="159"/>
      <c r="J71" s="160"/>
      <c r="K71" s="159"/>
    </row>
    <row r="72" spans="1:11" x14ac:dyDescent="0.2">
      <c r="A72" s="82"/>
      <c r="B72" s="167"/>
      <c r="C72" s="415"/>
      <c r="D72" s="416"/>
      <c r="E72" s="166"/>
      <c r="F72" s="163"/>
      <c r="G72" s="164"/>
      <c r="H72" s="158"/>
      <c r="I72" s="159"/>
      <c r="J72" s="160"/>
      <c r="K72" s="159"/>
    </row>
    <row r="73" spans="1:11" x14ac:dyDescent="0.2">
      <c r="A73" s="73" t="s">
        <v>34</v>
      </c>
      <c r="B73" s="375"/>
      <c r="C73" s="376"/>
      <c r="D73" s="376"/>
      <c r="E73" s="77"/>
      <c r="F73" s="78"/>
      <c r="G73" s="17"/>
      <c r="H73" s="68"/>
      <c r="I73" s="108"/>
      <c r="J73" s="78"/>
      <c r="K73" s="108"/>
    </row>
    <row r="74" spans="1:11" x14ac:dyDescent="0.2">
      <c r="A74" s="89">
        <f>G75</f>
        <v>20421.899999999998</v>
      </c>
      <c r="B74" s="375"/>
      <c r="C74" s="376"/>
      <c r="D74" s="376"/>
      <c r="E74" s="77"/>
      <c r="F74" s="78"/>
      <c r="G74" s="17"/>
      <c r="H74" s="68"/>
      <c r="I74" s="108"/>
      <c r="J74" s="109"/>
      <c r="K74" s="108"/>
    </row>
    <row r="75" spans="1:11" ht="12.75" thickBot="1" x14ac:dyDescent="0.25">
      <c r="A75" s="90">
        <f>I75</f>
        <v>1889025.75</v>
      </c>
      <c r="B75" s="375" t="s">
        <v>110</v>
      </c>
      <c r="C75" s="376"/>
      <c r="D75" s="376"/>
      <c r="E75" s="129"/>
      <c r="F75" s="79"/>
      <c r="G75" s="18">
        <f>SUM(G25:G74)</f>
        <v>20421.899999999998</v>
      </c>
      <c r="H75" s="78"/>
      <c r="I75" s="106">
        <f>SUM(I25:I74)</f>
        <v>1889025.75</v>
      </c>
      <c r="J75" s="78"/>
      <c r="K75" s="106">
        <f>SUM(K25:K74)</f>
        <v>329531</v>
      </c>
    </row>
    <row r="76" spans="1:11" ht="12.75" thickTop="1" x14ac:dyDescent="0.2">
      <c r="A76" s="74"/>
      <c r="B76" s="429" t="s">
        <v>54</v>
      </c>
      <c r="C76" s="430"/>
      <c r="D76" s="86" t="s">
        <v>100</v>
      </c>
      <c r="E76" s="128" t="s">
        <v>55</v>
      </c>
      <c r="F76" s="427" t="s">
        <v>67</v>
      </c>
      <c r="G76" s="428"/>
      <c r="H76" s="80" t="s">
        <v>56</v>
      </c>
      <c r="I76" s="81" t="s">
        <v>57</v>
      </c>
      <c r="J76" s="81" t="s">
        <v>58</v>
      </c>
      <c r="K76" s="76" t="s">
        <v>59</v>
      </c>
    </row>
    <row r="77" spans="1:11" ht="13.5" customHeight="1" x14ac:dyDescent="0.2">
      <c r="A77" s="74"/>
      <c r="B77" s="426" t="s">
        <v>75</v>
      </c>
      <c r="C77" s="426"/>
      <c r="D77" s="111">
        <f>SUM(Page1!E28:E69,Page1!E71:E75)</f>
        <v>40395</v>
      </c>
      <c r="E77" s="84">
        <f>SUM(Page1!G28:G69,Page1!G71:G75)</f>
        <v>13313.75</v>
      </c>
      <c r="F77" s="412">
        <f>SUM(Page1!I28:I75)</f>
        <v>1231521.875</v>
      </c>
      <c r="G77" s="412"/>
      <c r="H77" s="105">
        <v>0</v>
      </c>
      <c r="I77" s="105">
        <v>0</v>
      </c>
      <c r="J77" s="105">
        <f>SUM(Page1!K28:K75)</f>
        <v>221678</v>
      </c>
      <c r="K77" s="105">
        <f>SUM(H77:J77)</f>
        <v>221678</v>
      </c>
    </row>
    <row r="78" spans="1:11" ht="13.5" customHeight="1" x14ac:dyDescent="0.2">
      <c r="A78" s="74"/>
      <c r="B78" s="417" t="s">
        <v>96</v>
      </c>
      <c r="C78" s="417"/>
      <c r="D78" s="87">
        <f>SUM(Page1!E78:E79)+SUM(Page2!E28:E38)</f>
        <v>29170</v>
      </c>
      <c r="E78" s="91">
        <f>SUM(Page1!G78:G79)+SUM(Page2!G28:G38)</f>
        <v>6235.2</v>
      </c>
      <c r="F78" s="418">
        <f>SUM(I28:I38)+SUM(Page1!I78:I79)</f>
        <v>576756</v>
      </c>
      <c r="G78" s="418"/>
      <c r="H78" s="180">
        <v>0</v>
      </c>
      <c r="I78" s="180">
        <v>0</v>
      </c>
      <c r="J78" s="180">
        <f>SUM(K28:K38)+SUM(Page1!K78:K79)</f>
        <v>103816</v>
      </c>
      <c r="K78" s="180">
        <f>SUM(H78:J78)</f>
        <v>103816</v>
      </c>
    </row>
    <row r="79" spans="1:11" ht="13.5" customHeight="1" x14ac:dyDescent="0.2">
      <c r="A79" s="74"/>
      <c r="B79" s="417" t="s">
        <v>151</v>
      </c>
      <c r="C79" s="417"/>
      <c r="D79" s="87">
        <f>SUM(E41:E42)</f>
        <v>1027</v>
      </c>
      <c r="E79" s="91">
        <f>SUM(G41:G42)</f>
        <v>872.95</v>
      </c>
      <c r="F79" s="431">
        <f>SUM(I41:I42)</f>
        <v>80747.875</v>
      </c>
      <c r="G79" s="431"/>
      <c r="H79" s="191">
        <v>0</v>
      </c>
      <c r="I79" s="191">
        <v>0</v>
      </c>
      <c r="J79" s="191">
        <f>SUM(K41:K42)</f>
        <v>4037</v>
      </c>
      <c r="K79" s="191">
        <f>SUM(H79:J79)</f>
        <v>4037</v>
      </c>
    </row>
    <row r="80" spans="1:11" ht="13.5" customHeight="1" thickBot="1" x14ac:dyDescent="0.25">
      <c r="A80" s="89"/>
      <c r="B80" s="424" t="s">
        <v>60</v>
      </c>
      <c r="C80" s="425"/>
      <c r="D80" s="88">
        <f>SUM(D77:D79)</f>
        <v>70592</v>
      </c>
      <c r="E80" s="18">
        <f>SUM(E77:E79)</f>
        <v>20421.900000000001</v>
      </c>
      <c r="F80" s="413">
        <f>SUM(F77:F79)</f>
        <v>1889025.75</v>
      </c>
      <c r="G80" s="414">
        <f t="shared" ref="G80:I80" si="4">SUM(G77:G79)</f>
        <v>0</v>
      </c>
      <c r="H80" s="106">
        <f t="shared" si="4"/>
        <v>0</v>
      </c>
      <c r="I80" s="106">
        <f t="shared" si="4"/>
        <v>0</v>
      </c>
      <c r="J80" s="106">
        <f>SUM(J77:J79)</f>
        <v>329531</v>
      </c>
      <c r="K80" s="106">
        <f>SUM(K77:K79)</f>
        <v>329531</v>
      </c>
    </row>
    <row r="81" spans="1:11" ht="12.75" thickTop="1" x14ac:dyDescent="0.2">
      <c r="A81" s="90"/>
      <c r="B81" s="432" t="s">
        <v>180</v>
      </c>
      <c r="C81" s="433"/>
      <c r="D81" s="433"/>
      <c r="E81" s="433"/>
      <c r="F81" s="433"/>
      <c r="G81" s="433"/>
      <c r="H81" s="433"/>
      <c r="I81" s="433"/>
      <c r="J81" s="433"/>
      <c r="K81" s="434"/>
    </row>
    <row r="82" spans="1:11" ht="12.75" customHeight="1" x14ac:dyDescent="0.2">
      <c r="A82" s="82"/>
      <c r="B82" s="421" t="s">
        <v>181</v>
      </c>
      <c r="C82" s="422"/>
      <c r="D82" s="422"/>
      <c r="E82" s="422"/>
      <c r="F82" s="422"/>
      <c r="G82" s="422"/>
      <c r="H82" s="422"/>
      <c r="I82" s="422"/>
      <c r="J82" s="422"/>
      <c r="K82" s="423"/>
    </row>
    <row r="83" spans="1:11" ht="12.75" x14ac:dyDescent="0.2">
      <c r="A83" s="400" t="s">
        <v>90</v>
      </c>
      <c r="B83" s="401"/>
      <c r="C83" s="401"/>
      <c r="D83" s="401"/>
      <c r="E83" s="402"/>
      <c r="F83" s="402"/>
      <c r="G83" s="402"/>
      <c r="H83" s="403" t="s">
        <v>194</v>
      </c>
      <c r="I83" s="404"/>
      <c r="J83" s="404"/>
      <c r="K83" s="405"/>
    </row>
    <row r="84" spans="1:11" ht="12.75" customHeight="1" x14ac:dyDescent="0.2">
      <c r="A84" s="406" t="s">
        <v>91</v>
      </c>
      <c r="B84" s="407"/>
      <c r="C84" s="407"/>
      <c r="D84" s="407"/>
      <c r="E84" s="352"/>
      <c r="F84" s="352"/>
      <c r="G84" s="352"/>
      <c r="H84" s="342"/>
      <c r="I84" s="408"/>
      <c r="J84" s="408"/>
      <c r="K84" s="409"/>
    </row>
    <row r="85" spans="1:11" ht="12.75" x14ac:dyDescent="0.2">
      <c r="A85" s="350" t="s">
        <v>18</v>
      </c>
      <c r="B85" s="351"/>
      <c r="C85" s="351"/>
      <c r="D85" s="351"/>
      <c r="E85" s="352"/>
      <c r="F85" s="352"/>
      <c r="G85" s="352"/>
      <c r="H85" s="342"/>
      <c r="I85" s="408"/>
      <c r="J85" s="408"/>
      <c r="K85" s="409"/>
    </row>
    <row r="86" spans="1:11" ht="12.75" x14ac:dyDescent="0.2">
      <c r="A86" s="350" t="s">
        <v>68</v>
      </c>
      <c r="B86" s="351"/>
      <c r="C86" s="351"/>
      <c r="D86" s="351"/>
      <c r="E86" s="351"/>
      <c r="F86" s="351"/>
      <c r="G86" s="351"/>
      <c r="H86" s="342" t="s">
        <v>113</v>
      </c>
      <c r="I86" s="408"/>
      <c r="J86" s="408"/>
      <c r="K86" s="409"/>
    </row>
    <row r="87" spans="1:11" ht="12.75" x14ac:dyDescent="0.2">
      <c r="A87" s="373" t="s">
        <v>106</v>
      </c>
      <c r="B87" s="410"/>
      <c r="C87" s="410"/>
      <c r="D87" s="410"/>
      <c r="E87" s="411"/>
      <c r="F87" s="411"/>
      <c r="G87" s="411"/>
      <c r="H87" s="342"/>
      <c r="I87" s="408"/>
      <c r="J87" s="408"/>
      <c r="K87" s="409"/>
    </row>
    <row r="88" spans="1:11" x14ac:dyDescent="0.2">
      <c r="A88" s="396" t="s">
        <v>79</v>
      </c>
      <c r="B88" s="397"/>
      <c r="C88" s="397"/>
      <c r="D88" s="397"/>
      <c r="E88" s="397"/>
      <c r="F88" s="397"/>
      <c r="G88" s="397"/>
      <c r="H88" s="398" t="s">
        <v>193</v>
      </c>
      <c r="I88" s="398"/>
      <c r="J88" s="398"/>
      <c r="K88" s="399"/>
    </row>
    <row r="89" spans="1:11" x14ac:dyDescent="0.2"/>
    <row r="90" spans="1:11" x14ac:dyDescent="0.2"/>
    <row r="91" spans="1:11" x14ac:dyDescent="0.2"/>
    <row r="92" spans="1:11" x14ac:dyDescent="0.2"/>
    <row r="93" spans="1:11" x14ac:dyDescent="0.2"/>
    <row r="94" spans="1:11" x14ac:dyDescent="0.2"/>
    <row r="95" spans="1:11" x14ac:dyDescent="0.2"/>
    <row r="96" spans="1:11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</sheetData>
  <mergeCells count="101">
    <mergeCell ref="B26:G26"/>
    <mergeCell ref="B82:K82"/>
    <mergeCell ref="B80:C80"/>
    <mergeCell ref="B77:C77"/>
    <mergeCell ref="B73:D73"/>
    <mergeCell ref="B74:D74"/>
    <mergeCell ref="B75:D75"/>
    <mergeCell ref="F76:G76"/>
    <mergeCell ref="B76:C76"/>
    <mergeCell ref="B79:C79"/>
    <mergeCell ref="F79:G79"/>
    <mergeCell ref="B81:K81"/>
    <mergeCell ref="C72:D72"/>
    <mergeCell ref="C70:D70"/>
    <mergeCell ref="B39:G39"/>
    <mergeCell ref="C40:D40"/>
    <mergeCell ref="C41:D41"/>
    <mergeCell ref="C42:D42"/>
    <mergeCell ref="F23:G23"/>
    <mergeCell ref="H23:I23"/>
    <mergeCell ref="J23:K23"/>
    <mergeCell ref="B25:E25"/>
    <mergeCell ref="A88:G88"/>
    <mergeCell ref="H88:K88"/>
    <mergeCell ref="A83:G83"/>
    <mergeCell ref="H83:K83"/>
    <mergeCell ref="A84:G84"/>
    <mergeCell ref="H84:K84"/>
    <mergeCell ref="A85:G85"/>
    <mergeCell ref="H85:K85"/>
    <mergeCell ref="A86:G86"/>
    <mergeCell ref="H86:K86"/>
    <mergeCell ref="A87:G87"/>
    <mergeCell ref="H87:K87"/>
    <mergeCell ref="F77:G77"/>
    <mergeCell ref="F80:G80"/>
    <mergeCell ref="C71:D71"/>
    <mergeCell ref="B78:C78"/>
    <mergeCell ref="F78:G78"/>
    <mergeCell ref="B24:E24"/>
    <mergeCell ref="H24:I24"/>
    <mergeCell ref="J24:K24"/>
    <mergeCell ref="B22:D22"/>
    <mergeCell ref="B23:E23"/>
    <mergeCell ref="F7:G7"/>
    <mergeCell ref="H7:K7"/>
    <mergeCell ref="A8:B8"/>
    <mergeCell ref="C8:E8"/>
    <mergeCell ref="A12:E12"/>
    <mergeCell ref="G12:K12"/>
    <mergeCell ref="G15:K15"/>
    <mergeCell ref="G16:K16"/>
    <mergeCell ref="A16:B16"/>
    <mergeCell ref="C16:E16"/>
    <mergeCell ref="B15:E15"/>
    <mergeCell ref="H20:K20"/>
    <mergeCell ref="A17:B17"/>
    <mergeCell ref="C17:E17"/>
    <mergeCell ref="A18:B18"/>
    <mergeCell ref="C18:E18"/>
    <mergeCell ref="F18:G18"/>
    <mergeCell ref="H18:K18"/>
    <mergeCell ref="A19:B19"/>
    <mergeCell ref="C19:E19"/>
    <mergeCell ref="A20:B20"/>
    <mergeCell ref="C20:E20"/>
    <mergeCell ref="B14:E14"/>
    <mergeCell ref="F14:H14"/>
    <mergeCell ref="I14:K14"/>
    <mergeCell ref="G8:K8"/>
    <mergeCell ref="A5:E5"/>
    <mergeCell ref="F5:G5"/>
    <mergeCell ref="A6:E6"/>
    <mergeCell ref="A21:B21"/>
    <mergeCell ref="C21:E21"/>
    <mergeCell ref="H21:K21"/>
    <mergeCell ref="F21:G21"/>
    <mergeCell ref="F20:G20"/>
    <mergeCell ref="H19:K19"/>
    <mergeCell ref="F19:G19"/>
    <mergeCell ref="G17:K17"/>
    <mergeCell ref="B1:J1"/>
    <mergeCell ref="A2:E3"/>
    <mergeCell ref="G2:J2"/>
    <mergeCell ref="G3:J3"/>
    <mergeCell ref="A4:E4"/>
    <mergeCell ref="F4:G4"/>
    <mergeCell ref="H4:K4"/>
    <mergeCell ref="B13:E13"/>
    <mergeCell ref="F13:H13"/>
    <mergeCell ref="I13:K13"/>
    <mergeCell ref="H6:K6"/>
    <mergeCell ref="A11:E11"/>
    <mergeCell ref="G11:K11"/>
    <mergeCell ref="H5:K5"/>
    <mergeCell ref="A9:E9"/>
    <mergeCell ref="G9:K9"/>
    <mergeCell ref="A7:E7"/>
    <mergeCell ref="F6:G6"/>
    <mergeCell ref="A10:E10"/>
    <mergeCell ref="G10:K10"/>
  </mergeCells>
  <printOptions horizontalCentered="1"/>
  <pageMargins left="0.51181102362204722" right="0.23622047244094491" top="0.23622047244094491" bottom="0.23622047244094491" header="0" footer="0"/>
  <pageSetup paperSize="9" scale="7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9"/>
  <sheetViews>
    <sheetView zoomScaleNormal="100" workbookViewId="0">
      <selection sqref="A1:G7"/>
    </sheetView>
  </sheetViews>
  <sheetFormatPr defaultColWidth="13.1640625" defaultRowHeight="15" x14ac:dyDescent="0.25"/>
  <cols>
    <col min="1" max="1" width="12.6640625" style="21" customWidth="1"/>
    <col min="2" max="2" width="30.83203125" style="21" bestFit="1" customWidth="1"/>
    <col min="3" max="3" width="13.83203125" style="21" bestFit="1" customWidth="1"/>
    <col min="4" max="4" width="13.33203125" style="21" bestFit="1" customWidth="1"/>
    <col min="5" max="5" width="14.33203125" style="21" bestFit="1" customWidth="1"/>
    <col min="6" max="6" width="13.33203125" style="21" bestFit="1" customWidth="1"/>
    <col min="7" max="7" width="11.5" style="21" bestFit="1" customWidth="1"/>
    <col min="8" max="16384" width="13.1640625" style="21"/>
  </cols>
  <sheetData>
    <row r="1" spans="1:7" x14ac:dyDescent="0.25">
      <c r="A1" s="460"/>
      <c r="B1" s="460"/>
      <c r="C1" s="460"/>
      <c r="D1" s="460"/>
      <c r="E1" s="460"/>
      <c r="F1" s="460"/>
      <c r="G1" s="460"/>
    </row>
    <row r="2" spans="1:7" x14ac:dyDescent="0.25">
      <c r="A2" s="460"/>
      <c r="B2" s="460"/>
      <c r="C2" s="460"/>
      <c r="D2" s="460"/>
      <c r="E2" s="460"/>
      <c r="F2" s="460"/>
      <c r="G2" s="460"/>
    </row>
    <row r="3" spans="1:7" x14ac:dyDescent="0.25">
      <c r="A3" s="460"/>
      <c r="B3" s="460"/>
      <c r="C3" s="460"/>
      <c r="D3" s="460"/>
      <c r="E3" s="460"/>
      <c r="F3" s="460"/>
      <c r="G3" s="460"/>
    </row>
    <row r="4" spans="1:7" x14ac:dyDescent="0.25">
      <c r="A4" s="460"/>
      <c r="B4" s="460"/>
      <c r="C4" s="460"/>
      <c r="D4" s="460"/>
      <c r="E4" s="460"/>
      <c r="F4" s="460"/>
      <c r="G4" s="460"/>
    </row>
    <row r="5" spans="1:7" x14ac:dyDescent="0.25">
      <c r="A5" s="460"/>
      <c r="B5" s="460"/>
      <c r="C5" s="460"/>
      <c r="D5" s="460"/>
      <c r="E5" s="460"/>
      <c r="F5" s="460"/>
      <c r="G5" s="460"/>
    </row>
    <row r="6" spans="1:7" x14ac:dyDescent="0.25">
      <c r="A6" s="460"/>
      <c r="B6" s="460"/>
      <c r="C6" s="460"/>
      <c r="D6" s="460"/>
      <c r="E6" s="460"/>
      <c r="F6" s="460"/>
      <c r="G6" s="460"/>
    </row>
    <row r="7" spans="1:7" x14ac:dyDescent="0.25">
      <c r="A7" s="460"/>
      <c r="B7" s="460"/>
      <c r="C7" s="460"/>
      <c r="D7" s="460"/>
      <c r="E7" s="460"/>
      <c r="F7" s="460"/>
      <c r="G7" s="460"/>
    </row>
    <row r="8" spans="1:7" x14ac:dyDescent="0.25">
      <c r="A8" s="460" t="s">
        <v>36</v>
      </c>
      <c r="B8" s="460"/>
      <c r="C8" s="460"/>
      <c r="D8" s="460"/>
      <c r="E8" s="460"/>
      <c r="F8" s="460"/>
      <c r="G8" s="460"/>
    </row>
    <row r="9" spans="1:7" x14ac:dyDescent="0.25">
      <c r="A9" s="460"/>
      <c r="B9" s="460"/>
      <c r="C9" s="460"/>
      <c r="D9" s="460"/>
      <c r="E9" s="460"/>
      <c r="F9" s="460"/>
      <c r="G9" s="460"/>
    </row>
    <row r="10" spans="1:7" x14ac:dyDescent="0.25">
      <c r="A10" s="21" t="s">
        <v>37</v>
      </c>
      <c r="B10" s="43" t="str">
        <f>Page1!G2</f>
        <v>JG/26-27/6002 DT 04.05.2026</v>
      </c>
      <c r="C10" s="21" t="s">
        <v>38</v>
      </c>
      <c r="D10" s="22">
        <v>421</v>
      </c>
      <c r="E10" s="21" t="s">
        <v>39</v>
      </c>
      <c r="F10" s="461" t="s">
        <v>32</v>
      </c>
      <c r="G10" s="461"/>
    </row>
    <row r="11" spans="1:7" x14ac:dyDescent="0.25">
      <c r="A11" s="20"/>
      <c r="B11" s="20"/>
      <c r="C11" s="20"/>
      <c r="D11" s="20"/>
      <c r="E11" s="20"/>
      <c r="F11" s="20"/>
      <c r="G11" s="20"/>
    </row>
    <row r="12" spans="1:7" x14ac:dyDescent="0.25">
      <c r="A12" s="462" t="s">
        <v>50</v>
      </c>
      <c r="B12" s="463"/>
      <c r="C12" s="19" t="s">
        <v>40</v>
      </c>
      <c r="D12" s="464" t="s">
        <v>62</v>
      </c>
      <c r="E12" s="464"/>
      <c r="F12" s="110" t="s">
        <v>41</v>
      </c>
      <c r="G12" s="31" t="s">
        <v>42</v>
      </c>
    </row>
    <row r="13" spans="1:7" x14ac:dyDescent="0.25">
      <c r="A13" s="452" t="s">
        <v>77</v>
      </c>
      <c r="B13" s="453"/>
      <c r="C13" s="30" t="s">
        <v>61</v>
      </c>
      <c r="D13" s="30" t="s">
        <v>43</v>
      </c>
      <c r="E13" s="30" t="s">
        <v>44</v>
      </c>
      <c r="F13" s="30" t="s">
        <v>45</v>
      </c>
      <c r="G13" s="30" t="s">
        <v>46</v>
      </c>
    </row>
    <row r="14" spans="1:7" x14ac:dyDescent="0.25">
      <c r="A14" s="137" t="s">
        <v>123</v>
      </c>
      <c r="B14" s="47"/>
      <c r="C14" s="48">
        <v>6000</v>
      </c>
      <c r="D14" s="135">
        <v>7.0000000000000007E-2</v>
      </c>
      <c r="E14" s="131">
        <f>C14*D14</f>
        <v>420.00000000000006</v>
      </c>
      <c r="F14" s="132">
        <v>242.10000000000002</v>
      </c>
      <c r="G14" s="131">
        <f t="shared" ref="G14:G55" si="0">E14/F14</f>
        <v>1.7348203221809171</v>
      </c>
    </row>
    <row r="15" spans="1:7" x14ac:dyDescent="0.25">
      <c r="A15" s="137" t="s">
        <v>126</v>
      </c>
      <c r="B15" s="47"/>
      <c r="C15" s="48">
        <v>7200</v>
      </c>
      <c r="D15" s="135">
        <v>0.24</v>
      </c>
      <c r="E15" s="131">
        <f t="shared" ref="E15:E55" si="1">C15*D15</f>
        <v>1728</v>
      </c>
      <c r="F15" s="132">
        <v>581.04</v>
      </c>
      <c r="G15" s="131">
        <f t="shared" si="0"/>
        <v>2.9739776951672865</v>
      </c>
    </row>
    <row r="16" spans="1:7" x14ac:dyDescent="0.25">
      <c r="A16" s="137">
        <v>90441400</v>
      </c>
      <c r="B16" s="47"/>
      <c r="C16" s="48">
        <v>2600</v>
      </c>
      <c r="D16" s="135">
        <v>0.24</v>
      </c>
      <c r="E16" s="131">
        <f t="shared" si="1"/>
        <v>624</v>
      </c>
      <c r="F16" s="132">
        <v>209.82</v>
      </c>
      <c r="G16" s="131">
        <f t="shared" si="0"/>
        <v>2.9739776951672865</v>
      </c>
    </row>
    <row r="17" spans="1:7" x14ac:dyDescent="0.25">
      <c r="A17" s="137" t="s">
        <v>127</v>
      </c>
      <c r="B17" s="47"/>
      <c r="C17" s="48">
        <v>2300</v>
      </c>
      <c r="D17" s="135">
        <v>0.3</v>
      </c>
      <c r="E17" s="131">
        <f t="shared" si="1"/>
        <v>690</v>
      </c>
      <c r="F17" s="132">
        <v>247.25</v>
      </c>
      <c r="G17" s="131">
        <f t="shared" si="0"/>
        <v>2.7906976744186047</v>
      </c>
    </row>
    <row r="18" spans="1:7" x14ac:dyDescent="0.25">
      <c r="A18" s="137">
        <v>90441600</v>
      </c>
      <c r="B18" s="47"/>
      <c r="C18" s="48">
        <v>1600</v>
      </c>
      <c r="D18" s="135">
        <v>0.31</v>
      </c>
      <c r="E18" s="131">
        <f t="shared" si="1"/>
        <v>496</v>
      </c>
      <c r="F18" s="132">
        <v>172</v>
      </c>
      <c r="G18" s="131">
        <f t="shared" si="0"/>
        <v>2.8837209302325579</v>
      </c>
    </row>
    <row r="19" spans="1:7" x14ac:dyDescent="0.25">
      <c r="A19" s="137" t="s">
        <v>159</v>
      </c>
      <c r="B19" s="47"/>
      <c r="C19" s="48">
        <v>1000</v>
      </c>
      <c r="D19" s="135">
        <v>0.41</v>
      </c>
      <c r="E19" s="131">
        <f t="shared" ref="E19:E42" si="2">C19*D19</f>
        <v>410</v>
      </c>
      <c r="F19" s="132">
        <v>161.4</v>
      </c>
      <c r="G19" s="131">
        <f t="shared" ref="G19:G42" si="3">E19/F19</f>
        <v>2.5402726146220571</v>
      </c>
    </row>
    <row r="20" spans="1:7" x14ac:dyDescent="0.25">
      <c r="A20" s="137">
        <v>90441800</v>
      </c>
      <c r="B20" s="47"/>
      <c r="C20" s="48">
        <v>700</v>
      </c>
      <c r="D20" s="135">
        <v>0.44</v>
      </c>
      <c r="E20" s="131">
        <f t="shared" si="2"/>
        <v>308</v>
      </c>
      <c r="F20" s="132">
        <v>112.98</v>
      </c>
      <c r="G20" s="131">
        <f t="shared" si="3"/>
        <v>2.7261462205700124</v>
      </c>
    </row>
    <row r="21" spans="1:7" x14ac:dyDescent="0.25">
      <c r="A21" s="137" t="s">
        <v>133</v>
      </c>
      <c r="B21" s="47"/>
      <c r="C21" s="48">
        <v>50</v>
      </c>
      <c r="D21" s="135">
        <v>0.53</v>
      </c>
      <c r="E21" s="131">
        <f t="shared" si="2"/>
        <v>26.5</v>
      </c>
      <c r="F21" s="132">
        <v>10.75</v>
      </c>
      <c r="G21" s="131">
        <f t="shared" si="3"/>
        <v>2.4651162790697674</v>
      </c>
    </row>
    <row r="22" spans="1:7" x14ac:dyDescent="0.25">
      <c r="A22" s="137" t="s">
        <v>160</v>
      </c>
      <c r="B22" s="47"/>
      <c r="C22" s="48">
        <v>500</v>
      </c>
      <c r="D22" s="135">
        <v>0.13</v>
      </c>
      <c r="E22" s="131">
        <f t="shared" si="2"/>
        <v>65</v>
      </c>
      <c r="F22" s="132">
        <v>14</v>
      </c>
      <c r="G22" s="131">
        <f t="shared" si="3"/>
        <v>4.6428571428571432</v>
      </c>
    </row>
    <row r="23" spans="1:7" x14ac:dyDescent="0.25">
      <c r="A23" s="137">
        <v>90447000</v>
      </c>
      <c r="B23" s="47"/>
      <c r="C23" s="48">
        <v>4000</v>
      </c>
      <c r="D23" s="135">
        <v>0.22</v>
      </c>
      <c r="E23" s="131">
        <f t="shared" si="2"/>
        <v>880</v>
      </c>
      <c r="F23" s="132">
        <v>256</v>
      </c>
      <c r="G23" s="131">
        <f t="shared" si="3"/>
        <v>3.4375</v>
      </c>
    </row>
    <row r="24" spans="1:7" x14ac:dyDescent="0.25">
      <c r="A24" s="137" t="s">
        <v>161</v>
      </c>
      <c r="B24" s="47"/>
      <c r="C24" s="48">
        <v>400</v>
      </c>
      <c r="D24" s="135">
        <v>0.35</v>
      </c>
      <c r="E24" s="131">
        <f t="shared" si="2"/>
        <v>140</v>
      </c>
      <c r="F24" s="132">
        <v>52</v>
      </c>
      <c r="G24" s="131">
        <f t="shared" si="3"/>
        <v>2.6923076923076925</v>
      </c>
    </row>
    <row r="25" spans="1:7" x14ac:dyDescent="0.25">
      <c r="A25" s="137">
        <v>90442400</v>
      </c>
      <c r="B25" s="47"/>
      <c r="C25" s="48">
        <v>1600</v>
      </c>
      <c r="D25" s="135">
        <v>0.36</v>
      </c>
      <c r="E25" s="131">
        <f t="shared" si="2"/>
        <v>576</v>
      </c>
      <c r="F25" s="132">
        <v>208</v>
      </c>
      <c r="G25" s="131">
        <f t="shared" si="3"/>
        <v>2.7692307692307692</v>
      </c>
    </row>
    <row r="26" spans="1:7" x14ac:dyDescent="0.25">
      <c r="A26" s="137" t="s">
        <v>134</v>
      </c>
      <c r="B26" s="47"/>
      <c r="C26" s="48">
        <v>1000</v>
      </c>
      <c r="D26" s="135">
        <v>0.45</v>
      </c>
      <c r="E26" s="131">
        <f t="shared" si="2"/>
        <v>450</v>
      </c>
      <c r="F26" s="132">
        <v>170</v>
      </c>
      <c r="G26" s="131">
        <f t="shared" si="3"/>
        <v>2.6470588235294117</v>
      </c>
    </row>
    <row r="27" spans="1:7" x14ac:dyDescent="0.25">
      <c r="A27" s="137">
        <v>90442700</v>
      </c>
      <c r="B27" s="47"/>
      <c r="C27" s="48">
        <v>500</v>
      </c>
      <c r="D27" s="135">
        <v>0.56000000000000005</v>
      </c>
      <c r="E27" s="131">
        <f t="shared" si="2"/>
        <v>280</v>
      </c>
      <c r="F27" s="132">
        <v>110</v>
      </c>
      <c r="G27" s="131">
        <f t="shared" si="3"/>
        <v>2.5454545454545454</v>
      </c>
    </row>
    <row r="28" spans="1:7" x14ac:dyDescent="0.25">
      <c r="A28" s="137" t="s">
        <v>162</v>
      </c>
      <c r="B28" s="47"/>
      <c r="C28" s="48">
        <v>600</v>
      </c>
      <c r="D28" s="135">
        <v>0.24</v>
      </c>
      <c r="E28" s="131">
        <f t="shared" si="2"/>
        <v>144</v>
      </c>
      <c r="F28" s="132">
        <v>43.2</v>
      </c>
      <c r="G28" s="131">
        <f t="shared" si="3"/>
        <v>3.333333333333333</v>
      </c>
    </row>
    <row r="29" spans="1:7" x14ac:dyDescent="0.25">
      <c r="A29" s="137">
        <v>90448000</v>
      </c>
      <c r="B29" s="47"/>
      <c r="C29" s="48">
        <v>500</v>
      </c>
      <c r="D29" s="135">
        <v>0.35</v>
      </c>
      <c r="E29" s="131">
        <f t="shared" si="2"/>
        <v>175</v>
      </c>
      <c r="F29" s="132">
        <v>49.3</v>
      </c>
      <c r="G29" s="131">
        <f t="shared" si="3"/>
        <v>3.5496957403651117</v>
      </c>
    </row>
    <row r="30" spans="1:7" x14ac:dyDescent="0.25">
      <c r="A30" s="137" t="s">
        <v>129</v>
      </c>
      <c r="B30" s="47"/>
      <c r="C30" s="48">
        <v>1000</v>
      </c>
      <c r="D30" s="135">
        <v>0.39</v>
      </c>
      <c r="E30" s="131">
        <f t="shared" si="2"/>
        <v>390</v>
      </c>
      <c r="F30" s="132">
        <v>137</v>
      </c>
      <c r="G30" s="131">
        <f t="shared" si="3"/>
        <v>2.8467153284671531</v>
      </c>
    </row>
    <row r="31" spans="1:7" x14ac:dyDescent="0.25">
      <c r="A31" s="137" t="s">
        <v>124</v>
      </c>
      <c r="B31" s="47"/>
      <c r="C31" s="48">
        <v>2300</v>
      </c>
      <c r="D31" s="135">
        <v>0.45</v>
      </c>
      <c r="E31" s="131">
        <f t="shared" si="2"/>
        <v>1035</v>
      </c>
      <c r="F31" s="132">
        <v>391</v>
      </c>
      <c r="G31" s="131">
        <f t="shared" si="3"/>
        <v>2.6470588235294117</v>
      </c>
    </row>
    <row r="32" spans="1:7" x14ac:dyDescent="0.25">
      <c r="A32" s="137">
        <v>90443400</v>
      </c>
      <c r="B32" s="47"/>
      <c r="C32" s="48">
        <v>800</v>
      </c>
      <c r="D32" s="135">
        <v>0.46</v>
      </c>
      <c r="E32" s="131">
        <f t="shared" si="2"/>
        <v>368</v>
      </c>
      <c r="F32" s="132">
        <v>136</v>
      </c>
      <c r="G32" s="131">
        <f t="shared" si="3"/>
        <v>2.7058823529411766</v>
      </c>
    </row>
    <row r="33" spans="1:7" x14ac:dyDescent="0.25">
      <c r="A33" s="137" t="s">
        <v>163</v>
      </c>
      <c r="B33" s="47"/>
      <c r="C33" s="48">
        <v>400</v>
      </c>
      <c r="D33" s="135">
        <v>0.57999999999999996</v>
      </c>
      <c r="E33" s="131">
        <f t="shared" si="2"/>
        <v>231.99999999999997</v>
      </c>
      <c r="F33" s="132">
        <v>94</v>
      </c>
      <c r="G33" s="131">
        <f t="shared" si="3"/>
        <v>2.4680851063829783</v>
      </c>
    </row>
    <row r="34" spans="1:7" x14ac:dyDescent="0.25">
      <c r="A34" s="137">
        <v>90443600</v>
      </c>
      <c r="B34" s="47"/>
      <c r="C34" s="48">
        <v>500</v>
      </c>
      <c r="D34" s="135">
        <v>0.6</v>
      </c>
      <c r="E34" s="131">
        <f t="shared" si="2"/>
        <v>300</v>
      </c>
      <c r="F34" s="132">
        <v>117.5</v>
      </c>
      <c r="G34" s="131">
        <f t="shared" si="3"/>
        <v>2.5531914893617023</v>
      </c>
    </row>
    <row r="35" spans="1:7" x14ac:dyDescent="0.25">
      <c r="A35" s="137">
        <v>90443700</v>
      </c>
      <c r="B35" s="47"/>
      <c r="C35" s="48">
        <v>500</v>
      </c>
      <c r="D35" s="135">
        <v>0.72</v>
      </c>
      <c r="E35" s="131">
        <f t="shared" si="2"/>
        <v>360</v>
      </c>
      <c r="F35" s="132">
        <v>143</v>
      </c>
      <c r="G35" s="131">
        <f t="shared" si="3"/>
        <v>2.5174825174825175</v>
      </c>
    </row>
    <row r="36" spans="1:7" x14ac:dyDescent="0.25">
      <c r="A36" s="137">
        <v>90443900</v>
      </c>
      <c r="B36" s="47"/>
      <c r="C36" s="48">
        <v>200</v>
      </c>
      <c r="D36" s="135">
        <v>1.66</v>
      </c>
      <c r="E36" s="131">
        <f t="shared" si="2"/>
        <v>332</v>
      </c>
      <c r="F36" s="132">
        <v>132</v>
      </c>
      <c r="G36" s="131">
        <f t="shared" si="3"/>
        <v>2.5151515151515151</v>
      </c>
    </row>
    <row r="37" spans="1:7" x14ac:dyDescent="0.25">
      <c r="A37" s="137" t="s">
        <v>164</v>
      </c>
      <c r="B37" s="47"/>
      <c r="C37" s="48">
        <v>600</v>
      </c>
      <c r="D37" s="135">
        <v>0.28000000000000003</v>
      </c>
      <c r="E37" s="131">
        <f t="shared" si="2"/>
        <v>168.00000000000003</v>
      </c>
      <c r="F37" s="132">
        <v>45</v>
      </c>
      <c r="G37" s="131">
        <f t="shared" si="3"/>
        <v>3.7333333333333338</v>
      </c>
    </row>
    <row r="38" spans="1:7" x14ac:dyDescent="0.25">
      <c r="A38" s="137">
        <v>90446200</v>
      </c>
      <c r="B38" s="47"/>
      <c r="C38" s="48">
        <v>300</v>
      </c>
      <c r="D38" s="135">
        <v>0.28999999999999998</v>
      </c>
      <c r="E38" s="131">
        <f t="shared" si="2"/>
        <v>87</v>
      </c>
      <c r="F38" s="132">
        <v>22.5</v>
      </c>
      <c r="G38" s="131">
        <f t="shared" si="3"/>
        <v>3.8666666666666667</v>
      </c>
    </row>
    <row r="39" spans="1:7" x14ac:dyDescent="0.25">
      <c r="A39" s="137" t="s">
        <v>165</v>
      </c>
      <c r="B39" s="47"/>
      <c r="C39" s="48">
        <v>100</v>
      </c>
      <c r="D39" s="135">
        <v>0.6</v>
      </c>
      <c r="E39" s="131">
        <f t="shared" si="2"/>
        <v>60</v>
      </c>
      <c r="F39" s="132">
        <v>22.5</v>
      </c>
      <c r="G39" s="131">
        <f t="shared" si="3"/>
        <v>2.6666666666666665</v>
      </c>
    </row>
    <row r="40" spans="1:7" x14ac:dyDescent="0.25">
      <c r="A40" s="137">
        <v>90446400</v>
      </c>
      <c r="B40" s="47"/>
      <c r="C40" s="48">
        <v>100</v>
      </c>
      <c r="D40" s="135">
        <v>0.63</v>
      </c>
      <c r="E40" s="131">
        <f t="shared" si="2"/>
        <v>63</v>
      </c>
      <c r="F40" s="132">
        <v>22.5</v>
      </c>
      <c r="G40" s="131">
        <f t="shared" si="3"/>
        <v>2.8</v>
      </c>
    </row>
    <row r="41" spans="1:7" x14ac:dyDescent="0.25">
      <c r="A41" s="137">
        <v>90446600</v>
      </c>
      <c r="B41" s="47"/>
      <c r="C41" s="48">
        <v>200</v>
      </c>
      <c r="D41" s="135">
        <v>0.8</v>
      </c>
      <c r="E41" s="131">
        <f t="shared" si="2"/>
        <v>160</v>
      </c>
      <c r="F41" s="132">
        <v>60</v>
      </c>
      <c r="G41" s="131">
        <f t="shared" si="3"/>
        <v>2.6666666666666665</v>
      </c>
    </row>
    <row r="42" spans="1:7" x14ac:dyDescent="0.25">
      <c r="A42" s="137" t="s">
        <v>166</v>
      </c>
      <c r="B42" s="47"/>
      <c r="C42" s="48">
        <v>60</v>
      </c>
      <c r="D42" s="135">
        <v>0.93</v>
      </c>
      <c r="E42" s="131">
        <f t="shared" si="2"/>
        <v>55.800000000000004</v>
      </c>
      <c r="F42" s="132">
        <v>19.100000000000001</v>
      </c>
      <c r="G42" s="131">
        <f t="shared" si="3"/>
        <v>2.9214659685863875</v>
      </c>
    </row>
    <row r="43" spans="1:7" x14ac:dyDescent="0.25">
      <c r="A43" s="137">
        <v>90446700</v>
      </c>
      <c r="B43" s="47"/>
      <c r="C43" s="48">
        <v>100</v>
      </c>
      <c r="D43" s="135">
        <v>1.1499999999999999</v>
      </c>
      <c r="E43" s="131">
        <f t="shared" si="1"/>
        <v>114.99999999999999</v>
      </c>
      <c r="F43" s="132">
        <v>45</v>
      </c>
      <c r="G43" s="131">
        <f t="shared" si="0"/>
        <v>2.5555555555555554</v>
      </c>
    </row>
    <row r="44" spans="1:7" x14ac:dyDescent="0.25">
      <c r="A44" s="137">
        <v>90446800</v>
      </c>
      <c r="B44" s="47"/>
      <c r="C44" s="48">
        <v>50</v>
      </c>
      <c r="D44" s="135">
        <v>2.2000000000000002</v>
      </c>
      <c r="E44" s="131">
        <f t="shared" si="1"/>
        <v>110.00000000000001</v>
      </c>
      <c r="F44" s="132">
        <v>45.8</v>
      </c>
      <c r="G44" s="131">
        <f t="shared" si="0"/>
        <v>2.4017467248908302</v>
      </c>
    </row>
    <row r="45" spans="1:7" x14ac:dyDescent="0.25">
      <c r="A45" s="137">
        <v>90447200</v>
      </c>
      <c r="B45" s="47"/>
      <c r="C45" s="48">
        <v>300</v>
      </c>
      <c r="D45" s="135">
        <v>0.34</v>
      </c>
      <c r="E45" s="131">
        <f t="shared" si="1"/>
        <v>102.00000000000001</v>
      </c>
      <c r="F45" s="132">
        <v>29.9</v>
      </c>
      <c r="G45" s="131">
        <f t="shared" si="0"/>
        <v>3.4113712374581948</v>
      </c>
    </row>
    <row r="46" spans="1:7" x14ac:dyDescent="0.25">
      <c r="A46" s="137" t="s">
        <v>167</v>
      </c>
      <c r="B46" s="47"/>
      <c r="C46" s="48">
        <v>150</v>
      </c>
      <c r="D46" s="135">
        <v>0.44</v>
      </c>
      <c r="E46" s="131">
        <f t="shared" si="1"/>
        <v>66</v>
      </c>
      <c r="F46" s="132">
        <v>20.8</v>
      </c>
      <c r="G46" s="131">
        <f t="shared" si="0"/>
        <v>3.1730769230769229</v>
      </c>
    </row>
    <row r="47" spans="1:7" x14ac:dyDescent="0.25">
      <c r="A47" s="137" t="s">
        <v>168</v>
      </c>
      <c r="B47" s="47"/>
      <c r="C47" s="48">
        <v>100</v>
      </c>
      <c r="D47" s="135">
        <v>0.81</v>
      </c>
      <c r="E47" s="131">
        <f t="shared" si="1"/>
        <v>81</v>
      </c>
      <c r="F47" s="132">
        <v>29.9</v>
      </c>
      <c r="G47" s="131">
        <f t="shared" si="0"/>
        <v>2.7090301003344481</v>
      </c>
    </row>
    <row r="48" spans="1:7" x14ac:dyDescent="0.25">
      <c r="A48" s="137">
        <v>90447400</v>
      </c>
      <c r="B48" s="47"/>
      <c r="C48" s="48">
        <v>200</v>
      </c>
      <c r="D48" s="135">
        <v>0.86</v>
      </c>
      <c r="E48" s="131">
        <f t="shared" si="1"/>
        <v>172</v>
      </c>
      <c r="F48" s="132">
        <v>59.8</v>
      </c>
      <c r="G48" s="131">
        <f t="shared" si="0"/>
        <v>2.876254180602007</v>
      </c>
    </row>
    <row r="49" spans="1:8" x14ac:dyDescent="0.25">
      <c r="A49" s="137" t="s">
        <v>169</v>
      </c>
      <c r="B49" s="47"/>
      <c r="C49" s="48">
        <v>150</v>
      </c>
      <c r="D49" s="135">
        <v>0.41</v>
      </c>
      <c r="E49" s="131">
        <f t="shared" si="1"/>
        <v>61.499999999999993</v>
      </c>
      <c r="F49" s="132">
        <v>21</v>
      </c>
      <c r="G49" s="131">
        <f t="shared" si="0"/>
        <v>2.9285714285714284</v>
      </c>
    </row>
    <row r="50" spans="1:8" x14ac:dyDescent="0.25">
      <c r="A50" s="137">
        <v>90448200</v>
      </c>
      <c r="B50" s="47"/>
      <c r="C50" s="48">
        <v>150</v>
      </c>
      <c r="D50" s="135">
        <v>0.42</v>
      </c>
      <c r="E50" s="131">
        <f t="shared" si="1"/>
        <v>63</v>
      </c>
      <c r="F50" s="132">
        <v>21</v>
      </c>
      <c r="G50" s="131">
        <f t="shared" si="0"/>
        <v>3</v>
      </c>
    </row>
    <row r="51" spans="1:8" x14ac:dyDescent="0.25">
      <c r="A51" s="137">
        <v>90448300</v>
      </c>
      <c r="B51" s="47"/>
      <c r="C51" s="48">
        <v>75</v>
      </c>
      <c r="D51" s="135">
        <v>0.75</v>
      </c>
      <c r="E51" s="131">
        <f t="shared" si="1"/>
        <v>56.25</v>
      </c>
      <c r="F51" s="132">
        <v>21</v>
      </c>
      <c r="G51" s="131">
        <f t="shared" si="0"/>
        <v>2.6785714285714284</v>
      </c>
    </row>
    <row r="52" spans="1:8" x14ac:dyDescent="0.25">
      <c r="A52" s="137" t="s">
        <v>170</v>
      </c>
      <c r="B52" s="47"/>
      <c r="C52" s="48">
        <v>100</v>
      </c>
      <c r="D52" s="135">
        <v>1.02</v>
      </c>
      <c r="E52" s="131">
        <f t="shared" si="1"/>
        <v>102</v>
      </c>
      <c r="F52" s="132">
        <v>42</v>
      </c>
      <c r="G52" s="131">
        <f t="shared" si="0"/>
        <v>2.4285714285714284</v>
      </c>
    </row>
    <row r="53" spans="1:8" x14ac:dyDescent="0.25">
      <c r="A53" s="137">
        <v>90448400</v>
      </c>
      <c r="B53" s="47"/>
      <c r="C53" s="48">
        <v>100</v>
      </c>
      <c r="D53" s="135">
        <v>1.07</v>
      </c>
      <c r="E53" s="131">
        <f t="shared" si="1"/>
        <v>107</v>
      </c>
      <c r="F53" s="132">
        <v>42</v>
      </c>
      <c r="G53" s="131">
        <f t="shared" si="0"/>
        <v>2.5476190476190474</v>
      </c>
    </row>
    <row r="54" spans="1:8" x14ac:dyDescent="0.25">
      <c r="A54" s="137">
        <v>90448800</v>
      </c>
      <c r="B54" s="47"/>
      <c r="C54" s="48">
        <v>50</v>
      </c>
      <c r="D54" s="135">
        <v>2.69</v>
      </c>
      <c r="E54" s="131">
        <f t="shared" si="1"/>
        <v>134.5</v>
      </c>
      <c r="F54" s="132">
        <v>52.2</v>
      </c>
      <c r="G54" s="131">
        <f t="shared" si="0"/>
        <v>2.5766283524904212</v>
      </c>
    </row>
    <row r="55" spans="1:8" x14ac:dyDescent="0.25">
      <c r="A55" s="143">
        <v>90448820</v>
      </c>
      <c r="B55" s="49"/>
      <c r="C55" s="50">
        <v>60</v>
      </c>
      <c r="D55" s="133">
        <v>4.0199999999999996</v>
      </c>
      <c r="E55" s="133">
        <f t="shared" si="1"/>
        <v>241.2</v>
      </c>
      <c r="F55" s="134">
        <v>92.4</v>
      </c>
      <c r="G55" s="133">
        <f t="shared" si="0"/>
        <v>2.61038961038961</v>
      </c>
    </row>
    <row r="56" spans="1:8" x14ac:dyDescent="0.25">
      <c r="A56" s="144"/>
      <c r="B56" s="145"/>
      <c r="C56" s="146"/>
      <c r="D56" s="147"/>
      <c r="E56" s="147"/>
      <c r="F56" s="148"/>
      <c r="G56" s="147"/>
      <c r="H56" s="205"/>
    </row>
    <row r="57" spans="1:8" x14ac:dyDescent="0.25">
      <c r="A57" s="144"/>
      <c r="B57" s="145"/>
      <c r="C57" s="146"/>
      <c r="D57" s="147"/>
      <c r="E57" s="147"/>
      <c r="F57" s="148"/>
      <c r="G57" s="147"/>
      <c r="H57" s="205"/>
    </row>
    <row r="58" spans="1:8" x14ac:dyDescent="0.25">
      <c r="A58" s="144"/>
      <c r="B58" s="145"/>
      <c r="C58" s="146"/>
      <c r="D58" s="147"/>
      <c r="E58" s="147"/>
      <c r="F58" s="148"/>
      <c r="G58" s="147"/>
      <c r="H58" s="205"/>
    </row>
    <row r="59" spans="1:8" x14ac:dyDescent="0.25">
      <c r="A59" s="144"/>
      <c r="B59" s="145"/>
      <c r="C59" s="146"/>
      <c r="D59" s="147"/>
      <c r="E59" s="147"/>
      <c r="F59" s="148"/>
      <c r="G59" s="147"/>
      <c r="H59" s="205"/>
    </row>
    <row r="60" spans="1:8" x14ac:dyDescent="0.25">
      <c r="A60" s="144"/>
      <c r="B60" s="145"/>
      <c r="C60" s="146"/>
      <c r="D60" s="147"/>
      <c r="E60" s="147"/>
      <c r="F60" s="148"/>
      <c r="G60" s="147"/>
      <c r="H60" s="205"/>
    </row>
    <row r="61" spans="1:8" x14ac:dyDescent="0.25">
      <c r="A61" s="144"/>
      <c r="B61" s="145"/>
      <c r="C61" s="146"/>
      <c r="D61" s="147"/>
      <c r="E61" s="147"/>
      <c r="F61" s="148"/>
      <c r="G61" s="147"/>
      <c r="H61" s="205"/>
    </row>
    <row r="62" spans="1:8" x14ac:dyDescent="0.25">
      <c r="A62" s="144"/>
      <c r="B62" s="145"/>
      <c r="C62" s="146"/>
      <c r="D62" s="147"/>
      <c r="E62" s="147"/>
      <c r="F62" s="148"/>
      <c r="G62" s="147"/>
      <c r="H62" s="205"/>
    </row>
    <row r="63" spans="1:8" x14ac:dyDescent="0.25">
      <c r="A63" s="144"/>
      <c r="B63" s="145"/>
      <c r="C63" s="146"/>
      <c r="D63" s="147"/>
      <c r="E63" s="147"/>
      <c r="F63" s="148"/>
      <c r="G63" s="147"/>
      <c r="H63" s="205"/>
    </row>
    <row r="64" spans="1:8" x14ac:dyDescent="0.25">
      <c r="A64" s="219"/>
      <c r="B64" s="219"/>
      <c r="C64" s="219"/>
      <c r="D64" s="219"/>
      <c r="E64" s="219"/>
      <c r="F64" s="219"/>
      <c r="G64" s="219"/>
      <c r="H64" s="205"/>
    </row>
    <row r="65" spans="1:7" x14ac:dyDescent="0.25">
      <c r="A65" s="198" t="s">
        <v>50</v>
      </c>
      <c r="B65" s="218"/>
      <c r="C65" s="199" t="s">
        <v>40</v>
      </c>
      <c r="D65" s="454" t="s">
        <v>62</v>
      </c>
      <c r="E65" s="455"/>
      <c r="F65" s="178" t="s">
        <v>41</v>
      </c>
      <c r="G65" s="179" t="s">
        <v>42</v>
      </c>
    </row>
    <row r="66" spans="1:7" x14ac:dyDescent="0.25">
      <c r="A66" s="452" t="s">
        <v>115</v>
      </c>
      <c r="B66" s="459"/>
      <c r="C66" s="30" t="s">
        <v>61</v>
      </c>
      <c r="D66" s="153" t="s">
        <v>43</v>
      </c>
      <c r="E66" s="153" t="s">
        <v>44</v>
      </c>
      <c r="F66" s="85" t="s">
        <v>45</v>
      </c>
      <c r="G66" s="153" t="s">
        <v>46</v>
      </c>
    </row>
    <row r="67" spans="1:7" x14ac:dyDescent="0.25">
      <c r="A67" s="137" t="s">
        <v>173</v>
      </c>
      <c r="B67" s="47"/>
      <c r="C67" s="48">
        <v>100</v>
      </c>
      <c r="D67" s="135">
        <v>0.6</v>
      </c>
      <c r="E67" s="131">
        <f t="shared" ref="E67:E71" si="4">C67*D67</f>
        <v>60</v>
      </c>
      <c r="F67" s="132">
        <v>23.5</v>
      </c>
      <c r="G67" s="131">
        <f t="shared" ref="G67" si="5">E67/F67</f>
        <v>2.5531914893617023</v>
      </c>
    </row>
    <row r="68" spans="1:7" x14ac:dyDescent="0.25">
      <c r="A68" s="137">
        <v>90445600</v>
      </c>
      <c r="B68" s="47"/>
      <c r="C68" s="48">
        <v>500</v>
      </c>
      <c r="D68" s="135">
        <v>0.63</v>
      </c>
      <c r="E68" s="131">
        <f t="shared" si="4"/>
        <v>315</v>
      </c>
      <c r="F68" s="132">
        <v>117.5</v>
      </c>
      <c r="G68" s="131">
        <f t="shared" ref="G68:G71" si="6">E68/F68</f>
        <v>2.6808510638297873</v>
      </c>
    </row>
    <row r="69" spans="1:7" x14ac:dyDescent="0.25">
      <c r="A69" s="137">
        <v>90445700</v>
      </c>
      <c r="B69" s="47"/>
      <c r="C69" s="48">
        <v>200</v>
      </c>
      <c r="D69" s="135">
        <v>0.77</v>
      </c>
      <c r="E69" s="131">
        <f t="shared" si="4"/>
        <v>154</v>
      </c>
      <c r="F69" s="132">
        <v>57.2</v>
      </c>
      <c r="G69" s="131">
        <f t="shared" si="6"/>
        <v>2.6923076923076921</v>
      </c>
    </row>
    <row r="70" spans="1:7" x14ac:dyDescent="0.25">
      <c r="A70" s="137" t="s">
        <v>174</v>
      </c>
      <c r="B70" s="47"/>
      <c r="C70" s="48">
        <v>200</v>
      </c>
      <c r="D70" s="135">
        <v>0.86</v>
      </c>
      <c r="E70" s="131">
        <f t="shared" si="4"/>
        <v>172</v>
      </c>
      <c r="F70" s="132">
        <v>68</v>
      </c>
      <c r="G70" s="131">
        <f t="shared" si="6"/>
        <v>2.5294117647058822</v>
      </c>
    </row>
    <row r="71" spans="1:7" x14ac:dyDescent="0.25">
      <c r="A71" s="143">
        <v>90445800</v>
      </c>
      <c r="B71" s="49"/>
      <c r="C71" s="50">
        <v>200</v>
      </c>
      <c r="D71" s="133">
        <v>0.89</v>
      </c>
      <c r="E71" s="133">
        <f t="shared" si="4"/>
        <v>178</v>
      </c>
      <c r="F71" s="134">
        <v>68</v>
      </c>
      <c r="G71" s="133">
        <f t="shared" si="6"/>
        <v>2.6176470588235294</v>
      </c>
    </row>
    <row r="72" spans="1:7" x14ac:dyDescent="0.25">
      <c r="A72" s="456"/>
      <c r="B72" s="456"/>
      <c r="C72" s="456"/>
      <c r="D72" s="456"/>
      <c r="E72" s="456"/>
      <c r="F72" s="456"/>
      <c r="G72" s="456"/>
    </row>
    <row r="73" spans="1:7" x14ac:dyDescent="0.25">
      <c r="A73" s="448" t="s">
        <v>50</v>
      </c>
      <c r="B73" s="449"/>
      <c r="C73" s="197" t="s">
        <v>40</v>
      </c>
      <c r="D73" s="454" t="s">
        <v>118</v>
      </c>
      <c r="E73" s="455"/>
      <c r="F73" s="178" t="s">
        <v>41</v>
      </c>
      <c r="G73" s="179" t="s">
        <v>42</v>
      </c>
    </row>
    <row r="74" spans="1:7" x14ac:dyDescent="0.25">
      <c r="A74" s="130" t="s">
        <v>104</v>
      </c>
      <c r="B74" s="130"/>
      <c r="C74" s="30" t="s">
        <v>61</v>
      </c>
      <c r="D74" s="153" t="s">
        <v>43</v>
      </c>
      <c r="E74" s="153" t="s">
        <v>44</v>
      </c>
      <c r="F74" s="85" t="s">
        <v>45</v>
      </c>
      <c r="G74" s="153" t="s">
        <v>46</v>
      </c>
    </row>
    <row r="75" spans="1:7" x14ac:dyDescent="0.25">
      <c r="A75" s="137" t="s">
        <v>135</v>
      </c>
      <c r="B75" s="47"/>
      <c r="C75" s="48">
        <v>300</v>
      </c>
      <c r="D75" s="135">
        <v>14.4</v>
      </c>
      <c r="E75" s="131">
        <f t="shared" ref="E75:E76" si="7">C75*D75/100</f>
        <v>43.2</v>
      </c>
      <c r="F75" s="132">
        <v>11.5</v>
      </c>
      <c r="G75" s="131">
        <f t="shared" ref="G75:G76" si="8">E75/F75</f>
        <v>3.7565217391304349</v>
      </c>
    </row>
    <row r="76" spans="1:7" x14ac:dyDescent="0.25">
      <c r="A76" s="137" t="s">
        <v>136</v>
      </c>
      <c r="B76" s="47"/>
      <c r="C76" s="48">
        <v>4000</v>
      </c>
      <c r="D76" s="135">
        <v>13.8</v>
      </c>
      <c r="E76" s="131">
        <f t="shared" si="7"/>
        <v>552</v>
      </c>
      <c r="F76" s="132">
        <v>17.600000000000001</v>
      </c>
      <c r="G76" s="131">
        <f t="shared" si="8"/>
        <v>31.36363636363636</v>
      </c>
    </row>
    <row r="77" spans="1:7" x14ac:dyDescent="0.25">
      <c r="A77" s="446"/>
      <c r="B77" s="447"/>
      <c r="C77" s="447"/>
      <c r="D77" s="447"/>
      <c r="E77" s="447"/>
      <c r="F77" s="447"/>
      <c r="G77" s="447"/>
    </row>
    <row r="78" spans="1:7" x14ac:dyDescent="0.25">
      <c r="A78" s="457" t="s">
        <v>50</v>
      </c>
      <c r="B78" s="458"/>
      <c r="C78" s="30" t="s">
        <v>40</v>
      </c>
      <c r="D78" s="450" t="s">
        <v>118</v>
      </c>
      <c r="E78" s="451"/>
      <c r="F78" s="85" t="s">
        <v>41</v>
      </c>
      <c r="G78" s="153" t="s">
        <v>42</v>
      </c>
    </row>
    <row r="79" spans="1:7" x14ac:dyDescent="0.25">
      <c r="A79" s="452" t="s">
        <v>97</v>
      </c>
      <c r="B79" s="459"/>
      <c r="C79" s="30" t="s">
        <v>61</v>
      </c>
      <c r="D79" s="153" t="s">
        <v>43</v>
      </c>
      <c r="E79" s="153" t="s">
        <v>44</v>
      </c>
      <c r="F79" s="85" t="s">
        <v>45</v>
      </c>
      <c r="G79" s="153" t="s">
        <v>46</v>
      </c>
    </row>
    <row r="80" spans="1:7" x14ac:dyDescent="0.25">
      <c r="A80" s="137" t="s">
        <v>137</v>
      </c>
      <c r="B80" s="47"/>
      <c r="C80" s="48">
        <v>10000</v>
      </c>
      <c r="D80" s="135">
        <v>9.6</v>
      </c>
      <c r="E80" s="131">
        <f t="shared" ref="E80" si="9">C80*D80/100</f>
        <v>960</v>
      </c>
      <c r="F80" s="132">
        <v>100</v>
      </c>
      <c r="G80" s="131">
        <f t="shared" ref="G80" si="10">E80/F80</f>
        <v>9.6</v>
      </c>
    </row>
    <row r="81" spans="1:8" x14ac:dyDescent="0.25">
      <c r="A81" s="137" t="s">
        <v>138</v>
      </c>
      <c r="B81" s="47"/>
      <c r="C81" s="48">
        <v>3000</v>
      </c>
      <c r="D81" s="135">
        <v>12</v>
      </c>
      <c r="E81" s="131">
        <f t="shared" ref="E81" si="11">C81*D81/100</f>
        <v>360</v>
      </c>
      <c r="F81" s="132">
        <v>36</v>
      </c>
      <c r="G81" s="131">
        <f t="shared" ref="G81" si="12">E81/F81</f>
        <v>10</v>
      </c>
    </row>
    <row r="82" spans="1:8" x14ac:dyDescent="0.25">
      <c r="A82" s="137" t="s">
        <v>139</v>
      </c>
      <c r="B82" s="47"/>
      <c r="C82" s="48">
        <v>900</v>
      </c>
      <c r="D82" s="135">
        <v>15.6</v>
      </c>
      <c r="E82" s="131">
        <f t="shared" ref="E82:E90" si="13">C82*D82/100</f>
        <v>140.4</v>
      </c>
      <c r="F82" s="132">
        <v>16.7</v>
      </c>
      <c r="G82" s="131">
        <f t="shared" ref="G82:G90" si="14">E82/F82</f>
        <v>8.407185628742516</v>
      </c>
    </row>
    <row r="83" spans="1:8" x14ac:dyDescent="0.25">
      <c r="A83" s="137" t="s">
        <v>140</v>
      </c>
      <c r="B83" s="47"/>
      <c r="C83" s="48">
        <v>1400</v>
      </c>
      <c r="D83" s="135">
        <v>33.6</v>
      </c>
      <c r="E83" s="131">
        <f t="shared" si="13"/>
        <v>470.4</v>
      </c>
      <c r="F83" s="132">
        <v>51.6</v>
      </c>
      <c r="G83" s="131">
        <f t="shared" si="14"/>
        <v>9.1162790697674403</v>
      </c>
    </row>
    <row r="84" spans="1:8" x14ac:dyDescent="0.25">
      <c r="A84" s="137" t="s">
        <v>141</v>
      </c>
      <c r="B84" s="47"/>
      <c r="C84" s="48">
        <v>1800</v>
      </c>
      <c r="D84" s="135">
        <v>21.6</v>
      </c>
      <c r="E84" s="131">
        <f t="shared" si="13"/>
        <v>388.8</v>
      </c>
      <c r="F84" s="132">
        <v>32</v>
      </c>
      <c r="G84" s="131">
        <f t="shared" si="14"/>
        <v>12.15</v>
      </c>
    </row>
    <row r="85" spans="1:8" x14ac:dyDescent="0.25">
      <c r="A85" s="137" t="s">
        <v>142</v>
      </c>
      <c r="B85" s="47"/>
      <c r="C85" s="48">
        <v>1650</v>
      </c>
      <c r="D85" s="135">
        <v>24</v>
      </c>
      <c r="E85" s="131">
        <f t="shared" si="13"/>
        <v>396</v>
      </c>
      <c r="F85" s="132">
        <v>42.900000000000006</v>
      </c>
      <c r="G85" s="131">
        <f t="shared" si="14"/>
        <v>9.2307692307692299</v>
      </c>
    </row>
    <row r="86" spans="1:8" x14ac:dyDescent="0.25">
      <c r="A86" s="137" t="s">
        <v>143</v>
      </c>
      <c r="B86" s="47"/>
      <c r="C86" s="48">
        <v>500</v>
      </c>
      <c r="D86" s="135">
        <v>22.8</v>
      </c>
      <c r="E86" s="131">
        <f t="shared" si="13"/>
        <v>114</v>
      </c>
      <c r="F86" s="132">
        <v>16.3</v>
      </c>
      <c r="G86" s="131">
        <f t="shared" si="14"/>
        <v>6.9938650306748462</v>
      </c>
    </row>
    <row r="87" spans="1:8" x14ac:dyDescent="0.25">
      <c r="A87" s="137" t="s">
        <v>144</v>
      </c>
      <c r="B87" s="47"/>
      <c r="C87" s="48">
        <v>2160</v>
      </c>
      <c r="D87" s="135">
        <v>33.6</v>
      </c>
      <c r="E87" s="131">
        <f t="shared" si="13"/>
        <v>725.76</v>
      </c>
      <c r="F87" s="132">
        <v>54</v>
      </c>
      <c r="G87" s="131">
        <f t="shared" si="14"/>
        <v>13.44</v>
      </c>
    </row>
    <row r="88" spans="1:8" x14ac:dyDescent="0.25">
      <c r="A88" s="137" t="s">
        <v>145</v>
      </c>
      <c r="B88" s="47"/>
      <c r="C88" s="48">
        <v>700</v>
      </c>
      <c r="D88" s="135">
        <v>40.799999999999997</v>
      </c>
      <c r="E88" s="131">
        <f t="shared" si="13"/>
        <v>285.59999999999997</v>
      </c>
      <c r="F88" s="132">
        <v>28.2</v>
      </c>
      <c r="G88" s="131">
        <f t="shared" si="14"/>
        <v>10.127659574468083</v>
      </c>
    </row>
    <row r="89" spans="1:8" x14ac:dyDescent="0.25">
      <c r="A89" s="137" t="s">
        <v>148</v>
      </c>
      <c r="B89" s="47"/>
      <c r="C89" s="48">
        <v>1760</v>
      </c>
      <c r="D89" s="135">
        <v>50.4</v>
      </c>
      <c r="E89" s="131">
        <f t="shared" si="13"/>
        <v>887.04</v>
      </c>
      <c r="F89" s="132">
        <v>112</v>
      </c>
      <c r="G89" s="131">
        <f>E89/F89</f>
        <v>7.92</v>
      </c>
    </row>
    <row r="90" spans="1:8" x14ac:dyDescent="0.25">
      <c r="A90" s="137" t="s">
        <v>175</v>
      </c>
      <c r="B90" s="47"/>
      <c r="C90" s="48">
        <v>1000</v>
      </c>
      <c r="D90" s="135">
        <v>91.2</v>
      </c>
      <c r="E90" s="131">
        <f t="shared" si="13"/>
        <v>912</v>
      </c>
      <c r="F90" s="132">
        <v>98</v>
      </c>
      <c r="G90" s="131">
        <f t="shared" si="14"/>
        <v>9.3061224489795915</v>
      </c>
    </row>
    <row r="91" spans="1:8" x14ac:dyDescent="0.25">
      <c r="A91" s="446"/>
      <c r="B91" s="447"/>
      <c r="C91" s="447"/>
      <c r="D91" s="447"/>
      <c r="E91" s="447"/>
      <c r="F91" s="447"/>
      <c r="G91" s="447"/>
      <c r="H91" s="205"/>
    </row>
    <row r="92" spans="1:8" x14ac:dyDescent="0.25">
      <c r="A92" s="448" t="s">
        <v>50</v>
      </c>
      <c r="B92" s="449"/>
      <c r="C92" s="181" t="s">
        <v>40</v>
      </c>
      <c r="D92" s="450" t="s">
        <v>62</v>
      </c>
      <c r="E92" s="451"/>
      <c r="F92" s="178" t="s">
        <v>41</v>
      </c>
      <c r="G92" s="179" t="s">
        <v>42</v>
      </c>
    </row>
    <row r="93" spans="1:8" x14ac:dyDescent="0.25">
      <c r="A93" s="130" t="s">
        <v>130</v>
      </c>
      <c r="B93" s="130"/>
      <c r="C93" s="30" t="s">
        <v>61</v>
      </c>
      <c r="D93" s="153" t="s">
        <v>43</v>
      </c>
      <c r="E93" s="153" t="s">
        <v>44</v>
      </c>
      <c r="F93" s="85" t="s">
        <v>45</v>
      </c>
      <c r="G93" s="153" t="s">
        <v>46</v>
      </c>
    </row>
    <row r="94" spans="1:8" x14ac:dyDescent="0.25">
      <c r="A94" s="220" t="s">
        <v>178</v>
      </c>
      <c r="B94" s="213"/>
      <c r="C94" s="212">
        <v>750</v>
      </c>
      <c r="D94" s="214">
        <v>0.85</v>
      </c>
      <c r="E94" s="214">
        <v>637.5</v>
      </c>
      <c r="F94" s="215">
        <v>408.5</v>
      </c>
      <c r="G94" s="214">
        <f>E94/F94</f>
        <v>1.5605875152998776</v>
      </c>
    </row>
    <row r="95" spans="1:8" x14ac:dyDescent="0.25">
      <c r="A95" s="142" t="s">
        <v>176</v>
      </c>
      <c r="B95" s="25"/>
      <c r="C95" s="23">
        <v>277</v>
      </c>
      <c r="D95" s="131">
        <v>0.85</v>
      </c>
      <c r="E95" s="131">
        <v>235.45</v>
      </c>
      <c r="F95" s="132">
        <v>186.67500000000001</v>
      </c>
      <c r="G95" s="131">
        <f>E95/F95</f>
        <v>1.2612829784384625</v>
      </c>
    </row>
    <row r="96" spans="1:8" x14ac:dyDescent="0.25">
      <c r="A96" s="171"/>
      <c r="B96" s="172"/>
      <c r="C96" s="173"/>
      <c r="D96" s="174"/>
      <c r="E96" s="174"/>
      <c r="F96" s="175"/>
      <c r="G96" s="174"/>
    </row>
    <row r="97" spans="1:7" x14ac:dyDescent="0.25">
      <c r="A97" s="170" t="s">
        <v>60</v>
      </c>
      <c r="B97" s="150"/>
      <c r="C97" s="30"/>
      <c r="D97" s="151"/>
      <c r="E97" s="152">
        <f>SUM(E14:E55)+SUM(E67:E71)+SUM(E75:E76)+SUM(E80:E90)+SUM(E94:E95)</f>
        <v>20421.900000000001</v>
      </c>
      <c r="F97" s="216">
        <f>SUM(F14:F55)+SUM(F67:F71)+SUM(F75:F76)+SUM(F80:F90)+SUM(F94:F95)</f>
        <v>6050.915</v>
      </c>
      <c r="G97" s="151"/>
    </row>
    <row r="102" spans="1:7" x14ac:dyDescent="0.25">
      <c r="A102" s="144"/>
      <c r="B102" s="145"/>
      <c r="C102" s="146"/>
      <c r="D102" s="147"/>
      <c r="E102" s="147"/>
      <c r="F102" s="148"/>
      <c r="G102" s="147"/>
    </row>
    <row r="103" spans="1:7" x14ac:dyDescent="0.25">
      <c r="A103" s="144"/>
      <c r="B103" s="145"/>
      <c r="C103" s="146"/>
      <c r="D103" s="147"/>
      <c r="E103" s="147"/>
      <c r="F103" s="148"/>
      <c r="G103" s="147"/>
    </row>
    <row r="108" spans="1:7" x14ac:dyDescent="0.25">
      <c r="A108" s="144"/>
      <c r="B108" s="145"/>
      <c r="C108" s="146"/>
      <c r="D108" s="147"/>
      <c r="E108" s="147"/>
      <c r="F108" s="148"/>
      <c r="G108" s="147"/>
    </row>
    <row r="109" spans="1:7" x14ac:dyDescent="0.25">
      <c r="A109" s="144"/>
      <c r="B109" s="145"/>
      <c r="C109" s="146"/>
      <c r="D109" s="147"/>
      <c r="E109" s="147"/>
      <c r="F109" s="148"/>
      <c r="G109" s="147"/>
    </row>
    <row r="110" spans="1:7" x14ac:dyDescent="0.25">
      <c r="A110" s="144"/>
      <c r="B110" s="145"/>
      <c r="C110" s="146"/>
      <c r="D110" s="147"/>
      <c r="E110" s="147"/>
      <c r="F110" s="148"/>
      <c r="G110" s="147"/>
    </row>
    <row r="111" spans="1:7" x14ac:dyDescent="0.25">
      <c r="A111" s="144"/>
      <c r="B111" s="145"/>
      <c r="C111" s="146"/>
      <c r="D111" s="147"/>
      <c r="E111" s="147"/>
      <c r="F111" s="148"/>
      <c r="G111" s="147"/>
    </row>
    <row r="123" spans="1:7" x14ac:dyDescent="0.25">
      <c r="A123" s="124"/>
      <c r="B123" s="124"/>
      <c r="C123" s="149"/>
      <c r="D123" s="126"/>
      <c r="E123" s="126"/>
      <c r="F123" s="127"/>
      <c r="G123" s="126"/>
    </row>
    <row r="125" spans="1:7" x14ac:dyDescent="0.25">
      <c r="A125" s="124"/>
      <c r="B125" s="124"/>
      <c r="C125" s="125"/>
      <c r="D125" s="126"/>
      <c r="E125" s="126"/>
      <c r="F125" s="127"/>
      <c r="G125" s="126"/>
    </row>
    <row r="126" spans="1:7" x14ac:dyDescent="0.25">
      <c r="A126" s="124"/>
      <c r="B126" s="124"/>
      <c r="C126" s="125"/>
      <c r="D126" s="126"/>
      <c r="E126" s="126"/>
      <c r="F126" s="127"/>
      <c r="G126" s="126"/>
    </row>
    <row r="127" spans="1:7" x14ac:dyDescent="0.25">
      <c r="A127" s="124"/>
      <c r="B127" s="124"/>
      <c r="C127" s="125"/>
      <c r="D127" s="126"/>
      <c r="E127" s="126"/>
      <c r="F127" s="127"/>
      <c r="G127" s="126"/>
    </row>
    <row r="128" spans="1:7" x14ac:dyDescent="0.25">
      <c r="A128" s="124"/>
      <c r="B128" s="124"/>
      <c r="C128" s="125"/>
      <c r="D128" s="126"/>
      <c r="E128" s="126"/>
      <c r="F128" s="127"/>
      <c r="G128" s="126"/>
    </row>
    <row r="129" spans="1:7" x14ac:dyDescent="0.25">
      <c r="A129" s="124"/>
      <c r="B129" s="124"/>
      <c r="C129" s="125"/>
      <c r="D129" s="126"/>
      <c r="E129" s="126"/>
      <c r="F129" s="127"/>
      <c r="G129" s="126"/>
    </row>
  </sheetData>
  <mergeCells count="19">
    <mergeCell ref="A1:G7"/>
    <mergeCell ref="A8:G8"/>
    <mergeCell ref="A9:G9"/>
    <mergeCell ref="F10:G10"/>
    <mergeCell ref="A12:B12"/>
    <mergeCell ref="D12:E12"/>
    <mergeCell ref="A91:G91"/>
    <mergeCell ref="A92:B92"/>
    <mergeCell ref="D92:E92"/>
    <mergeCell ref="A13:B13"/>
    <mergeCell ref="D73:E73"/>
    <mergeCell ref="A72:G72"/>
    <mergeCell ref="A73:B73"/>
    <mergeCell ref="A78:B78"/>
    <mergeCell ref="D78:E78"/>
    <mergeCell ref="A79:B79"/>
    <mergeCell ref="D65:E65"/>
    <mergeCell ref="A66:B66"/>
    <mergeCell ref="A77:G77"/>
  </mergeCells>
  <pageMargins left="0.511811023622047" right="0.511811023622047" top="0.511811023622047" bottom="0.511811023622047" header="0" footer="0"/>
  <pageSetup paperSize="9" scale="8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Page1</vt:lpstr>
      <vt:lpstr>Page2</vt:lpstr>
      <vt:lpstr>Annx</vt:lpstr>
      <vt:lpstr>Page1!Print_Area</vt:lpstr>
      <vt:lpstr>Page2!Print_Area</vt:lpstr>
    </vt:vector>
  </TitlesOfParts>
  <Company>Unknown 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cp:lastPrinted>2026-04-29T12:02:44Z</cp:lastPrinted>
  <dcterms:created xsi:type="dcterms:W3CDTF">1999-03-01T07:43:48Z</dcterms:created>
  <dcterms:modified xsi:type="dcterms:W3CDTF">2026-05-25T07:47:12Z</dcterms:modified>
</cp:coreProperties>
</file>