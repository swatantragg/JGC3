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 - Jaikvin Global jaikvinglobal\Current Data\69-Pending order\Balance Orders\"/>
    </mc:Choice>
  </mc:AlternateContent>
  <bookViews>
    <workbookView xWindow="-105" yWindow="-105" windowWidth="19425" windowHeight="10305"/>
  </bookViews>
  <sheets>
    <sheet name="Sheet1" sheetId="3" r:id="rId1"/>
  </sheets>
  <calcPr calcId="162913"/>
</workbook>
</file>

<file path=xl/calcChain.xml><?xml version="1.0" encoding="utf-8"?>
<calcChain xmlns="http://schemas.openxmlformats.org/spreadsheetml/2006/main">
  <c r="Y15" i="3" l="1"/>
  <c r="X15" i="3"/>
  <c r="X13" i="3"/>
  <c r="X11" i="3"/>
  <c r="X10" i="3"/>
  <c r="X8" i="3"/>
  <c r="X7" i="3"/>
  <c r="Y5" i="3"/>
  <c r="X5" i="3"/>
  <c r="R17" i="3" l="1"/>
  <c r="P17" i="3"/>
  <c r="N17" i="3"/>
  <c r="L17" i="3"/>
  <c r="J17" i="3"/>
  <c r="H17" i="3"/>
  <c r="F17" i="3"/>
  <c r="D17" i="3"/>
  <c r="B17" i="3"/>
  <c r="Z8" i="3" l="1"/>
  <c r="T17" i="3" l="1"/>
  <c r="U13" i="3"/>
  <c r="U11" i="3"/>
  <c r="U10" i="3"/>
  <c r="U8" i="3"/>
  <c r="U7" i="3"/>
  <c r="U17" i="3" l="1"/>
  <c r="O13" i="3" l="1"/>
  <c r="O11" i="3"/>
  <c r="O10" i="3"/>
  <c r="O8" i="3"/>
  <c r="O7" i="3"/>
  <c r="O17" i="3" s="1"/>
  <c r="S13" i="3" l="1"/>
  <c r="S11" i="3"/>
  <c r="S10" i="3"/>
  <c r="S8" i="3"/>
  <c r="S7" i="3"/>
  <c r="S17" i="3" l="1"/>
  <c r="Q7" i="3" l="1"/>
  <c r="Q8" i="3"/>
  <c r="Q13" i="3"/>
  <c r="AE17" i="3"/>
  <c r="Q11" i="3" l="1"/>
  <c r="Q10" i="3"/>
  <c r="Q17" i="3" s="1"/>
  <c r="AG5" i="3" l="1"/>
  <c r="AG10" i="3"/>
  <c r="AG7" i="3"/>
  <c r="AG13" i="3"/>
  <c r="AG8" i="3" l="1"/>
  <c r="AG11" i="3"/>
  <c r="AH11" i="3" s="1"/>
  <c r="AF11" i="3"/>
  <c r="AF8" i="3"/>
  <c r="AG17" i="3" l="1"/>
  <c r="AH8" i="3"/>
  <c r="M13" i="3" l="1"/>
  <c r="M11" i="3"/>
  <c r="M10" i="3"/>
  <c r="M8" i="3"/>
  <c r="M7" i="3"/>
  <c r="M17" i="3" s="1"/>
  <c r="K13" i="3" l="1"/>
  <c r="K11" i="3"/>
  <c r="K10" i="3"/>
  <c r="K8" i="3"/>
  <c r="K7" i="3"/>
  <c r="K17" i="3" s="1"/>
  <c r="Y13" i="3" l="1"/>
  <c r="I13" i="3" l="1"/>
  <c r="I11" i="3"/>
  <c r="I10" i="3"/>
  <c r="I8" i="3"/>
  <c r="I7" i="3"/>
  <c r="I17" i="3" l="1"/>
  <c r="G13" i="3"/>
  <c r="G11" i="3"/>
  <c r="G10" i="3"/>
  <c r="G8" i="3"/>
  <c r="G7" i="3"/>
  <c r="G17" i="3" s="1"/>
  <c r="W13" i="3" l="1"/>
  <c r="E13" i="3"/>
  <c r="C13" i="3"/>
  <c r="Z13" i="3"/>
  <c r="AA13" i="3" l="1"/>
  <c r="AB13" i="3" s="1"/>
  <c r="Z15" i="3"/>
  <c r="AA15" i="3" l="1"/>
  <c r="E11" i="3" l="1"/>
  <c r="E10" i="3"/>
  <c r="E8" i="3"/>
  <c r="E7" i="3"/>
  <c r="E17" i="3" l="1"/>
  <c r="C11" i="3" l="1"/>
  <c r="C10" i="3"/>
  <c r="C8" i="3"/>
  <c r="C7" i="3"/>
  <c r="C17" i="3" l="1"/>
  <c r="AB15" i="3" l="1"/>
  <c r="Y11" i="3" l="1"/>
  <c r="Y10" i="3"/>
  <c r="Y8" i="3"/>
  <c r="Y7" i="3"/>
  <c r="V17" i="3" l="1"/>
  <c r="W11" i="3"/>
  <c r="W10" i="3"/>
  <c r="W8" i="3"/>
  <c r="W7" i="3"/>
  <c r="W17" i="3" l="1"/>
  <c r="Z11" i="3" l="1"/>
  <c r="AC11" i="3" s="1"/>
  <c r="AA5" i="3"/>
  <c r="Z5" i="3"/>
  <c r="AB5" i="3" l="1"/>
  <c r="AC8" i="3"/>
  <c r="X17" i="3"/>
  <c r="Y17" i="3"/>
  <c r="AB17" i="3" s="1"/>
  <c r="AA8" i="3"/>
  <c r="AB8" i="3" s="1"/>
  <c r="AC5" i="3"/>
  <c r="Z17" i="3" l="1"/>
  <c r="AA11" i="3"/>
  <c r="AB11" i="3" l="1"/>
  <c r="AA17" i="3"/>
</calcChain>
</file>

<file path=xl/sharedStrings.xml><?xml version="1.0" encoding="utf-8"?>
<sst xmlns="http://schemas.openxmlformats.org/spreadsheetml/2006/main" count="307" uniqueCount="47">
  <si>
    <t>TOTAL</t>
  </si>
  <si>
    <t>BOX</t>
  </si>
  <si>
    <t>PO NO</t>
  </si>
  <si>
    <t>CNTRS</t>
  </si>
  <si>
    <t>DATE</t>
  </si>
  <si>
    <t>VOL</t>
  </si>
  <si>
    <t>OSWIN</t>
  </si>
  <si>
    <t>VP - PP</t>
  </si>
  <si>
    <t>VP - GRN</t>
  </si>
  <si>
    <t>HP - PP</t>
  </si>
  <si>
    <t>HP - GRN</t>
  </si>
  <si>
    <t>PUR ORDER</t>
  </si>
  <si>
    <t>MADE</t>
  </si>
  <si>
    <t>ISSUED</t>
  </si>
  <si>
    <t>Y</t>
  </si>
  <si>
    <t>VP</t>
  </si>
  <si>
    <t>HP</t>
  </si>
  <si>
    <t>BARCODE</t>
  </si>
  <si>
    <t>ORDER</t>
  </si>
  <si>
    <t>SENT</t>
  </si>
  <si>
    <t>ORDER COMPLETE</t>
  </si>
  <si>
    <t>X</t>
  </si>
  <si>
    <t>PCPL</t>
  </si>
  <si>
    <t>MISC</t>
  </si>
  <si>
    <t>PO 03417</t>
  </si>
  <si>
    <t>14.10.2025</t>
  </si>
  <si>
    <t>PO 03455</t>
  </si>
  <si>
    <t>04.11.2025</t>
  </si>
  <si>
    <t>KP - PP</t>
  </si>
  <si>
    <t>KP</t>
  </si>
  <si>
    <t>PO 03539</t>
  </si>
  <si>
    <t>08.01.2025</t>
  </si>
  <si>
    <t>PO 03583</t>
  </si>
  <si>
    <t>12.02.2025</t>
  </si>
  <si>
    <t>PO 03605</t>
  </si>
  <si>
    <t>25.02.2026</t>
  </si>
  <si>
    <t>PO 03616</t>
  </si>
  <si>
    <t>04.03.2026</t>
  </si>
  <si>
    <t>PO 03658</t>
  </si>
  <si>
    <t>02.04.2026</t>
  </si>
  <si>
    <t>PO 03671</t>
  </si>
  <si>
    <t>14.04.2026</t>
  </si>
  <si>
    <t>PO 03616A</t>
  </si>
  <si>
    <t>23.04.2026</t>
  </si>
  <si>
    <t>PO 2035005</t>
  </si>
  <si>
    <t>13.05.2026</t>
  </si>
  <si>
    <t>25.05.2026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</si>
</sst>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/mmm;@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double">
        <color indexed="64"/>
      </right>
      <top style="double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double">
        <color indexed="64"/>
      </bottom>
      <diagonal/>
    </border>
    <border>
      <left style="thin">
        <color auto="1"/>
      </left>
      <right style="double">
        <color indexed="64"/>
      </right>
      <top style="hair">
        <color auto="1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 style="hair">
        <color auto="1"/>
      </bottom>
      <diagonal/>
    </border>
    <border>
      <left/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/>
      <top style="hair">
        <color auto="1"/>
      </top>
      <bottom style="hair">
        <color auto="1"/>
      </bottom>
      <diagonal/>
    </border>
    <border>
      <left/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/>
      <top style="hair">
        <color auto="1"/>
      </top>
      <bottom style="double">
        <color auto="1"/>
      </bottom>
      <diagonal/>
    </border>
    <border>
      <left/>
      <right style="double">
        <color auto="1"/>
      </right>
      <top style="hair">
        <color auto="1"/>
      </top>
      <bottom style="double">
        <color auto="1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73">
    <xf numFmtId="0" fontId="0" fillId="0" borderId="0" xfId="0"/>
    <xf numFmtId="0" fontId="0" fillId="0" borderId="22" xfId="0" applyBorder="1" applyAlignment="1">
      <alignment horizontal="center"/>
    </xf>
    <xf numFmtId="2" fontId="0" fillId="0" borderId="23" xfId="0" applyNumberFormat="1" applyBorder="1" applyAlignment="1">
      <alignment horizontal="center"/>
    </xf>
    <xf numFmtId="0" fontId="2" fillId="0" borderId="28" xfId="0" applyFont="1" applyBorder="1" applyAlignment="1">
      <alignment horizontal="center"/>
    </xf>
    <xf numFmtId="2" fontId="2" fillId="0" borderId="29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0" fillId="0" borderId="16" xfId="0" applyBorder="1" applyAlignment="1">
      <alignment horizontal="center"/>
    </xf>
    <xf numFmtId="2" fontId="0" fillId="0" borderId="17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2" fontId="0" fillId="0" borderId="20" xfId="0" applyNumberFormat="1" applyBorder="1" applyAlignment="1">
      <alignment horizontal="center"/>
    </xf>
    <xf numFmtId="0" fontId="0" fillId="0" borderId="25" xfId="0" applyBorder="1" applyAlignment="1">
      <alignment horizontal="center"/>
    </xf>
    <xf numFmtId="2" fontId="0" fillId="0" borderId="26" xfId="0" applyNumberFormat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9" xfId="0" applyFont="1" applyBorder="1"/>
    <xf numFmtId="0" fontId="0" fillId="0" borderId="9" xfId="0" applyBorder="1"/>
    <xf numFmtId="0" fontId="2" fillId="0" borderId="9" xfId="0" applyFont="1" applyBorder="1" applyAlignment="1">
      <alignment horizontal="center"/>
    </xf>
    <xf numFmtId="0" fontId="2" fillId="0" borderId="15" xfId="0" applyFont="1" applyBorder="1"/>
    <xf numFmtId="2" fontId="0" fillId="0" borderId="15" xfId="0" applyNumberFormat="1" applyBorder="1" applyAlignment="1">
      <alignment horizontal="center"/>
    </xf>
    <xf numFmtId="0" fontId="2" fillId="0" borderId="19" xfId="0" applyFont="1" applyBorder="1"/>
    <xf numFmtId="2" fontId="0" fillId="0" borderId="19" xfId="0" applyNumberFormat="1" applyBorder="1" applyAlignment="1">
      <alignment horizontal="center"/>
    </xf>
    <xf numFmtId="0" fontId="2" fillId="0" borderId="21" xfId="0" applyFont="1" applyBorder="1"/>
    <xf numFmtId="2" fontId="0" fillId="0" borderId="21" xfId="0" applyNumberFormat="1" applyBorder="1" applyAlignment="1">
      <alignment horizontal="center"/>
    </xf>
    <xf numFmtId="0" fontId="2" fillId="0" borderId="24" xfId="0" applyFont="1" applyBorder="1"/>
    <xf numFmtId="2" fontId="0" fillId="0" borderId="24" xfId="0" applyNumberFormat="1" applyBorder="1" applyAlignment="1">
      <alignment horizontal="center"/>
    </xf>
    <xf numFmtId="0" fontId="2" fillId="0" borderId="27" xfId="0" applyFont="1" applyBorder="1"/>
    <xf numFmtId="2" fontId="2" fillId="0" borderId="27" xfId="0" applyNumberFormat="1" applyFont="1" applyBorder="1" applyAlignment="1">
      <alignment horizontal="center"/>
    </xf>
    <xf numFmtId="0" fontId="2" fillId="0" borderId="31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2" xfId="0" applyFont="1" applyBorder="1"/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2" fillId="0" borderId="36" xfId="0" applyFont="1" applyBorder="1"/>
    <xf numFmtId="0" fontId="0" fillId="0" borderId="37" xfId="0" applyBorder="1" applyAlignment="1">
      <alignment horizontal="center" vertical="center"/>
    </xf>
    <xf numFmtId="0" fontId="2" fillId="0" borderId="31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164" fontId="0" fillId="0" borderId="34" xfId="0" applyNumberFormat="1" applyBorder="1" applyAlignment="1">
      <alignment horizontal="center" vertical="center"/>
    </xf>
    <xf numFmtId="164" fontId="0" fillId="0" borderId="23" xfId="0" applyNumberFormat="1" applyBorder="1" applyAlignment="1">
      <alignment horizontal="center" vertical="center"/>
    </xf>
    <xf numFmtId="164" fontId="0" fillId="0" borderId="38" xfId="0" applyNumberFormat="1" applyBorder="1" applyAlignment="1">
      <alignment horizontal="center" vertical="center"/>
    </xf>
    <xf numFmtId="164" fontId="0" fillId="0" borderId="33" xfId="0" applyNumberFormat="1" applyBorder="1" applyAlignment="1">
      <alignment horizontal="center" vertical="center"/>
    </xf>
    <xf numFmtId="164" fontId="0" fillId="0" borderId="35" xfId="0" applyNumberFormat="1" applyBorder="1" applyAlignment="1">
      <alignment horizontal="center" vertical="center"/>
    </xf>
    <xf numFmtId="164" fontId="0" fillId="0" borderId="37" xfId="0" applyNumberFormat="1" applyBorder="1" applyAlignment="1">
      <alignment horizontal="center" vertical="center"/>
    </xf>
    <xf numFmtId="0" fontId="2" fillId="0" borderId="45" xfId="0" applyFont="1" applyBorder="1"/>
    <xf numFmtId="0" fontId="0" fillId="0" borderId="46" xfId="0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45" xfId="0" applyNumberFormat="1" applyBorder="1" applyAlignment="1">
      <alignment horizontal="center"/>
    </xf>
    <xf numFmtId="0" fontId="0" fillId="0" borderId="48" xfId="0" applyBorder="1" applyAlignment="1">
      <alignment horizontal="center" vertical="center"/>
    </xf>
    <xf numFmtId="164" fontId="0" fillId="0" borderId="47" xfId="0" applyNumberFormat="1" applyBorder="1" applyAlignment="1">
      <alignment horizontal="center" vertical="center"/>
    </xf>
    <xf numFmtId="164" fontId="0" fillId="0" borderId="48" xfId="0" applyNumberFormat="1" applyBorder="1" applyAlignment="1">
      <alignment horizontal="center" vertical="center"/>
    </xf>
    <xf numFmtId="164" fontId="0" fillId="0" borderId="47" xfId="0" applyNumberFormat="1" applyFill="1" applyBorder="1" applyAlignment="1">
      <alignment horizontal="center" vertical="center"/>
    </xf>
    <xf numFmtId="164" fontId="0" fillId="0" borderId="23" xfId="0" applyNumberFormat="1" applyFill="1" applyBorder="1" applyAlignment="1">
      <alignment horizontal="center" vertical="center"/>
    </xf>
    <xf numFmtId="0" fontId="2" fillId="0" borderId="49" xfId="0" applyFont="1" applyFill="1" applyBorder="1"/>
    <xf numFmtId="0" fontId="2" fillId="0" borderId="3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2" fillId="0" borderId="4" xfId="0" quotePrefix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</cellXfs>
  <cellStyles count="2">
    <cellStyle name="Normal" xfId="0" builtinId="0"/>
    <cellStyle name="Normal 3" xfId="1"/>
  </cellStyles>
  <dxfs count="60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0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H53"/>
  <sheetViews>
    <sheetView tabSelected="1" zoomScale="85" zoomScaleNormal="85" workbookViewId="0">
      <pane xSplit="1" ySplit="17" topLeftCell="B45" activePane="bottomRight" state="frozen"/>
      <selection activeCell="B14" sqref="B14"/>
      <selection pane="topRight" activeCell="B14" sqref="B14"/>
      <selection pane="bottomLeft" activeCell="B14" sqref="B14"/>
      <selection pane="bottomRight" activeCell="J52" sqref="J52:K52"/>
    </sheetView>
  </sheetViews>
  <sheetFormatPr defaultColWidth="9.140625" defaultRowHeight="15" x14ac:dyDescent="0.25"/>
  <cols>
    <col min="1" max="1" width="10.28515625" bestFit="1" customWidth="1"/>
  </cols>
  <sheetData>
    <row r="1" spans="1:34" ht="15.75" thickBot="1" x14ac:dyDescent="0.3">
      <c r="A1" s="13"/>
    </row>
    <row r="2" spans="1:34" ht="15.75" thickTop="1" x14ac:dyDescent="0.25">
      <c r="A2" s="14" t="s">
        <v>2</v>
      </c>
      <c r="B2" s="63" t="s">
        <v>24</v>
      </c>
      <c r="C2" s="56"/>
      <c r="D2" s="63" t="s">
        <v>26</v>
      </c>
      <c r="E2" s="56"/>
      <c r="F2" s="63" t="s">
        <v>30</v>
      </c>
      <c r="G2" s="56"/>
      <c r="H2" s="63" t="s">
        <v>32</v>
      </c>
      <c r="I2" s="56"/>
      <c r="J2" s="63" t="s">
        <v>34</v>
      </c>
      <c r="K2" s="56"/>
      <c r="L2" s="63" t="s">
        <v>36</v>
      </c>
      <c r="M2" s="56"/>
      <c r="N2" s="63" t="s">
        <v>42</v>
      </c>
      <c r="O2" s="56"/>
      <c r="P2" s="63" t="s">
        <v>38</v>
      </c>
      <c r="Q2" s="56"/>
      <c r="R2" s="63" t="s">
        <v>40</v>
      </c>
      <c r="S2" s="56"/>
      <c r="T2" s="63" t="s">
        <v>44</v>
      </c>
      <c r="U2" s="56"/>
      <c r="V2" s="72"/>
      <c r="W2" s="56"/>
      <c r="X2" s="68" t="s">
        <v>0</v>
      </c>
      <c r="Y2" s="69"/>
      <c r="Z2" s="68" t="s">
        <v>0</v>
      </c>
      <c r="AA2" s="69"/>
      <c r="AB2" s="66" t="s">
        <v>3</v>
      </c>
    </row>
    <row r="3" spans="1:34" x14ac:dyDescent="0.25">
      <c r="A3" s="15" t="s">
        <v>4</v>
      </c>
      <c r="B3" s="64" t="s">
        <v>25</v>
      </c>
      <c r="C3" s="65"/>
      <c r="D3" s="64" t="s">
        <v>27</v>
      </c>
      <c r="E3" s="65"/>
      <c r="F3" s="64" t="s">
        <v>31</v>
      </c>
      <c r="G3" s="65"/>
      <c r="H3" s="64" t="s">
        <v>33</v>
      </c>
      <c r="I3" s="65"/>
      <c r="J3" s="64" t="s">
        <v>35</v>
      </c>
      <c r="K3" s="65"/>
      <c r="L3" s="64" t="s">
        <v>37</v>
      </c>
      <c r="M3" s="65"/>
      <c r="N3" s="64" t="s">
        <v>43</v>
      </c>
      <c r="O3" s="65"/>
      <c r="P3" s="64" t="s">
        <v>39</v>
      </c>
      <c r="Q3" s="65"/>
      <c r="R3" s="64" t="s">
        <v>41</v>
      </c>
      <c r="S3" s="65"/>
      <c r="T3" s="64" t="s">
        <v>45</v>
      </c>
      <c r="U3" s="65"/>
      <c r="V3" s="64"/>
      <c r="W3" s="65"/>
      <c r="X3" s="70"/>
      <c r="Y3" s="71"/>
      <c r="Z3" s="70"/>
      <c r="AA3" s="71"/>
      <c r="AB3" s="67"/>
    </row>
    <row r="4" spans="1:34" x14ac:dyDescent="0.25">
      <c r="A4" s="16"/>
      <c r="B4" s="5" t="s">
        <v>1</v>
      </c>
      <c r="C4" s="6" t="s">
        <v>5</v>
      </c>
      <c r="D4" s="5" t="s">
        <v>1</v>
      </c>
      <c r="E4" s="6" t="s">
        <v>5</v>
      </c>
      <c r="F4" s="5" t="s">
        <v>1</v>
      </c>
      <c r="G4" s="6" t="s">
        <v>5</v>
      </c>
      <c r="H4" s="5" t="s">
        <v>1</v>
      </c>
      <c r="I4" s="6" t="s">
        <v>5</v>
      </c>
      <c r="J4" s="5" t="s">
        <v>1</v>
      </c>
      <c r="K4" s="6" t="s">
        <v>5</v>
      </c>
      <c r="L4" s="5" t="s">
        <v>1</v>
      </c>
      <c r="M4" s="6" t="s">
        <v>5</v>
      </c>
      <c r="N4" s="5" t="s">
        <v>1</v>
      </c>
      <c r="O4" s="6" t="s">
        <v>5</v>
      </c>
      <c r="P4" s="5" t="s">
        <v>1</v>
      </c>
      <c r="Q4" s="6" t="s">
        <v>5</v>
      </c>
      <c r="R4" s="5" t="s">
        <v>1</v>
      </c>
      <c r="S4" s="6" t="s">
        <v>5</v>
      </c>
      <c r="T4" s="5" t="s">
        <v>1</v>
      </c>
      <c r="U4" s="6" t="s">
        <v>5</v>
      </c>
      <c r="V4" s="5" t="s">
        <v>1</v>
      </c>
      <c r="W4" s="6" t="s">
        <v>5</v>
      </c>
      <c r="X4" s="5" t="s">
        <v>1</v>
      </c>
      <c r="Y4" s="6" t="s">
        <v>5</v>
      </c>
      <c r="Z4" s="5" t="s">
        <v>1</v>
      </c>
      <c r="AA4" s="6" t="s">
        <v>5</v>
      </c>
      <c r="AB4" s="17"/>
    </row>
    <row r="5" spans="1:34" x14ac:dyDescent="0.25">
      <c r="A5" s="18" t="s">
        <v>6</v>
      </c>
      <c r="B5" s="7">
        <v>0</v>
      </c>
      <c r="C5" s="8">
        <v>0</v>
      </c>
      <c r="D5" s="7">
        <v>0</v>
      </c>
      <c r="E5" s="8">
        <v>0</v>
      </c>
      <c r="F5" s="7">
        <v>2</v>
      </c>
      <c r="G5" s="8">
        <v>0.12</v>
      </c>
      <c r="H5" s="7">
        <v>145</v>
      </c>
      <c r="I5" s="8">
        <v>6.91</v>
      </c>
      <c r="J5" s="7">
        <v>0</v>
      </c>
      <c r="K5" s="8">
        <v>0</v>
      </c>
      <c r="L5" s="7">
        <v>160</v>
      </c>
      <c r="M5" s="8">
        <v>8.56</v>
      </c>
      <c r="N5" s="7">
        <v>35</v>
      </c>
      <c r="O5" s="8">
        <v>3.41</v>
      </c>
      <c r="P5" s="7">
        <v>525</v>
      </c>
      <c r="Q5" s="8">
        <v>31.21</v>
      </c>
      <c r="R5" s="7">
        <v>309</v>
      </c>
      <c r="S5" s="8">
        <v>19.91</v>
      </c>
      <c r="T5" s="7">
        <v>670</v>
      </c>
      <c r="U5" s="8">
        <v>43.65</v>
      </c>
      <c r="V5" s="7"/>
      <c r="W5" s="8"/>
      <c r="X5" s="1">
        <f>V5+B5+D5+F5+H5+J5+L5+P5+R5+N5+T5</f>
        <v>1846</v>
      </c>
      <c r="Y5" s="2">
        <f>W5+C5+E5+G5+I5+K5+M5+Q5+S5+O5+U5</f>
        <v>113.76999999999998</v>
      </c>
      <c r="Z5" s="9">
        <f>X5</f>
        <v>1846</v>
      </c>
      <c r="AA5" s="8">
        <f>Y5</f>
        <v>113.76999999999998</v>
      </c>
      <c r="AB5" s="19">
        <f>Y5/30</f>
        <v>3.7923333333333327</v>
      </c>
      <c r="AC5">
        <f>AA5/45</f>
        <v>2.5282222222222219</v>
      </c>
      <c r="AE5">
        <v>18143.12</v>
      </c>
      <c r="AG5">
        <f>AE5*170</f>
        <v>3084330.4</v>
      </c>
    </row>
    <row r="6" spans="1:34" x14ac:dyDescent="0.25">
      <c r="A6" s="20"/>
      <c r="B6" s="9"/>
      <c r="C6" s="10"/>
      <c r="D6" s="9"/>
      <c r="E6" s="10"/>
      <c r="F6" s="9"/>
      <c r="G6" s="10"/>
      <c r="H6" s="9"/>
      <c r="I6" s="10"/>
      <c r="J6" s="9"/>
      <c r="K6" s="10"/>
      <c r="L6" s="9"/>
      <c r="M6" s="10"/>
      <c r="N6" s="9"/>
      <c r="O6" s="10"/>
      <c r="P6" s="9"/>
      <c r="Q6" s="10"/>
      <c r="R6" s="9"/>
      <c r="S6" s="10"/>
      <c r="T6" s="9"/>
      <c r="U6" s="10"/>
      <c r="V6" s="9"/>
      <c r="W6" s="10"/>
      <c r="X6" s="9"/>
      <c r="Y6" s="10"/>
      <c r="Z6" s="9"/>
      <c r="AA6" s="10"/>
      <c r="AB6" s="21"/>
    </row>
    <row r="7" spans="1:34" x14ac:dyDescent="0.25">
      <c r="A7" s="22" t="s">
        <v>7</v>
      </c>
      <c r="B7" s="1">
        <v>0</v>
      </c>
      <c r="C7" s="2">
        <f>B7*0.06</f>
        <v>0</v>
      </c>
      <c r="D7" s="1">
        <v>0</v>
      </c>
      <c r="E7" s="2">
        <f>D7*0.06</f>
        <v>0</v>
      </c>
      <c r="F7" s="1">
        <v>0</v>
      </c>
      <c r="G7" s="2">
        <f>F7*0.06</f>
        <v>0</v>
      </c>
      <c r="H7" s="1">
        <v>12</v>
      </c>
      <c r="I7" s="2">
        <f>H7*0.06</f>
        <v>0.72</v>
      </c>
      <c r="J7" s="1">
        <v>0</v>
      </c>
      <c r="K7" s="2">
        <f>J7*0.06</f>
        <v>0</v>
      </c>
      <c r="L7" s="1">
        <v>56</v>
      </c>
      <c r="M7" s="2">
        <f>L7*0.06</f>
        <v>3.36</v>
      </c>
      <c r="N7" s="1">
        <v>0</v>
      </c>
      <c r="O7" s="2">
        <f>N7*0.06</f>
        <v>0</v>
      </c>
      <c r="P7" s="1">
        <v>88</v>
      </c>
      <c r="Q7" s="2">
        <f>P7*0.06</f>
        <v>5.2799999999999994</v>
      </c>
      <c r="R7" s="1">
        <v>6</v>
      </c>
      <c r="S7" s="2">
        <f>R7*0.06</f>
        <v>0.36</v>
      </c>
      <c r="T7" s="1">
        <v>94</v>
      </c>
      <c r="U7" s="2">
        <f>T7*0.06</f>
        <v>5.64</v>
      </c>
      <c r="V7" s="1"/>
      <c r="W7" s="2">
        <f>V7*0.06</f>
        <v>0</v>
      </c>
      <c r="X7" s="1">
        <f>V7+B7+D7+F7+H7+J7+L7+P7+R7+N7+T7</f>
        <v>256</v>
      </c>
      <c r="Y7" s="2">
        <f>X7*0.06</f>
        <v>15.36</v>
      </c>
      <c r="Z7" s="1"/>
      <c r="AA7" s="2"/>
      <c r="AB7" s="23"/>
      <c r="AE7">
        <v>3300.5</v>
      </c>
      <c r="AG7">
        <f>AE7*170</f>
        <v>561085</v>
      </c>
    </row>
    <row r="8" spans="1:34" x14ac:dyDescent="0.25">
      <c r="A8" s="22" t="s">
        <v>8</v>
      </c>
      <c r="B8" s="1">
        <v>0</v>
      </c>
      <c r="C8" s="2">
        <f t="shared" ref="C8" si="0">B8*0.06</f>
        <v>0</v>
      </c>
      <c r="D8" s="1">
        <v>0</v>
      </c>
      <c r="E8" s="2">
        <f t="shared" ref="E8" si="1">D8*0.06</f>
        <v>0</v>
      </c>
      <c r="F8" s="1">
        <v>7</v>
      </c>
      <c r="G8" s="2">
        <f t="shared" ref="G8" si="2">F8*0.06</f>
        <v>0.42</v>
      </c>
      <c r="H8" s="1">
        <v>84</v>
      </c>
      <c r="I8" s="2">
        <f t="shared" ref="I8" si="3">H8*0.06</f>
        <v>5.04</v>
      </c>
      <c r="J8" s="1">
        <v>0</v>
      </c>
      <c r="K8" s="2">
        <f t="shared" ref="K8" si="4">J8*0.06</f>
        <v>0</v>
      </c>
      <c r="L8" s="1">
        <v>67</v>
      </c>
      <c r="M8" s="2">
        <f t="shared" ref="M8" si="5">L8*0.06</f>
        <v>4.0199999999999996</v>
      </c>
      <c r="N8" s="1">
        <v>0</v>
      </c>
      <c r="O8" s="2">
        <f t="shared" ref="O8" si="6">N8*0.06</f>
        <v>0</v>
      </c>
      <c r="P8" s="1">
        <v>72</v>
      </c>
      <c r="Q8" s="2">
        <f t="shared" ref="Q8" si="7">P8*0.06</f>
        <v>4.32</v>
      </c>
      <c r="R8" s="1">
        <v>0</v>
      </c>
      <c r="S8" s="2">
        <f t="shared" ref="S8" si="8">R8*0.06</f>
        <v>0</v>
      </c>
      <c r="T8" s="1">
        <v>86</v>
      </c>
      <c r="U8" s="2">
        <f t="shared" ref="U8" si="9">T8*0.06</f>
        <v>5.16</v>
      </c>
      <c r="V8" s="1"/>
      <c r="W8" s="2">
        <f t="shared" ref="W8" si="10">V8*0.06</f>
        <v>0</v>
      </c>
      <c r="X8" s="1">
        <f>V8+B8+D8+F8+H8+J8+L8+P8+R8+N8+T8</f>
        <v>316</v>
      </c>
      <c r="Y8" s="2">
        <f>X8*0.06</f>
        <v>18.96</v>
      </c>
      <c r="Z8" s="1">
        <f>SUM(X7:X8)</f>
        <v>572</v>
      </c>
      <c r="AA8" s="2">
        <f>SUM(Y7:Y8)</f>
        <v>34.32</v>
      </c>
      <c r="AB8" s="23">
        <f>AA8/30</f>
        <v>1.1439999999999999</v>
      </c>
      <c r="AC8">
        <f>Z8/250</f>
        <v>2.2879999999999998</v>
      </c>
      <c r="AE8">
        <v>4764.92</v>
      </c>
      <c r="AF8">
        <f>SUM(AE7:AE8)</f>
        <v>8065.42</v>
      </c>
      <c r="AG8">
        <f>AE8*199</f>
        <v>948219.08</v>
      </c>
      <c r="AH8">
        <f>SUM(AG7:AG8)</f>
        <v>1509304.08</v>
      </c>
    </row>
    <row r="9" spans="1:34" x14ac:dyDescent="0.25">
      <c r="A9" s="22"/>
      <c r="B9" s="1"/>
      <c r="C9" s="2"/>
      <c r="D9" s="1"/>
      <c r="E9" s="2"/>
      <c r="F9" s="1"/>
      <c r="G9" s="2"/>
      <c r="H9" s="1"/>
      <c r="I9" s="2"/>
      <c r="J9" s="1"/>
      <c r="K9" s="2"/>
      <c r="L9" s="1"/>
      <c r="M9" s="2"/>
      <c r="N9" s="1"/>
      <c r="O9" s="2"/>
      <c r="P9" s="1"/>
      <c r="Q9" s="2"/>
      <c r="R9" s="1"/>
      <c r="S9" s="2"/>
      <c r="T9" s="1"/>
      <c r="U9" s="2"/>
      <c r="V9" s="1"/>
      <c r="W9" s="2"/>
      <c r="X9" s="1"/>
      <c r="Y9" s="2"/>
      <c r="Z9" s="1"/>
      <c r="AA9" s="2"/>
      <c r="AB9" s="23"/>
    </row>
    <row r="10" spans="1:34" x14ac:dyDescent="0.25">
      <c r="A10" s="22" t="s">
        <v>9</v>
      </c>
      <c r="B10" s="1">
        <v>0</v>
      </c>
      <c r="C10" s="2">
        <f t="shared" ref="C10:C11" si="11">B10*0.06</f>
        <v>0</v>
      </c>
      <c r="D10" s="1">
        <v>0</v>
      </c>
      <c r="E10" s="2">
        <f t="shared" ref="E10:E11" si="12">D10*0.06</f>
        <v>0</v>
      </c>
      <c r="F10" s="1">
        <v>0</v>
      </c>
      <c r="G10" s="2">
        <f t="shared" ref="G10:G11" si="13">F10*0.06</f>
        <v>0</v>
      </c>
      <c r="H10" s="1">
        <v>0</v>
      </c>
      <c r="I10" s="2">
        <f t="shared" ref="I10:I11" si="14">H10*0.06</f>
        <v>0</v>
      </c>
      <c r="J10" s="1">
        <v>0</v>
      </c>
      <c r="K10" s="2">
        <f t="shared" ref="K10:K11" si="15">J10*0.06</f>
        <v>0</v>
      </c>
      <c r="L10" s="1">
        <v>16</v>
      </c>
      <c r="M10" s="2">
        <f t="shared" ref="M10:M11" si="16">L10*0.06</f>
        <v>0.96</v>
      </c>
      <c r="N10" s="1">
        <v>0</v>
      </c>
      <c r="O10" s="2">
        <f t="shared" ref="O10:O11" si="17">N10*0.06</f>
        <v>0</v>
      </c>
      <c r="P10" s="1">
        <v>45</v>
      </c>
      <c r="Q10" s="2">
        <f t="shared" ref="Q10:Q11" si="18">P10*0.06</f>
        <v>2.6999999999999997</v>
      </c>
      <c r="R10" s="1">
        <v>2</v>
      </c>
      <c r="S10" s="2">
        <f t="shared" ref="S10:S11" si="19">R10*0.06</f>
        <v>0.12</v>
      </c>
      <c r="T10" s="1">
        <v>51</v>
      </c>
      <c r="U10" s="2">
        <f t="shared" ref="U10:U11" si="20">T10*0.06</f>
        <v>3.06</v>
      </c>
      <c r="V10" s="1"/>
      <c r="W10" s="2">
        <f t="shared" ref="W10:W11" si="21">V10*0.06</f>
        <v>0</v>
      </c>
      <c r="X10" s="1">
        <f>V10+B10+D10+F10+H10+J10+L10+P10+R10+N10+T10</f>
        <v>114</v>
      </c>
      <c r="Y10" s="2">
        <f>X10*0.06</f>
        <v>6.84</v>
      </c>
      <c r="Z10" s="1"/>
      <c r="AA10" s="2"/>
      <c r="AB10" s="23"/>
      <c r="AE10">
        <v>844.3</v>
      </c>
      <c r="AG10">
        <f>AE10*170</f>
        <v>143531</v>
      </c>
    </row>
    <row r="11" spans="1:34" x14ac:dyDescent="0.25">
      <c r="A11" s="22" t="s">
        <v>10</v>
      </c>
      <c r="B11" s="1">
        <v>0</v>
      </c>
      <c r="C11" s="2">
        <f t="shared" si="11"/>
        <v>0</v>
      </c>
      <c r="D11" s="1">
        <v>0</v>
      </c>
      <c r="E11" s="2">
        <f t="shared" si="12"/>
        <v>0</v>
      </c>
      <c r="F11" s="1">
        <v>9</v>
      </c>
      <c r="G11" s="2">
        <f t="shared" si="13"/>
        <v>0.54</v>
      </c>
      <c r="H11" s="1">
        <v>11</v>
      </c>
      <c r="I11" s="2">
        <f t="shared" si="14"/>
        <v>0.65999999999999992</v>
      </c>
      <c r="J11" s="1">
        <v>0</v>
      </c>
      <c r="K11" s="2">
        <f t="shared" si="15"/>
        <v>0</v>
      </c>
      <c r="L11" s="1">
        <v>15</v>
      </c>
      <c r="M11" s="2">
        <f t="shared" si="16"/>
        <v>0.89999999999999991</v>
      </c>
      <c r="N11" s="1">
        <v>0</v>
      </c>
      <c r="O11" s="2">
        <f t="shared" si="17"/>
        <v>0</v>
      </c>
      <c r="P11" s="1">
        <v>31</v>
      </c>
      <c r="Q11" s="2">
        <f t="shared" si="18"/>
        <v>1.8599999999999999</v>
      </c>
      <c r="R11" s="1">
        <v>0</v>
      </c>
      <c r="S11" s="2">
        <f t="shared" si="19"/>
        <v>0</v>
      </c>
      <c r="T11" s="1">
        <v>54</v>
      </c>
      <c r="U11" s="2">
        <f t="shared" si="20"/>
        <v>3.2399999999999998</v>
      </c>
      <c r="V11" s="1"/>
      <c r="W11" s="2">
        <f t="shared" si="21"/>
        <v>0</v>
      </c>
      <c r="X11" s="1">
        <f>V11+B11+D11+F11+H11+J11+L11+P11+R11+N11+T11</f>
        <v>120</v>
      </c>
      <c r="Y11" s="2">
        <f>X11*0.06</f>
        <v>7.1999999999999993</v>
      </c>
      <c r="Z11" s="1">
        <f>SUM(X10:X11)</f>
        <v>234</v>
      </c>
      <c r="AA11" s="2">
        <f>SUM(Y10:Y11)</f>
        <v>14.04</v>
      </c>
      <c r="AB11" s="23">
        <f>AA11/30</f>
        <v>0.46799999999999997</v>
      </c>
      <c r="AC11">
        <f>Z11/150</f>
        <v>1.56</v>
      </c>
      <c r="AE11">
        <v>1709.54</v>
      </c>
      <c r="AF11">
        <f>SUM(AE10:AE11)</f>
        <v>2553.84</v>
      </c>
      <c r="AG11">
        <f>AE11*199</f>
        <v>340198.46</v>
      </c>
      <c r="AH11">
        <f>SUM(AG10:AG11)</f>
        <v>483729.46</v>
      </c>
    </row>
    <row r="12" spans="1:34" x14ac:dyDescent="0.25">
      <c r="A12" s="43"/>
      <c r="B12" s="44"/>
      <c r="C12" s="45"/>
      <c r="D12" s="44"/>
      <c r="E12" s="45"/>
      <c r="F12" s="44"/>
      <c r="G12" s="45"/>
      <c r="H12" s="44"/>
      <c r="I12" s="45"/>
      <c r="J12" s="44"/>
      <c r="K12" s="45"/>
      <c r="L12" s="44"/>
      <c r="M12" s="45"/>
      <c r="N12" s="44"/>
      <c r="O12" s="45"/>
      <c r="P12" s="44"/>
      <c r="Q12" s="45"/>
      <c r="R12" s="44"/>
      <c r="S12" s="45"/>
      <c r="T12" s="44"/>
      <c r="U12" s="45"/>
      <c r="V12" s="44"/>
      <c r="W12" s="45"/>
      <c r="X12" s="44"/>
      <c r="Y12" s="45"/>
      <c r="Z12" s="44"/>
      <c r="AA12" s="45"/>
      <c r="AB12" s="46"/>
    </row>
    <row r="13" spans="1:34" x14ac:dyDescent="0.25">
      <c r="A13" s="43" t="s">
        <v>28</v>
      </c>
      <c r="B13" s="44">
        <v>3</v>
      </c>
      <c r="C13" s="2">
        <f t="shared" ref="C13:W13" si="22">B13*0.06</f>
        <v>0.18</v>
      </c>
      <c r="D13" s="44">
        <v>50</v>
      </c>
      <c r="E13" s="2">
        <f t="shared" si="22"/>
        <v>3</v>
      </c>
      <c r="F13" s="44">
        <v>0</v>
      </c>
      <c r="G13" s="2">
        <f t="shared" ref="G13" si="23">F13*0.06</f>
        <v>0</v>
      </c>
      <c r="H13" s="44">
        <v>15</v>
      </c>
      <c r="I13" s="2">
        <f t="shared" ref="I13" si="24">H13*0.06</f>
        <v>0.89999999999999991</v>
      </c>
      <c r="J13" s="44">
        <v>0</v>
      </c>
      <c r="K13" s="2">
        <f t="shared" ref="K13" si="25">J13*0.06</f>
        <v>0</v>
      </c>
      <c r="L13" s="44">
        <v>56</v>
      </c>
      <c r="M13" s="2">
        <f t="shared" ref="M13" si="26">L13*0.06</f>
        <v>3.36</v>
      </c>
      <c r="N13" s="44">
        <v>0</v>
      </c>
      <c r="O13" s="2">
        <f t="shared" ref="O13" si="27">N13*0.06</f>
        <v>0</v>
      </c>
      <c r="P13" s="44">
        <v>163</v>
      </c>
      <c r="Q13" s="2">
        <f t="shared" ref="Q13" si="28">P13*0.06</f>
        <v>9.7799999999999994</v>
      </c>
      <c r="R13" s="44">
        <v>17</v>
      </c>
      <c r="S13" s="2">
        <f t="shared" ref="S13" si="29">R13*0.06</f>
        <v>1.02</v>
      </c>
      <c r="T13" s="44">
        <v>146</v>
      </c>
      <c r="U13" s="2">
        <f t="shared" ref="U13" si="30">T13*0.06</f>
        <v>8.76</v>
      </c>
      <c r="V13" s="44"/>
      <c r="W13" s="2">
        <f t="shared" si="22"/>
        <v>0</v>
      </c>
      <c r="X13" s="1">
        <f>V13+B13+D13+F13+H13+J13+L13+P13+R13+N13+T13</f>
        <v>450</v>
      </c>
      <c r="Y13" s="2">
        <f>X13*0.06</f>
        <v>27</v>
      </c>
      <c r="Z13" s="44">
        <f>SUM(X13:X13)</f>
        <v>450</v>
      </c>
      <c r="AA13" s="45">
        <f>SUM(Y13:Y13)</f>
        <v>27</v>
      </c>
      <c r="AB13" s="46">
        <f>AA13/30</f>
        <v>0.9</v>
      </c>
      <c r="AE13">
        <v>5427.98</v>
      </c>
      <c r="AG13">
        <f>AE13*82</f>
        <v>445094.36</v>
      </c>
    </row>
    <row r="14" spans="1:34" x14ac:dyDescent="0.25">
      <c r="A14" s="43"/>
      <c r="B14" s="44"/>
      <c r="C14" s="45"/>
      <c r="D14" s="44"/>
      <c r="E14" s="45"/>
      <c r="F14" s="44"/>
      <c r="G14" s="45"/>
      <c r="H14" s="44"/>
      <c r="I14" s="45"/>
      <c r="J14" s="44"/>
      <c r="K14" s="45"/>
      <c r="L14" s="44"/>
      <c r="M14" s="45"/>
      <c r="N14" s="44"/>
      <c r="O14" s="45"/>
      <c r="P14" s="44"/>
      <c r="Q14" s="45"/>
      <c r="R14" s="44"/>
      <c r="S14" s="45"/>
      <c r="T14" s="44"/>
      <c r="U14" s="45"/>
      <c r="V14" s="44"/>
      <c r="W14" s="45"/>
      <c r="X14" s="44"/>
      <c r="Y14" s="45"/>
      <c r="Z14" s="44"/>
      <c r="AA14" s="45"/>
      <c r="AB14" s="46"/>
    </row>
    <row r="15" spans="1:34" x14ac:dyDescent="0.25">
      <c r="A15" s="43" t="s">
        <v>23</v>
      </c>
      <c r="B15" s="44">
        <v>0</v>
      </c>
      <c r="C15" s="45">
        <v>0</v>
      </c>
      <c r="D15" s="44">
        <v>0</v>
      </c>
      <c r="E15" s="45">
        <v>0</v>
      </c>
      <c r="F15" s="44">
        <v>0</v>
      </c>
      <c r="G15" s="45">
        <v>0</v>
      </c>
      <c r="H15" s="44">
        <v>0</v>
      </c>
      <c r="I15" s="45">
        <v>0</v>
      </c>
      <c r="J15" s="44">
        <v>85</v>
      </c>
      <c r="K15" s="45">
        <v>0.32</v>
      </c>
      <c r="L15" s="44">
        <v>0</v>
      </c>
      <c r="M15" s="45">
        <v>0</v>
      </c>
      <c r="N15" s="44">
        <v>0</v>
      </c>
      <c r="O15" s="45">
        <v>0</v>
      </c>
      <c r="P15" s="44">
        <v>0</v>
      </c>
      <c r="Q15" s="45">
        <v>0</v>
      </c>
      <c r="R15" s="44">
        <v>0</v>
      </c>
      <c r="S15" s="45">
        <v>0</v>
      </c>
      <c r="T15" s="44">
        <v>0</v>
      </c>
      <c r="U15" s="45">
        <v>0</v>
      </c>
      <c r="V15" s="44"/>
      <c r="W15" s="45">
        <v>0</v>
      </c>
      <c r="X15" s="44">
        <f>V15+B15+D15+F15+H15+J15+L15+P15+R15+N15+T15</f>
        <v>85</v>
      </c>
      <c r="Y15" s="45">
        <f>W15+C15+E15+G15+I15+K15+M15+Q15+S15+O15+U15</f>
        <v>0.32</v>
      </c>
      <c r="Z15" s="44">
        <f>SUM(X15:X15)</f>
        <v>85</v>
      </c>
      <c r="AA15" s="45">
        <f>SUM(Y15:Y15)</f>
        <v>0.32</v>
      </c>
      <c r="AB15" s="46">
        <f>AA15/30</f>
        <v>1.0666666666666666E-2</v>
      </c>
    </row>
    <row r="16" spans="1:34" x14ac:dyDescent="0.25">
      <c r="A16" s="24"/>
      <c r="B16" s="11"/>
      <c r="C16" s="12"/>
      <c r="D16" s="11"/>
      <c r="E16" s="12"/>
      <c r="F16" s="11"/>
      <c r="G16" s="12"/>
      <c r="H16" s="11"/>
      <c r="I16" s="12"/>
      <c r="J16" s="11"/>
      <c r="K16" s="12"/>
      <c r="L16" s="11"/>
      <c r="M16" s="12"/>
      <c r="N16" s="11"/>
      <c r="O16" s="12"/>
      <c r="P16" s="11"/>
      <c r="Q16" s="12"/>
      <c r="R16" s="11"/>
      <c r="S16" s="12"/>
      <c r="T16" s="11"/>
      <c r="U16" s="12"/>
      <c r="V16" s="11"/>
      <c r="W16" s="12"/>
      <c r="X16" s="11"/>
      <c r="Y16" s="12"/>
      <c r="Z16" s="11"/>
      <c r="AA16" s="12"/>
      <c r="AB16" s="25"/>
    </row>
    <row r="17" spans="1:33" ht="15.75" thickBot="1" x14ac:dyDescent="0.3">
      <c r="A17" s="26" t="s">
        <v>0</v>
      </c>
      <c r="B17" s="3">
        <f>SUM(B5:B16)</f>
        <v>3</v>
      </c>
      <c r="C17" s="4">
        <f t="shared" ref="C17" si="31">SUM(C5:C16)</f>
        <v>0.18</v>
      </c>
      <c r="D17" s="3">
        <f>SUM(D5:D16)</f>
        <v>50</v>
      </c>
      <c r="E17" s="4">
        <f t="shared" ref="E17" si="32">SUM(E5:E16)</f>
        <v>3</v>
      </c>
      <c r="F17" s="3">
        <f t="shared" ref="F17:R17" si="33">SUM(F5:F16)</f>
        <v>18</v>
      </c>
      <c r="G17" s="4">
        <f t="shared" si="33"/>
        <v>1.08</v>
      </c>
      <c r="H17" s="3">
        <f t="shared" si="33"/>
        <v>267</v>
      </c>
      <c r="I17" s="4">
        <f t="shared" si="33"/>
        <v>14.23</v>
      </c>
      <c r="J17" s="3">
        <f t="shared" si="33"/>
        <v>85</v>
      </c>
      <c r="K17" s="4">
        <f t="shared" si="33"/>
        <v>0.32</v>
      </c>
      <c r="L17" s="3">
        <f t="shared" si="33"/>
        <v>370</v>
      </c>
      <c r="M17" s="4">
        <f t="shared" si="33"/>
        <v>21.159999999999997</v>
      </c>
      <c r="N17" s="3">
        <f t="shared" si="33"/>
        <v>35</v>
      </c>
      <c r="O17" s="4">
        <f t="shared" si="33"/>
        <v>3.41</v>
      </c>
      <c r="P17" s="3">
        <f t="shared" si="33"/>
        <v>924</v>
      </c>
      <c r="Q17" s="4">
        <f t="shared" si="33"/>
        <v>55.150000000000006</v>
      </c>
      <c r="R17" s="3">
        <f t="shared" si="33"/>
        <v>334</v>
      </c>
      <c r="S17" s="4">
        <f t="shared" ref="S17" si="34">SUM(S5:S16)</f>
        <v>21.41</v>
      </c>
      <c r="T17" s="3">
        <f t="shared" ref="T17:U17" si="35">SUM(T5:T16)</f>
        <v>1101</v>
      </c>
      <c r="U17" s="4">
        <f t="shared" si="35"/>
        <v>69.510000000000005</v>
      </c>
      <c r="V17" s="3">
        <f t="shared" ref="V17:AA17" si="36">SUM(V5:V16)</f>
        <v>0</v>
      </c>
      <c r="W17" s="4">
        <f t="shared" si="36"/>
        <v>0</v>
      </c>
      <c r="X17" s="3">
        <f t="shared" si="36"/>
        <v>3187</v>
      </c>
      <c r="Y17" s="4">
        <f t="shared" si="36"/>
        <v>189.45</v>
      </c>
      <c r="Z17" s="3">
        <f t="shared" si="36"/>
        <v>3187</v>
      </c>
      <c r="AA17" s="4">
        <f t="shared" si="36"/>
        <v>189.44999999999996</v>
      </c>
      <c r="AB17" s="27">
        <f>Y17/30</f>
        <v>6.3149999999999995</v>
      </c>
      <c r="AE17">
        <f>SUM(AE5:AE16)</f>
        <v>34190.36</v>
      </c>
      <c r="AG17">
        <f>SUM(AG5:AG16)</f>
        <v>5522458.2999999998</v>
      </c>
    </row>
    <row r="18" spans="1:33" ht="16.5" thickTop="1" thickBot="1" x14ac:dyDescent="0.3">
      <c r="A18" s="52" t="s">
        <v>46</v>
      </c>
    </row>
    <row r="19" spans="1:33" ht="15.75" thickTop="1" x14ac:dyDescent="0.25">
      <c r="B19" s="53" t="s">
        <v>11</v>
      </c>
      <c r="C19" s="54"/>
      <c r="D19" s="53" t="s">
        <v>11</v>
      </c>
      <c r="E19" s="54"/>
      <c r="F19" s="53" t="s">
        <v>11</v>
      </c>
      <c r="G19" s="54"/>
      <c r="H19" s="53" t="s">
        <v>11</v>
      </c>
      <c r="I19" s="54"/>
      <c r="J19" s="53" t="s">
        <v>11</v>
      </c>
      <c r="K19" s="54"/>
      <c r="L19" s="53" t="s">
        <v>11</v>
      </c>
      <c r="M19" s="54"/>
      <c r="N19" s="53" t="s">
        <v>11</v>
      </c>
      <c r="O19" s="54"/>
      <c r="P19" s="53" t="s">
        <v>11</v>
      </c>
      <c r="Q19" s="54"/>
      <c r="R19" s="53" t="s">
        <v>11</v>
      </c>
      <c r="S19" s="54"/>
      <c r="T19" s="53" t="s">
        <v>11</v>
      </c>
      <c r="U19" s="54"/>
      <c r="V19" s="53" t="s">
        <v>11</v>
      </c>
      <c r="W19" s="54"/>
    </row>
    <row r="20" spans="1:33" ht="15.75" thickBot="1" x14ac:dyDescent="0.3">
      <c r="B20" s="28" t="s">
        <v>12</v>
      </c>
      <c r="C20" s="29" t="s">
        <v>13</v>
      </c>
      <c r="D20" s="28" t="s">
        <v>12</v>
      </c>
      <c r="E20" s="29" t="s">
        <v>13</v>
      </c>
      <c r="F20" s="28" t="s">
        <v>12</v>
      </c>
      <c r="G20" s="29" t="s">
        <v>13</v>
      </c>
      <c r="H20" s="28" t="s">
        <v>12</v>
      </c>
      <c r="I20" s="29" t="s">
        <v>13</v>
      </c>
      <c r="J20" s="28" t="s">
        <v>12</v>
      </c>
      <c r="K20" s="29" t="s">
        <v>13</v>
      </c>
      <c r="L20" s="28" t="s">
        <v>12</v>
      </c>
      <c r="M20" s="29" t="s">
        <v>13</v>
      </c>
      <c r="N20" s="28" t="s">
        <v>12</v>
      </c>
      <c r="O20" s="29" t="s">
        <v>13</v>
      </c>
      <c r="P20" s="28" t="s">
        <v>12</v>
      </c>
      <c r="Q20" s="29" t="s">
        <v>13</v>
      </c>
      <c r="R20" s="28" t="s">
        <v>12</v>
      </c>
      <c r="S20" s="29" t="s">
        <v>13</v>
      </c>
      <c r="T20" s="28" t="s">
        <v>12</v>
      </c>
      <c r="U20" s="29" t="s">
        <v>13</v>
      </c>
      <c r="V20" s="28" t="s">
        <v>12</v>
      </c>
      <c r="W20" s="29" t="s">
        <v>13</v>
      </c>
    </row>
    <row r="21" spans="1:33" ht="15.75" thickTop="1" x14ac:dyDescent="0.25">
      <c r="A21" s="30" t="s">
        <v>6</v>
      </c>
      <c r="B21" s="31" t="s">
        <v>14</v>
      </c>
      <c r="C21" s="37">
        <v>45946</v>
      </c>
      <c r="D21" s="31" t="s">
        <v>14</v>
      </c>
      <c r="E21" s="37">
        <v>46128</v>
      </c>
      <c r="F21" s="31" t="s">
        <v>14</v>
      </c>
      <c r="G21" s="37">
        <v>46128</v>
      </c>
      <c r="H21" s="31" t="s">
        <v>14</v>
      </c>
      <c r="I21" s="37">
        <v>46128</v>
      </c>
      <c r="J21" s="31" t="s">
        <v>21</v>
      </c>
      <c r="K21" s="37" t="s">
        <v>21</v>
      </c>
      <c r="L21" s="31" t="s">
        <v>14</v>
      </c>
      <c r="M21" s="37">
        <v>46128</v>
      </c>
      <c r="N21" s="31" t="s">
        <v>14</v>
      </c>
      <c r="O21" s="37">
        <v>46135</v>
      </c>
      <c r="P21" s="31" t="s">
        <v>14</v>
      </c>
      <c r="Q21" s="37">
        <v>46155</v>
      </c>
      <c r="R21" s="31" t="s">
        <v>14</v>
      </c>
      <c r="S21" s="37">
        <v>46155</v>
      </c>
      <c r="T21" s="31" t="s">
        <v>14</v>
      </c>
      <c r="U21" s="37">
        <v>46155</v>
      </c>
      <c r="V21" s="31"/>
      <c r="W21" s="37"/>
    </row>
    <row r="22" spans="1:33" x14ac:dyDescent="0.25">
      <c r="A22" s="22"/>
      <c r="B22" s="32"/>
      <c r="C22" s="38"/>
      <c r="D22" s="32"/>
      <c r="E22" s="38"/>
      <c r="F22" s="32"/>
      <c r="G22" s="38"/>
      <c r="H22" s="32"/>
      <c r="I22" s="38"/>
      <c r="J22" s="32"/>
      <c r="K22" s="38"/>
      <c r="L22" s="32"/>
      <c r="M22" s="38"/>
      <c r="N22" s="32"/>
      <c r="O22" s="38"/>
      <c r="P22" s="32"/>
      <c r="Q22" s="38"/>
      <c r="R22" s="32"/>
      <c r="S22" s="38"/>
      <c r="T22" s="32"/>
      <c r="U22" s="38"/>
      <c r="V22" s="32"/>
      <c r="W22" s="38"/>
    </row>
    <row r="23" spans="1:33" x14ac:dyDescent="0.25">
      <c r="A23" s="22" t="s">
        <v>15</v>
      </c>
      <c r="B23" s="32" t="s">
        <v>14</v>
      </c>
      <c r="C23" s="51">
        <v>46039</v>
      </c>
      <c r="D23" s="32" t="s">
        <v>14</v>
      </c>
      <c r="E23" s="38">
        <v>46129</v>
      </c>
      <c r="F23" s="32" t="s">
        <v>14</v>
      </c>
      <c r="G23" s="38">
        <v>46129</v>
      </c>
      <c r="H23" s="32" t="s">
        <v>14</v>
      </c>
      <c r="I23" s="38">
        <v>46129</v>
      </c>
      <c r="J23" s="32" t="s">
        <v>21</v>
      </c>
      <c r="K23" s="38" t="s">
        <v>21</v>
      </c>
      <c r="L23" s="32" t="s">
        <v>14</v>
      </c>
      <c r="M23" s="38">
        <v>46129</v>
      </c>
      <c r="N23" s="32" t="s">
        <v>21</v>
      </c>
      <c r="O23" s="38" t="s">
        <v>21</v>
      </c>
      <c r="P23" s="32"/>
      <c r="Q23" s="38"/>
      <c r="R23" s="32"/>
      <c r="S23" s="38"/>
      <c r="T23" s="32"/>
      <c r="U23" s="38"/>
      <c r="V23" s="32"/>
      <c r="W23" s="38"/>
    </row>
    <row r="24" spans="1:33" x14ac:dyDescent="0.25">
      <c r="A24" s="22"/>
      <c r="B24" s="32"/>
      <c r="C24" s="38"/>
      <c r="D24" s="32"/>
      <c r="E24" s="38"/>
      <c r="F24" s="32"/>
      <c r="G24" s="38"/>
      <c r="H24" s="32"/>
      <c r="I24" s="38"/>
      <c r="J24" s="32"/>
      <c r="K24" s="38"/>
      <c r="L24" s="32"/>
      <c r="M24" s="38"/>
      <c r="N24" s="32"/>
      <c r="O24" s="38"/>
      <c r="P24" s="32"/>
      <c r="Q24" s="38"/>
      <c r="R24" s="32"/>
      <c r="S24" s="38"/>
      <c r="T24" s="32"/>
      <c r="U24" s="38"/>
      <c r="V24" s="32"/>
      <c r="W24" s="38"/>
    </row>
    <row r="25" spans="1:33" x14ac:dyDescent="0.25">
      <c r="A25" s="43" t="s">
        <v>16</v>
      </c>
      <c r="B25" s="47" t="s">
        <v>14</v>
      </c>
      <c r="C25" s="48">
        <v>45946</v>
      </c>
      <c r="D25" s="47" t="s">
        <v>14</v>
      </c>
      <c r="E25" s="48">
        <v>45972</v>
      </c>
      <c r="F25" s="47" t="s">
        <v>14</v>
      </c>
      <c r="G25" s="48">
        <v>46128</v>
      </c>
      <c r="H25" s="47" t="s">
        <v>14</v>
      </c>
      <c r="I25" s="48">
        <v>46128</v>
      </c>
      <c r="J25" s="47" t="s">
        <v>21</v>
      </c>
      <c r="K25" s="48" t="s">
        <v>21</v>
      </c>
      <c r="L25" s="47" t="s">
        <v>14</v>
      </c>
      <c r="M25" s="48">
        <v>46128</v>
      </c>
      <c r="N25" s="47" t="s">
        <v>21</v>
      </c>
      <c r="O25" s="48" t="s">
        <v>21</v>
      </c>
      <c r="P25" s="47" t="s">
        <v>14</v>
      </c>
      <c r="Q25" s="48">
        <v>46128</v>
      </c>
      <c r="R25" s="47" t="s">
        <v>14</v>
      </c>
      <c r="S25" s="48">
        <v>46128</v>
      </c>
      <c r="T25" s="47" t="s">
        <v>14</v>
      </c>
      <c r="U25" s="48">
        <v>46155</v>
      </c>
      <c r="V25" s="47"/>
      <c r="W25" s="48"/>
    </row>
    <row r="26" spans="1:33" x14ac:dyDescent="0.25">
      <c r="A26" s="43"/>
      <c r="B26" s="47"/>
      <c r="C26" s="48"/>
      <c r="D26" s="47"/>
      <c r="E26" s="48"/>
      <c r="F26" s="47"/>
      <c r="G26" s="48"/>
      <c r="H26" s="47"/>
      <c r="I26" s="48"/>
      <c r="J26" s="47"/>
      <c r="K26" s="48"/>
      <c r="L26" s="47"/>
      <c r="M26" s="48"/>
      <c r="N26" s="47"/>
      <c r="O26" s="48"/>
      <c r="P26" s="47"/>
      <c r="Q26" s="48"/>
      <c r="R26" s="47"/>
      <c r="S26" s="48"/>
      <c r="T26" s="47"/>
      <c r="U26" s="48"/>
      <c r="V26" s="47"/>
      <c r="W26" s="48"/>
    </row>
    <row r="27" spans="1:33" x14ac:dyDescent="0.25">
      <c r="A27" s="43" t="s">
        <v>29</v>
      </c>
      <c r="B27" s="47" t="s">
        <v>14</v>
      </c>
      <c r="C27" s="48">
        <v>46128</v>
      </c>
      <c r="D27" s="47" t="s">
        <v>14</v>
      </c>
      <c r="E27" s="48">
        <v>46128</v>
      </c>
      <c r="F27" s="47" t="s">
        <v>14</v>
      </c>
      <c r="G27" s="50">
        <v>46128</v>
      </c>
      <c r="H27" s="47" t="s">
        <v>14</v>
      </c>
      <c r="I27" s="50">
        <v>46128</v>
      </c>
      <c r="J27" s="47" t="s">
        <v>21</v>
      </c>
      <c r="K27" s="50" t="s">
        <v>21</v>
      </c>
      <c r="L27" s="47" t="s">
        <v>14</v>
      </c>
      <c r="M27" s="50">
        <v>46128</v>
      </c>
      <c r="N27" s="47" t="s">
        <v>21</v>
      </c>
      <c r="O27" s="50" t="s">
        <v>21</v>
      </c>
      <c r="P27" s="47" t="s">
        <v>14</v>
      </c>
      <c r="Q27" s="50">
        <v>46158</v>
      </c>
      <c r="R27" s="47" t="s">
        <v>14</v>
      </c>
      <c r="S27" s="50">
        <v>46158</v>
      </c>
      <c r="T27" s="47" t="s">
        <v>14</v>
      </c>
      <c r="U27" s="50">
        <v>46158</v>
      </c>
      <c r="V27" s="47"/>
      <c r="W27" s="48"/>
    </row>
    <row r="28" spans="1:33" x14ac:dyDescent="0.25">
      <c r="A28" s="43"/>
      <c r="B28" s="47"/>
      <c r="C28" s="48"/>
      <c r="D28" s="47"/>
      <c r="E28" s="48"/>
      <c r="F28" s="47"/>
      <c r="G28" s="48"/>
      <c r="H28" s="47"/>
      <c r="I28" s="48"/>
      <c r="J28" s="47"/>
      <c r="K28" s="48"/>
      <c r="L28" s="47"/>
      <c r="M28" s="48"/>
      <c r="N28" s="47"/>
      <c r="O28" s="48"/>
      <c r="P28" s="47"/>
      <c r="Q28" s="48"/>
      <c r="R28" s="47"/>
      <c r="S28" s="48"/>
      <c r="T28" s="47"/>
      <c r="U28" s="48"/>
      <c r="V28" s="47"/>
      <c r="W28" s="48"/>
    </row>
    <row r="29" spans="1:33" ht="15.75" thickBot="1" x14ac:dyDescent="0.3">
      <c r="A29" s="33" t="s">
        <v>23</v>
      </c>
      <c r="B29" s="34" t="s">
        <v>21</v>
      </c>
      <c r="C29" s="39" t="s">
        <v>21</v>
      </c>
      <c r="D29" s="34" t="s">
        <v>21</v>
      </c>
      <c r="E29" s="39" t="s">
        <v>21</v>
      </c>
      <c r="F29" s="34" t="s">
        <v>21</v>
      </c>
      <c r="G29" s="39" t="s">
        <v>21</v>
      </c>
      <c r="H29" s="34" t="s">
        <v>21</v>
      </c>
      <c r="I29" s="39" t="s">
        <v>21</v>
      </c>
      <c r="J29" s="34" t="s">
        <v>14</v>
      </c>
      <c r="K29" s="39">
        <v>46080</v>
      </c>
      <c r="L29" s="34" t="s">
        <v>21</v>
      </c>
      <c r="M29" s="39" t="s">
        <v>21</v>
      </c>
      <c r="N29" s="34" t="s">
        <v>21</v>
      </c>
      <c r="O29" s="39" t="s">
        <v>21</v>
      </c>
      <c r="P29" s="34" t="s">
        <v>21</v>
      </c>
      <c r="Q29" s="39" t="s">
        <v>21</v>
      </c>
      <c r="R29" s="34" t="s">
        <v>21</v>
      </c>
      <c r="S29" s="39" t="s">
        <v>21</v>
      </c>
      <c r="T29" s="34" t="s">
        <v>21</v>
      </c>
      <c r="U29" s="39" t="s">
        <v>21</v>
      </c>
      <c r="V29" s="34"/>
      <c r="W29" s="39"/>
    </row>
    <row r="30" spans="1:33" ht="16.5" thickTop="1" thickBot="1" x14ac:dyDescent="0.3"/>
    <row r="31" spans="1:33" ht="15.75" thickTop="1" x14ac:dyDescent="0.25">
      <c r="B31" s="55" t="s">
        <v>17</v>
      </c>
      <c r="C31" s="56"/>
      <c r="D31" s="55" t="s">
        <v>17</v>
      </c>
      <c r="E31" s="56"/>
      <c r="F31" s="55" t="s">
        <v>17</v>
      </c>
      <c r="G31" s="56"/>
      <c r="H31" s="55" t="s">
        <v>17</v>
      </c>
      <c r="I31" s="56"/>
      <c r="J31" s="55" t="s">
        <v>17</v>
      </c>
      <c r="K31" s="56"/>
      <c r="L31" s="55" t="s">
        <v>17</v>
      </c>
      <c r="M31" s="56"/>
      <c r="N31" s="55" t="s">
        <v>17</v>
      </c>
      <c r="O31" s="56"/>
      <c r="P31" s="55" t="s">
        <v>17</v>
      </c>
      <c r="Q31" s="56"/>
      <c r="R31" s="55" t="s">
        <v>17</v>
      </c>
      <c r="S31" s="56"/>
      <c r="T31" s="55" t="s">
        <v>17</v>
      </c>
      <c r="U31" s="56"/>
      <c r="V31" s="55" t="s">
        <v>17</v>
      </c>
      <c r="W31" s="56"/>
    </row>
    <row r="32" spans="1:33" ht="15.75" thickBot="1" x14ac:dyDescent="0.3">
      <c r="B32" s="35" t="s">
        <v>18</v>
      </c>
      <c r="C32" s="36" t="s">
        <v>19</v>
      </c>
      <c r="D32" s="35" t="s">
        <v>18</v>
      </c>
      <c r="E32" s="36" t="s">
        <v>19</v>
      </c>
      <c r="F32" s="35" t="s">
        <v>18</v>
      </c>
      <c r="G32" s="36" t="s">
        <v>19</v>
      </c>
      <c r="H32" s="35" t="s">
        <v>18</v>
      </c>
      <c r="I32" s="36" t="s">
        <v>19</v>
      </c>
      <c r="J32" s="35" t="s">
        <v>18</v>
      </c>
      <c r="K32" s="36" t="s">
        <v>19</v>
      </c>
      <c r="L32" s="35" t="s">
        <v>18</v>
      </c>
      <c r="M32" s="36" t="s">
        <v>19</v>
      </c>
      <c r="N32" s="35" t="s">
        <v>18</v>
      </c>
      <c r="O32" s="36" t="s">
        <v>19</v>
      </c>
      <c r="P32" s="35" t="s">
        <v>18</v>
      </c>
      <c r="Q32" s="36" t="s">
        <v>19</v>
      </c>
      <c r="R32" s="35" t="s">
        <v>18</v>
      </c>
      <c r="S32" s="36" t="s">
        <v>19</v>
      </c>
      <c r="T32" s="35" t="s">
        <v>18</v>
      </c>
      <c r="U32" s="36" t="s">
        <v>19</v>
      </c>
      <c r="V32" s="35" t="s">
        <v>18</v>
      </c>
      <c r="W32" s="36" t="s">
        <v>19</v>
      </c>
    </row>
    <row r="33" spans="1:23" ht="15.75" thickTop="1" x14ac:dyDescent="0.25">
      <c r="A33" s="30" t="s">
        <v>6</v>
      </c>
      <c r="B33" s="40" t="s">
        <v>14</v>
      </c>
      <c r="C33" s="37" t="s">
        <v>14</v>
      </c>
      <c r="D33" s="40" t="s">
        <v>14</v>
      </c>
      <c r="E33" s="37">
        <v>45987</v>
      </c>
      <c r="F33" s="40" t="s">
        <v>14</v>
      </c>
      <c r="G33" s="37">
        <v>46049</v>
      </c>
      <c r="H33" s="40" t="s">
        <v>14</v>
      </c>
      <c r="I33" s="37">
        <v>46078</v>
      </c>
      <c r="J33" s="40" t="s">
        <v>21</v>
      </c>
      <c r="K33" s="37" t="s">
        <v>21</v>
      </c>
      <c r="L33" s="40" t="s">
        <v>14</v>
      </c>
      <c r="M33" s="37">
        <v>46129</v>
      </c>
      <c r="N33" s="40" t="s">
        <v>14</v>
      </c>
      <c r="O33" s="37">
        <v>46144</v>
      </c>
      <c r="P33" s="40" t="s">
        <v>14</v>
      </c>
      <c r="Q33" s="37"/>
      <c r="R33" s="40" t="s">
        <v>14</v>
      </c>
      <c r="S33" s="37"/>
      <c r="T33" s="40" t="s">
        <v>14</v>
      </c>
      <c r="U33" s="37"/>
      <c r="V33" s="40"/>
      <c r="W33" s="37"/>
    </row>
    <row r="34" spans="1:23" x14ac:dyDescent="0.25">
      <c r="A34" s="22"/>
      <c r="B34" s="41"/>
      <c r="C34" s="38"/>
      <c r="D34" s="41"/>
      <c r="E34" s="38"/>
      <c r="F34" s="41"/>
      <c r="G34" s="38"/>
      <c r="H34" s="41"/>
      <c r="I34" s="38"/>
      <c r="J34" s="41"/>
      <c r="K34" s="38"/>
      <c r="L34" s="41"/>
      <c r="M34" s="38"/>
      <c r="N34" s="41"/>
      <c r="O34" s="38"/>
      <c r="P34" s="41"/>
      <c r="Q34" s="38"/>
      <c r="R34" s="41"/>
      <c r="S34" s="38"/>
      <c r="T34" s="41"/>
      <c r="U34" s="38"/>
      <c r="V34" s="41"/>
      <c r="W34" s="38"/>
    </row>
    <row r="35" spans="1:23" x14ac:dyDescent="0.25">
      <c r="A35" s="22" t="s">
        <v>15</v>
      </c>
      <c r="B35" s="41" t="s">
        <v>14</v>
      </c>
      <c r="C35" s="38">
        <v>46079</v>
      </c>
      <c r="D35" s="41" t="s">
        <v>14</v>
      </c>
      <c r="E35" s="38">
        <v>46079</v>
      </c>
      <c r="F35" s="41" t="s">
        <v>21</v>
      </c>
      <c r="G35" s="38" t="s">
        <v>21</v>
      </c>
      <c r="H35" s="41" t="s">
        <v>14</v>
      </c>
      <c r="I35" s="38">
        <v>46140</v>
      </c>
      <c r="J35" s="41" t="s">
        <v>21</v>
      </c>
      <c r="K35" s="38" t="s">
        <v>21</v>
      </c>
      <c r="L35" s="41" t="s">
        <v>14</v>
      </c>
      <c r="M35" s="38"/>
      <c r="N35" s="41" t="s">
        <v>21</v>
      </c>
      <c r="O35" s="38" t="s">
        <v>21</v>
      </c>
      <c r="P35" s="41" t="s">
        <v>14</v>
      </c>
      <c r="Q35" s="38"/>
      <c r="R35" s="41" t="s">
        <v>14</v>
      </c>
      <c r="S35" s="38"/>
      <c r="T35" s="41" t="s">
        <v>14</v>
      </c>
      <c r="U35" s="38"/>
      <c r="V35" s="41"/>
      <c r="W35" s="38"/>
    </row>
    <row r="36" spans="1:23" x14ac:dyDescent="0.25">
      <c r="A36" s="22"/>
      <c r="B36" s="41"/>
      <c r="C36" s="38"/>
      <c r="D36" s="41"/>
      <c r="E36" s="38"/>
      <c r="F36" s="41"/>
      <c r="G36" s="38"/>
      <c r="H36" s="41"/>
      <c r="I36" s="38"/>
      <c r="J36" s="41"/>
      <c r="K36" s="38"/>
      <c r="L36" s="41"/>
      <c r="M36" s="38"/>
      <c r="N36" s="41"/>
      <c r="O36" s="38"/>
      <c r="P36" s="41"/>
      <c r="Q36" s="38"/>
      <c r="R36" s="41"/>
      <c r="S36" s="38"/>
      <c r="T36" s="41"/>
      <c r="U36" s="38"/>
      <c r="V36" s="41"/>
      <c r="W36" s="38"/>
    </row>
    <row r="37" spans="1:23" x14ac:dyDescent="0.25">
      <c r="A37" s="43" t="s">
        <v>16</v>
      </c>
      <c r="B37" s="49" t="s">
        <v>14</v>
      </c>
      <c r="C37" s="48">
        <v>46329</v>
      </c>
      <c r="D37" s="49" t="s">
        <v>14</v>
      </c>
      <c r="E37" s="48">
        <v>45986</v>
      </c>
      <c r="F37" s="49" t="s">
        <v>14</v>
      </c>
      <c r="G37" s="48">
        <v>46051</v>
      </c>
      <c r="H37" s="49" t="s">
        <v>14</v>
      </c>
      <c r="I37" s="48">
        <v>46076</v>
      </c>
      <c r="J37" s="49" t="s">
        <v>21</v>
      </c>
      <c r="K37" s="48" t="s">
        <v>21</v>
      </c>
      <c r="L37" s="49" t="s">
        <v>14</v>
      </c>
      <c r="M37" s="50">
        <v>46115</v>
      </c>
      <c r="N37" s="49" t="s">
        <v>21</v>
      </c>
      <c r="O37" s="48" t="s">
        <v>21</v>
      </c>
      <c r="P37" s="49" t="s">
        <v>14</v>
      </c>
      <c r="Q37" s="48">
        <v>46146</v>
      </c>
      <c r="R37" s="49" t="s">
        <v>14</v>
      </c>
      <c r="S37" s="48"/>
      <c r="T37" s="49" t="s">
        <v>14</v>
      </c>
      <c r="U37" s="48"/>
      <c r="V37" s="49"/>
      <c r="W37" s="48"/>
    </row>
    <row r="38" spans="1:23" x14ac:dyDescent="0.25">
      <c r="A38" s="43"/>
      <c r="B38" s="49"/>
      <c r="C38" s="48"/>
      <c r="D38" s="49"/>
      <c r="E38" s="48"/>
      <c r="F38" s="49"/>
      <c r="G38" s="48"/>
      <c r="H38" s="49"/>
      <c r="I38" s="48"/>
      <c r="J38" s="49"/>
      <c r="K38" s="48"/>
      <c r="L38" s="49"/>
      <c r="M38" s="48"/>
      <c r="N38" s="49"/>
      <c r="O38" s="48"/>
      <c r="P38" s="49"/>
      <c r="Q38" s="48"/>
      <c r="R38" s="49"/>
      <c r="S38" s="48"/>
      <c r="T38" s="49"/>
      <c r="U38" s="48"/>
      <c r="V38" s="49"/>
      <c r="W38" s="48"/>
    </row>
    <row r="39" spans="1:23" x14ac:dyDescent="0.25">
      <c r="A39" s="43" t="s">
        <v>29</v>
      </c>
      <c r="B39" s="49" t="s">
        <v>14</v>
      </c>
      <c r="C39" s="48">
        <v>46382</v>
      </c>
      <c r="D39" s="49" t="s">
        <v>14</v>
      </c>
      <c r="E39" s="48">
        <v>46382</v>
      </c>
      <c r="F39" s="49" t="s">
        <v>14</v>
      </c>
      <c r="G39" s="50">
        <v>46052</v>
      </c>
      <c r="H39" s="49" t="s">
        <v>14</v>
      </c>
      <c r="I39" s="48">
        <v>46079</v>
      </c>
      <c r="J39" s="49" t="s">
        <v>21</v>
      </c>
      <c r="K39" s="48" t="s">
        <v>21</v>
      </c>
      <c r="L39" s="49" t="s">
        <v>14</v>
      </c>
      <c r="M39" s="50">
        <v>46115</v>
      </c>
      <c r="N39" s="49" t="s">
        <v>21</v>
      </c>
      <c r="O39" s="48" t="s">
        <v>21</v>
      </c>
      <c r="P39" s="49" t="s">
        <v>14</v>
      </c>
      <c r="Q39" s="48"/>
      <c r="R39" s="49" t="s">
        <v>14</v>
      </c>
      <c r="S39" s="48"/>
      <c r="T39" s="49" t="s">
        <v>14</v>
      </c>
      <c r="U39" s="48"/>
      <c r="V39" s="49"/>
      <c r="W39" s="48"/>
    </row>
    <row r="40" spans="1:23" x14ac:dyDescent="0.25">
      <c r="A40" s="43"/>
      <c r="B40" s="49"/>
      <c r="C40" s="48"/>
      <c r="D40" s="49"/>
      <c r="E40" s="48"/>
      <c r="F40" s="49"/>
      <c r="G40" s="48"/>
      <c r="H40" s="49"/>
      <c r="I40" s="48"/>
      <c r="J40" s="49"/>
      <c r="K40" s="48"/>
      <c r="L40" s="49"/>
      <c r="M40" s="48"/>
      <c r="N40" s="49"/>
      <c r="O40" s="48"/>
      <c r="P40" s="49"/>
      <c r="Q40" s="48"/>
      <c r="R40" s="49"/>
      <c r="S40" s="48"/>
      <c r="T40" s="49"/>
      <c r="U40" s="48"/>
      <c r="V40" s="49"/>
      <c r="W40" s="48"/>
    </row>
    <row r="41" spans="1:23" ht="15.75" thickBot="1" x14ac:dyDescent="0.3">
      <c r="A41" s="33" t="s">
        <v>22</v>
      </c>
      <c r="B41" s="42" t="s">
        <v>21</v>
      </c>
      <c r="C41" s="39" t="s">
        <v>21</v>
      </c>
      <c r="D41" s="42" t="s">
        <v>21</v>
      </c>
      <c r="E41" s="39" t="s">
        <v>21</v>
      </c>
      <c r="F41" s="42" t="s">
        <v>21</v>
      </c>
      <c r="G41" s="39" t="s">
        <v>21</v>
      </c>
      <c r="H41" s="42" t="s">
        <v>21</v>
      </c>
      <c r="I41" s="39" t="s">
        <v>21</v>
      </c>
      <c r="J41" s="42" t="s">
        <v>21</v>
      </c>
      <c r="K41" s="39" t="s">
        <v>21</v>
      </c>
      <c r="L41" s="42" t="s">
        <v>21</v>
      </c>
      <c r="M41" s="39" t="s">
        <v>21</v>
      </c>
      <c r="N41" s="42" t="s">
        <v>21</v>
      </c>
      <c r="O41" s="39" t="s">
        <v>21</v>
      </c>
      <c r="P41" s="42" t="s">
        <v>21</v>
      </c>
      <c r="Q41" s="39" t="s">
        <v>21</v>
      </c>
      <c r="R41" s="42" t="s">
        <v>21</v>
      </c>
      <c r="S41" s="39" t="s">
        <v>21</v>
      </c>
      <c r="T41" s="42" t="s">
        <v>21</v>
      </c>
      <c r="U41" s="39" t="s">
        <v>21</v>
      </c>
      <c r="V41" s="42"/>
      <c r="W41" s="39"/>
    </row>
    <row r="42" spans="1:23" ht="16.5" thickTop="1" thickBot="1" x14ac:dyDescent="0.3"/>
    <row r="43" spans="1:23" ht="16.5" thickTop="1" thickBot="1" x14ac:dyDescent="0.3">
      <c r="B43" s="55" t="s">
        <v>20</v>
      </c>
      <c r="C43" s="56"/>
      <c r="D43" s="55" t="s">
        <v>20</v>
      </c>
      <c r="E43" s="56"/>
      <c r="F43" s="55" t="s">
        <v>20</v>
      </c>
      <c r="G43" s="56"/>
      <c r="H43" s="55" t="s">
        <v>20</v>
      </c>
      <c r="I43" s="56"/>
      <c r="J43" s="55" t="s">
        <v>20</v>
      </c>
      <c r="K43" s="56"/>
      <c r="L43" s="55" t="s">
        <v>20</v>
      </c>
      <c r="M43" s="56"/>
      <c r="N43" s="55" t="s">
        <v>20</v>
      </c>
      <c r="O43" s="56"/>
      <c r="P43" s="55" t="s">
        <v>20</v>
      </c>
      <c r="Q43" s="56"/>
      <c r="R43" s="55" t="s">
        <v>20</v>
      </c>
      <c r="S43" s="56"/>
      <c r="T43" s="55" t="s">
        <v>20</v>
      </c>
      <c r="U43" s="56"/>
      <c r="V43" s="55" t="s">
        <v>20</v>
      </c>
      <c r="W43" s="56"/>
    </row>
    <row r="44" spans="1:23" ht="15.75" thickTop="1" x14ac:dyDescent="0.25">
      <c r="A44" s="30" t="s">
        <v>6</v>
      </c>
      <c r="B44" s="57" t="s">
        <v>14</v>
      </c>
      <c r="C44" s="58"/>
      <c r="D44" s="57" t="s">
        <v>14</v>
      </c>
      <c r="E44" s="58"/>
      <c r="F44" s="57"/>
      <c r="G44" s="58"/>
      <c r="H44" s="57"/>
      <c r="I44" s="58"/>
      <c r="J44" s="57" t="s">
        <v>21</v>
      </c>
      <c r="K44" s="58"/>
      <c r="L44" s="57"/>
      <c r="M44" s="58"/>
      <c r="N44" s="57"/>
      <c r="O44" s="58"/>
      <c r="P44" s="57"/>
      <c r="Q44" s="58"/>
      <c r="R44" s="57"/>
      <c r="S44" s="58"/>
      <c r="T44" s="57"/>
      <c r="U44" s="58"/>
      <c r="V44" s="57"/>
      <c r="W44" s="58"/>
    </row>
    <row r="45" spans="1:23" x14ac:dyDescent="0.25">
      <c r="A45" s="22"/>
      <c r="B45" s="59"/>
      <c r="C45" s="60"/>
      <c r="D45" s="59"/>
      <c r="E45" s="60"/>
      <c r="F45" s="59"/>
      <c r="G45" s="60"/>
      <c r="H45" s="59"/>
      <c r="I45" s="60"/>
      <c r="J45" s="59"/>
      <c r="K45" s="60"/>
      <c r="L45" s="59"/>
      <c r="M45" s="60"/>
      <c r="N45" s="59"/>
      <c r="O45" s="60"/>
      <c r="P45" s="59"/>
      <c r="Q45" s="60"/>
      <c r="R45" s="59"/>
      <c r="S45" s="60"/>
      <c r="T45" s="59"/>
      <c r="U45" s="60"/>
      <c r="V45" s="59"/>
      <c r="W45" s="60"/>
    </row>
    <row r="46" spans="1:23" x14ac:dyDescent="0.25">
      <c r="A46" s="22" t="s">
        <v>15</v>
      </c>
      <c r="B46" s="59" t="s">
        <v>14</v>
      </c>
      <c r="C46" s="60"/>
      <c r="D46" s="59" t="s">
        <v>14</v>
      </c>
      <c r="E46" s="60"/>
      <c r="F46" s="59"/>
      <c r="G46" s="60"/>
      <c r="H46" s="59"/>
      <c r="I46" s="60"/>
      <c r="J46" s="59" t="s">
        <v>21</v>
      </c>
      <c r="K46" s="60"/>
      <c r="L46" s="59"/>
      <c r="M46" s="60"/>
      <c r="N46" s="59" t="s">
        <v>21</v>
      </c>
      <c r="O46" s="60"/>
      <c r="P46" s="59"/>
      <c r="Q46" s="60"/>
      <c r="R46" s="59"/>
      <c r="S46" s="60"/>
      <c r="T46" s="59"/>
      <c r="U46" s="60"/>
      <c r="V46" s="59"/>
      <c r="W46" s="60"/>
    </row>
    <row r="47" spans="1:23" x14ac:dyDescent="0.25">
      <c r="A47" s="22"/>
      <c r="B47" s="59"/>
      <c r="C47" s="60"/>
      <c r="D47" s="59"/>
      <c r="E47" s="60"/>
      <c r="F47" s="59"/>
      <c r="G47" s="60"/>
      <c r="H47" s="59"/>
      <c r="I47" s="60"/>
      <c r="J47" s="59"/>
      <c r="K47" s="60"/>
      <c r="L47" s="59"/>
      <c r="M47" s="60"/>
      <c r="N47" s="59"/>
      <c r="O47" s="60"/>
      <c r="P47" s="59"/>
      <c r="Q47" s="60"/>
      <c r="R47" s="59"/>
      <c r="S47" s="60"/>
      <c r="T47" s="59"/>
      <c r="U47" s="60"/>
      <c r="V47" s="59"/>
      <c r="W47" s="60"/>
    </row>
    <row r="48" spans="1:23" x14ac:dyDescent="0.25">
      <c r="A48" s="22" t="s">
        <v>16</v>
      </c>
      <c r="B48" s="59" t="s">
        <v>14</v>
      </c>
      <c r="C48" s="60"/>
      <c r="D48" s="59" t="s">
        <v>14</v>
      </c>
      <c r="E48" s="60"/>
      <c r="F48" s="59"/>
      <c r="G48" s="60"/>
      <c r="H48" s="59"/>
      <c r="I48" s="60"/>
      <c r="J48" s="59" t="s">
        <v>21</v>
      </c>
      <c r="K48" s="60"/>
      <c r="L48" s="59"/>
      <c r="M48" s="60"/>
      <c r="N48" s="59" t="s">
        <v>21</v>
      </c>
      <c r="O48" s="60"/>
      <c r="P48" s="59"/>
      <c r="Q48" s="60"/>
      <c r="R48" s="59"/>
      <c r="S48" s="60"/>
      <c r="T48" s="59"/>
      <c r="U48" s="60"/>
      <c r="V48" s="59"/>
      <c r="W48" s="60"/>
    </row>
    <row r="49" spans="1:23" x14ac:dyDescent="0.25">
      <c r="A49" s="22"/>
      <c r="B49" s="59"/>
      <c r="C49" s="60"/>
      <c r="D49" s="59"/>
      <c r="E49" s="60"/>
      <c r="F49" s="59"/>
      <c r="G49" s="60"/>
      <c r="H49" s="59"/>
      <c r="I49" s="60"/>
      <c r="J49" s="59"/>
      <c r="K49" s="60"/>
      <c r="L49" s="59"/>
      <c r="M49" s="60"/>
      <c r="N49" s="59"/>
      <c r="O49" s="60"/>
      <c r="P49" s="59"/>
      <c r="Q49" s="60"/>
      <c r="R49" s="59"/>
      <c r="S49" s="60"/>
      <c r="T49" s="59"/>
      <c r="U49" s="60"/>
      <c r="V49" s="59"/>
      <c r="W49" s="60"/>
    </row>
    <row r="50" spans="1:23" x14ac:dyDescent="0.25">
      <c r="A50" s="22" t="s">
        <v>29</v>
      </c>
      <c r="B50" s="59"/>
      <c r="C50" s="60"/>
      <c r="D50" s="59"/>
      <c r="E50" s="60"/>
      <c r="F50" s="59" t="s">
        <v>14</v>
      </c>
      <c r="G50" s="60"/>
      <c r="H50" s="59"/>
      <c r="I50" s="60"/>
      <c r="J50" s="59" t="s">
        <v>21</v>
      </c>
      <c r="K50" s="60"/>
      <c r="L50" s="59"/>
      <c r="M50" s="60"/>
      <c r="N50" s="59" t="s">
        <v>21</v>
      </c>
      <c r="O50" s="60"/>
      <c r="P50" s="59"/>
      <c r="Q50" s="60"/>
      <c r="R50" s="59"/>
      <c r="S50" s="60"/>
      <c r="T50" s="59"/>
      <c r="U50" s="60"/>
      <c r="V50" s="59"/>
      <c r="W50" s="60"/>
    </row>
    <row r="51" spans="1:23" x14ac:dyDescent="0.25">
      <c r="A51" s="22"/>
      <c r="B51" s="59"/>
      <c r="C51" s="60"/>
      <c r="D51" s="59"/>
      <c r="E51" s="60"/>
      <c r="F51" s="59"/>
      <c r="G51" s="60"/>
      <c r="H51" s="59"/>
      <c r="I51" s="60"/>
      <c r="J51" s="59"/>
      <c r="K51" s="60"/>
      <c r="L51" s="59"/>
      <c r="M51" s="60"/>
      <c r="N51" s="59"/>
      <c r="O51" s="60"/>
      <c r="P51" s="59"/>
      <c r="Q51" s="60"/>
      <c r="R51" s="59"/>
      <c r="S51" s="60"/>
      <c r="T51" s="59"/>
      <c r="U51" s="60"/>
      <c r="V51" s="59"/>
      <c r="W51" s="60"/>
    </row>
    <row r="52" spans="1:23" ht="15.75" thickBot="1" x14ac:dyDescent="0.3">
      <c r="A52" s="33" t="s">
        <v>23</v>
      </c>
      <c r="B52" s="61" t="s">
        <v>21</v>
      </c>
      <c r="C52" s="62"/>
      <c r="D52" s="61" t="s">
        <v>21</v>
      </c>
      <c r="E52" s="62"/>
      <c r="F52" s="61" t="s">
        <v>21</v>
      </c>
      <c r="G52" s="62"/>
      <c r="H52" s="61" t="s">
        <v>21</v>
      </c>
      <c r="I52" s="62"/>
      <c r="J52" s="61"/>
      <c r="K52" s="62"/>
      <c r="L52" s="61" t="s">
        <v>21</v>
      </c>
      <c r="M52" s="62"/>
      <c r="N52" s="61" t="s">
        <v>21</v>
      </c>
      <c r="O52" s="62"/>
      <c r="P52" s="61" t="s">
        <v>21</v>
      </c>
      <c r="Q52" s="62"/>
      <c r="R52" s="61" t="s">
        <v>21</v>
      </c>
      <c r="S52" s="62"/>
      <c r="T52" s="61" t="s">
        <v>21</v>
      </c>
      <c r="U52" s="62"/>
      <c r="V52" s="61"/>
      <c r="W52" s="62"/>
    </row>
    <row r="53" spans="1:23" ht="15.75" thickTop="1" x14ac:dyDescent="0.25"/>
  </sheetData>
  <mergeCells count="157">
    <mergeCell ref="T48:U48"/>
    <mergeCell ref="T49:U49"/>
    <mergeCell ref="T50:U50"/>
    <mergeCell ref="T51:U51"/>
    <mergeCell ref="T52:U52"/>
    <mergeCell ref="T2:U2"/>
    <mergeCell ref="T3:U3"/>
    <mergeCell ref="T19:U19"/>
    <mergeCell ref="T31:U31"/>
    <mergeCell ref="T43:U43"/>
    <mergeCell ref="T44:U44"/>
    <mergeCell ref="T45:U45"/>
    <mergeCell ref="T46:U46"/>
    <mergeCell ref="T47:U47"/>
    <mergeCell ref="P48:Q48"/>
    <mergeCell ref="P49:Q49"/>
    <mergeCell ref="P50:Q50"/>
    <mergeCell ref="P51:Q51"/>
    <mergeCell ref="P52:Q52"/>
    <mergeCell ref="P2:Q2"/>
    <mergeCell ref="P3:Q3"/>
    <mergeCell ref="P19:Q19"/>
    <mergeCell ref="P31:Q31"/>
    <mergeCell ref="P43:Q43"/>
    <mergeCell ref="P44:Q44"/>
    <mergeCell ref="P45:Q45"/>
    <mergeCell ref="P46:Q46"/>
    <mergeCell ref="P47:Q47"/>
    <mergeCell ref="L2:M2"/>
    <mergeCell ref="L3:M3"/>
    <mergeCell ref="L19:M19"/>
    <mergeCell ref="L31:M31"/>
    <mergeCell ref="L43:M43"/>
    <mergeCell ref="L44:M44"/>
    <mergeCell ref="L45:M45"/>
    <mergeCell ref="L46:M46"/>
    <mergeCell ref="L47:M47"/>
    <mergeCell ref="D48:E48"/>
    <mergeCell ref="F48:G48"/>
    <mergeCell ref="B51:C51"/>
    <mergeCell ref="D51:E51"/>
    <mergeCell ref="L48:M48"/>
    <mergeCell ref="L49:M49"/>
    <mergeCell ref="L50:M50"/>
    <mergeCell ref="L51:M51"/>
    <mergeCell ref="B49:C49"/>
    <mergeCell ref="D49:E49"/>
    <mergeCell ref="F49:G49"/>
    <mergeCell ref="H49:I49"/>
    <mergeCell ref="J49:K49"/>
    <mergeCell ref="B50:C50"/>
    <mergeCell ref="D50:E50"/>
    <mergeCell ref="F50:G50"/>
    <mergeCell ref="H50:I50"/>
    <mergeCell ref="J50:K50"/>
    <mergeCell ref="B48:C48"/>
    <mergeCell ref="J2:K2"/>
    <mergeCell ref="J3:K3"/>
    <mergeCell ref="J19:K19"/>
    <mergeCell ref="J31:K31"/>
    <mergeCell ref="J43:K43"/>
    <mergeCell ref="J44:K44"/>
    <mergeCell ref="J45:K45"/>
    <mergeCell ref="J46:K46"/>
    <mergeCell ref="J47:K47"/>
    <mergeCell ref="H2:I2"/>
    <mergeCell ref="H3:I3"/>
    <mergeCell ref="H19:I19"/>
    <mergeCell ref="H31:I31"/>
    <mergeCell ref="H43:I43"/>
    <mergeCell ref="H44:I44"/>
    <mergeCell ref="H45:I45"/>
    <mergeCell ref="H46:I46"/>
    <mergeCell ref="H47:I47"/>
    <mergeCell ref="AB2:AB3"/>
    <mergeCell ref="X2:Y3"/>
    <mergeCell ref="Z2:AA3"/>
    <mergeCell ref="V19:W19"/>
    <mergeCell ref="V2:W2"/>
    <mergeCell ref="V3:W3"/>
    <mergeCell ref="V47:W47"/>
    <mergeCell ref="V52:W52"/>
    <mergeCell ref="V31:W31"/>
    <mergeCell ref="V43:W43"/>
    <mergeCell ref="V44:W44"/>
    <mergeCell ref="V45:W45"/>
    <mergeCell ref="V46:W46"/>
    <mergeCell ref="V48:W48"/>
    <mergeCell ref="V51:W51"/>
    <mergeCell ref="V49:W49"/>
    <mergeCell ref="V50:W50"/>
    <mergeCell ref="B2:C2"/>
    <mergeCell ref="B3:C3"/>
    <mergeCell ref="B19:C19"/>
    <mergeCell ref="B31:C31"/>
    <mergeCell ref="B43:C43"/>
    <mergeCell ref="B44:C44"/>
    <mergeCell ref="B45:C45"/>
    <mergeCell ref="B46:C46"/>
    <mergeCell ref="B47:C47"/>
    <mergeCell ref="D2:E2"/>
    <mergeCell ref="D3:E3"/>
    <mergeCell ref="D19:E19"/>
    <mergeCell ref="D31:E31"/>
    <mergeCell ref="D43:E43"/>
    <mergeCell ref="D44:E44"/>
    <mergeCell ref="D45:E45"/>
    <mergeCell ref="D46:E46"/>
    <mergeCell ref="D47:E47"/>
    <mergeCell ref="B52:C52"/>
    <mergeCell ref="R48:S48"/>
    <mergeCell ref="R49:S49"/>
    <mergeCell ref="R50:S50"/>
    <mergeCell ref="R51:S51"/>
    <mergeCell ref="R52:S52"/>
    <mergeCell ref="R2:S2"/>
    <mergeCell ref="R3:S3"/>
    <mergeCell ref="R19:S19"/>
    <mergeCell ref="R31:S31"/>
    <mergeCell ref="R43:S43"/>
    <mergeCell ref="R44:S44"/>
    <mergeCell ref="R45:S45"/>
    <mergeCell ref="R46:S46"/>
    <mergeCell ref="R47:S47"/>
    <mergeCell ref="N48:O48"/>
    <mergeCell ref="N49:O49"/>
    <mergeCell ref="N50:O50"/>
    <mergeCell ref="N51:O51"/>
    <mergeCell ref="N52:O52"/>
    <mergeCell ref="N2:O2"/>
    <mergeCell ref="N3:O3"/>
    <mergeCell ref="F2:G2"/>
    <mergeCell ref="F3:G3"/>
    <mergeCell ref="N19:O19"/>
    <mergeCell ref="N31:O31"/>
    <mergeCell ref="N43:O43"/>
    <mergeCell ref="N44:O44"/>
    <mergeCell ref="N45:O45"/>
    <mergeCell ref="N46:O46"/>
    <mergeCell ref="N47:O47"/>
    <mergeCell ref="F51:G51"/>
    <mergeCell ref="D52:E52"/>
    <mergeCell ref="F19:G19"/>
    <mergeCell ref="F31:G31"/>
    <mergeCell ref="F43:G43"/>
    <mergeCell ref="F44:G44"/>
    <mergeCell ref="F45:G45"/>
    <mergeCell ref="F46:G46"/>
    <mergeCell ref="F47:G47"/>
    <mergeCell ref="J48:K48"/>
    <mergeCell ref="J51:K51"/>
    <mergeCell ref="J52:K52"/>
    <mergeCell ref="H48:I48"/>
    <mergeCell ref="H51:I51"/>
    <mergeCell ref="H52:I52"/>
    <mergeCell ref="F52:G52"/>
    <mergeCell ref="L52:M52"/>
  </mergeCells>
  <conditionalFormatting sqref="V21:W29 B21:G29 B44:G52 B33:G41">
    <cfRule type="containsText" dxfId="59" priority="90" operator="containsText" text="Y">
      <formula>NOT(ISERROR(SEARCH("Y",B21)))</formula>
    </cfRule>
  </conditionalFormatting>
  <conditionalFormatting sqref="V33:W36 V39:W41">
    <cfRule type="containsText" dxfId="58" priority="92" operator="containsText" text="Y">
      <formula>NOT(ISERROR(SEARCH("Y",V33)))</formula>
    </cfRule>
  </conditionalFormatting>
  <conditionalFormatting sqref="V44:W47 V52:W52">
    <cfRule type="containsText" dxfId="57" priority="68" operator="containsText" text="Y">
      <formula>NOT(ISERROR(SEARCH("Y",V44)))</formula>
    </cfRule>
  </conditionalFormatting>
  <conditionalFormatting sqref="H21:I29">
    <cfRule type="containsText" dxfId="56" priority="66" operator="containsText" text="Y">
      <formula>NOT(ISERROR(SEARCH("Y",H21)))</formula>
    </cfRule>
  </conditionalFormatting>
  <conditionalFormatting sqref="H33:I36 H39:I41">
    <cfRule type="containsText" dxfId="55" priority="67" operator="containsText" text="Y">
      <formula>NOT(ISERROR(SEARCH("Y",H33)))</formula>
    </cfRule>
  </conditionalFormatting>
  <conditionalFormatting sqref="H44:I47 H52:I52">
    <cfRule type="containsText" dxfId="54" priority="65" operator="containsText" text="Y">
      <formula>NOT(ISERROR(SEARCH("Y",H44)))</formula>
    </cfRule>
  </conditionalFormatting>
  <conditionalFormatting sqref="V37:W38">
    <cfRule type="containsText" dxfId="53" priority="64" operator="containsText" text="Y">
      <formula>NOT(ISERROR(SEARCH("Y",V37)))</formula>
    </cfRule>
  </conditionalFormatting>
  <conditionalFormatting sqref="H37:I38">
    <cfRule type="containsText" dxfId="52" priority="63" operator="containsText" text="Y">
      <formula>NOT(ISERROR(SEARCH("Y",H37)))</formula>
    </cfRule>
  </conditionalFormatting>
  <conditionalFormatting sqref="V48:W48 V51:W51">
    <cfRule type="containsText" dxfId="51" priority="61" operator="containsText" text="Y">
      <formula>NOT(ISERROR(SEARCH("Y",V48)))</formula>
    </cfRule>
  </conditionalFormatting>
  <conditionalFormatting sqref="H48:I48 H51:I51">
    <cfRule type="containsText" dxfId="50" priority="60" operator="containsText" text="Y">
      <formula>NOT(ISERROR(SEARCH("Y",H48)))</formula>
    </cfRule>
  </conditionalFormatting>
  <conditionalFormatting sqref="J21:K29">
    <cfRule type="containsText" dxfId="49" priority="58" operator="containsText" text="Y">
      <formula>NOT(ISERROR(SEARCH("Y",J21)))</formula>
    </cfRule>
  </conditionalFormatting>
  <conditionalFormatting sqref="J33:K36 J39:K41">
    <cfRule type="containsText" dxfId="48" priority="59" operator="containsText" text="Y">
      <formula>NOT(ISERROR(SEARCH("Y",J33)))</formula>
    </cfRule>
  </conditionalFormatting>
  <conditionalFormatting sqref="J44:K47 J52:K52">
    <cfRule type="containsText" dxfId="47" priority="57" operator="containsText" text="Y">
      <formula>NOT(ISERROR(SEARCH("Y",J44)))</formula>
    </cfRule>
  </conditionalFormatting>
  <conditionalFormatting sqref="J37:K38">
    <cfRule type="containsText" dxfId="46" priority="56" operator="containsText" text="Y">
      <formula>NOT(ISERROR(SEARCH("Y",J37)))</formula>
    </cfRule>
  </conditionalFormatting>
  <conditionalFormatting sqref="J48:K48 J51:K51">
    <cfRule type="containsText" dxfId="45" priority="55" operator="containsText" text="Y">
      <formula>NOT(ISERROR(SEARCH("Y",J48)))</formula>
    </cfRule>
  </conditionalFormatting>
  <conditionalFormatting sqref="V49:W49">
    <cfRule type="containsText" dxfId="44" priority="53" operator="containsText" text="Y">
      <formula>NOT(ISERROR(SEARCH("Y",V49)))</formula>
    </cfRule>
  </conditionalFormatting>
  <conditionalFormatting sqref="H49:I49">
    <cfRule type="containsText" dxfId="43" priority="52" operator="containsText" text="Y">
      <formula>NOT(ISERROR(SEARCH("Y",H49)))</formula>
    </cfRule>
  </conditionalFormatting>
  <conditionalFormatting sqref="V50:W50">
    <cfRule type="containsText" dxfId="42" priority="50" operator="containsText" text="Y">
      <formula>NOT(ISERROR(SEARCH("Y",V50)))</formula>
    </cfRule>
  </conditionalFormatting>
  <conditionalFormatting sqref="H50:I50">
    <cfRule type="containsText" dxfId="41" priority="49" operator="containsText" text="Y">
      <formula>NOT(ISERROR(SEARCH("Y",H50)))</formula>
    </cfRule>
  </conditionalFormatting>
  <conditionalFormatting sqref="J49:K49">
    <cfRule type="containsText" dxfId="40" priority="48" operator="containsText" text="Y">
      <formula>NOT(ISERROR(SEARCH("Y",J49)))</formula>
    </cfRule>
  </conditionalFormatting>
  <conditionalFormatting sqref="J50:K50">
    <cfRule type="containsText" dxfId="39" priority="47" operator="containsText" text="Y">
      <formula>NOT(ISERROR(SEARCH("Y",J50)))</formula>
    </cfRule>
  </conditionalFormatting>
  <conditionalFormatting sqref="L21:M29">
    <cfRule type="containsText" dxfId="38" priority="45" operator="containsText" text="Y">
      <formula>NOT(ISERROR(SEARCH("Y",L21)))</formula>
    </cfRule>
  </conditionalFormatting>
  <conditionalFormatting sqref="L33:M36 L39:M41">
    <cfRule type="containsText" dxfId="37" priority="46" operator="containsText" text="Y">
      <formula>NOT(ISERROR(SEARCH("Y",L33)))</formula>
    </cfRule>
  </conditionalFormatting>
  <conditionalFormatting sqref="L44:M47 L52:M52">
    <cfRule type="containsText" dxfId="36" priority="44" operator="containsText" text="Y">
      <formula>NOT(ISERROR(SEARCH("Y",L44)))</formula>
    </cfRule>
  </conditionalFormatting>
  <conditionalFormatting sqref="L37:M38">
    <cfRule type="containsText" dxfId="35" priority="43" operator="containsText" text="Y">
      <formula>NOT(ISERROR(SEARCH("Y",L37)))</formula>
    </cfRule>
  </conditionalFormatting>
  <conditionalFormatting sqref="L48:M48 L51:M51">
    <cfRule type="containsText" dxfId="34" priority="42" operator="containsText" text="Y">
      <formula>NOT(ISERROR(SEARCH("Y",L48)))</formula>
    </cfRule>
  </conditionalFormatting>
  <conditionalFormatting sqref="L49:M49">
    <cfRule type="containsText" dxfId="33" priority="41" operator="containsText" text="Y">
      <formula>NOT(ISERROR(SEARCH("Y",L49)))</formula>
    </cfRule>
  </conditionalFormatting>
  <conditionalFormatting sqref="L50:M50">
    <cfRule type="containsText" dxfId="32" priority="40" operator="containsText" text="Y">
      <formula>NOT(ISERROR(SEARCH("Y",L50)))</formula>
    </cfRule>
  </conditionalFormatting>
  <conditionalFormatting sqref="P21:Q24 P26:Q29">
    <cfRule type="containsText" dxfId="31" priority="31" operator="containsText" text="Y">
      <formula>NOT(ISERROR(SEARCH("Y",P21)))</formula>
    </cfRule>
  </conditionalFormatting>
  <conditionalFormatting sqref="P33:Q36 P39:Q41">
    <cfRule type="containsText" dxfId="30" priority="32" operator="containsText" text="Y">
      <formula>NOT(ISERROR(SEARCH("Y",P33)))</formula>
    </cfRule>
  </conditionalFormatting>
  <conditionalFormatting sqref="P44:Q47 P52:Q52">
    <cfRule type="containsText" dxfId="29" priority="30" operator="containsText" text="Y">
      <formula>NOT(ISERROR(SEARCH("Y",P44)))</formula>
    </cfRule>
  </conditionalFormatting>
  <conditionalFormatting sqref="P37:Q38">
    <cfRule type="containsText" dxfId="28" priority="29" operator="containsText" text="Y">
      <formula>NOT(ISERROR(SEARCH("Y",P37)))</formula>
    </cfRule>
  </conditionalFormatting>
  <conditionalFormatting sqref="P48:Q48 P51:Q51">
    <cfRule type="containsText" dxfId="27" priority="28" operator="containsText" text="Y">
      <formula>NOT(ISERROR(SEARCH("Y",P48)))</formula>
    </cfRule>
  </conditionalFormatting>
  <conditionalFormatting sqref="P49:Q49">
    <cfRule type="containsText" dxfId="26" priority="27" operator="containsText" text="Y">
      <formula>NOT(ISERROR(SEARCH("Y",P49)))</formula>
    </cfRule>
  </conditionalFormatting>
  <conditionalFormatting sqref="P50:Q50">
    <cfRule type="containsText" dxfId="25" priority="26" operator="containsText" text="Y">
      <formula>NOT(ISERROR(SEARCH("Y",P50)))</formula>
    </cfRule>
  </conditionalFormatting>
  <conditionalFormatting sqref="P25:Q25">
    <cfRule type="containsText" dxfId="24" priority="25" operator="containsText" text="Y">
      <formula>NOT(ISERROR(SEARCH("Y",P25)))</formula>
    </cfRule>
  </conditionalFormatting>
  <conditionalFormatting sqref="R21:S24 R26:S29">
    <cfRule type="containsText" dxfId="23" priority="23" operator="containsText" text="Y">
      <formula>NOT(ISERROR(SEARCH("Y",R21)))</formula>
    </cfRule>
  </conditionalFormatting>
  <conditionalFormatting sqref="R33:S36 R39:S41">
    <cfRule type="containsText" dxfId="22" priority="24" operator="containsText" text="Y">
      <formula>NOT(ISERROR(SEARCH("Y",R33)))</formula>
    </cfRule>
  </conditionalFormatting>
  <conditionalFormatting sqref="R44:S47 R52:S52">
    <cfRule type="containsText" dxfId="21" priority="22" operator="containsText" text="Y">
      <formula>NOT(ISERROR(SEARCH("Y",R44)))</formula>
    </cfRule>
  </conditionalFormatting>
  <conditionalFormatting sqref="R37:S38">
    <cfRule type="containsText" dxfId="20" priority="21" operator="containsText" text="Y">
      <formula>NOT(ISERROR(SEARCH("Y",R37)))</formula>
    </cfRule>
  </conditionalFormatting>
  <conditionalFormatting sqref="R48:S48 R51:S51">
    <cfRule type="containsText" dxfId="19" priority="20" operator="containsText" text="Y">
      <formula>NOT(ISERROR(SEARCH("Y",R48)))</formula>
    </cfRule>
  </conditionalFormatting>
  <conditionalFormatting sqref="R49:S49">
    <cfRule type="containsText" dxfId="18" priority="19" operator="containsText" text="Y">
      <formula>NOT(ISERROR(SEARCH("Y",R49)))</formula>
    </cfRule>
  </conditionalFormatting>
  <conditionalFormatting sqref="R50:S50">
    <cfRule type="containsText" dxfId="17" priority="18" operator="containsText" text="Y">
      <formula>NOT(ISERROR(SEARCH("Y",R50)))</formula>
    </cfRule>
  </conditionalFormatting>
  <conditionalFormatting sqref="R25:S25">
    <cfRule type="containsText" dxfId="16" priority="17" operator="containsText" text="Y">
      <formula>NOT(ISERROR(SEARCH("Y",R25)))</formula>
    </cfRule>
  </conditionalFormatting>
  <conditionalFormatting sqref="N21:O24 N26:O29">
    <cfRule type="containsText" dxfId="15" priority="15" operator="containsText" text="Y">
      <formula>NOT(ISERROR(SEARCH("Y",N21)))</formula>
    </cfRule>
  </conditionalFormatting>
  <conditionalFormatting sqref="N33:O36 N39:O41">
    <cfRule type="containsText" dxfId="14" priority="16" operator="containsText" text="Y">
      <formula>NOT(ISERROR(SEARCH("Y",N33)))</formula>
    </cfRule>
  </conditionalFormatting>
  <conditionalFormatting sqref="N44:O47 N52:O52">
    <cfRule type="containsText" dxfId="13" priority="14" operator="containsText" text="Y">
      <formula>NOT(ISERROR(SEARCH("Y",N44)))</formula>
    </cfRule>
  </conditionalFormatting>
  <conditionalFormatting sqref="N37:O38">
    <cfRule type="containsText" dxfId="12" priority="13" operator="containsText" text="Y">
      <formula>NOT(ISERROR(SEARCH("Y",N37)))</formula>
    </cfRule>
  </conditionalFormatting>
  <conditionalFormatting sqref="N48:O48 N51:O51">
    <cfRule type="containsText" dxfId="11" priority="12" operator="containsText" text="Y">
      <formula>NOT(ISERROR(SEARCH("Y",N48)))</formula>
    </cfRule>
  </conditionalFormatting>
  <conditionalFormatting sqref="N49:O49">
    <cfRule type="containsText" dxfId="10" priority="11" operator="containsText" text="Y">
      <formula>NOT(ISERROR(SEARCH("Y",N49)))</formula>
    </cfRule>
  </conditionalFormatting>
  <conditionalFormatting sqref="N50:O50">
    <cfRule type="containsText" dxfId="9" priority="10" operator="containsText" text="Y">
      <formula>NOT(ISERROR(SEARCH("Y",N50)))</formula>
    </cfRule>
  </conditionalFormatting>
  <conditionalFormatting sqref="N25:O25">
    <cfRule type="containsText" dxfId="8" priority="9" operator="containsText" text="Y">
      <formula>NOT(ISERROR(SEARCH("Y",N25)))</formula>
    </cfRule>
  </conditionalFormatting>
  <conditionalFormatting sqref="T21:U24 T26:U29">
    <cfRule type="containsText" dxfId="7" priority="7" operator="containsText" text="Y">
      <formula>NOT(ISERROR(SEARCH("Y",T21)))</formula>
    </cfRule>
  </conditionalFormatting>
  <conditionalFormatting sqref="T33:U36 T39:U41">
    <cfRule type="containsText" dxfId="6" priority="8" operator="containsText" text="Y">
      <formula>NOT(ISERROR(SEARCH("Y",T33)))</formula>
    </cfRule>
  </conditionalFormatting>
  <conditionalFormatting sqref="T44:U47 T52:U52">
    <cfRule type="containsText" dxfId="5" priority="6" operator="containsText" text="Y">
      <formula>NOT(ISERROR(SEARCH("Y",T44)))</formula>
    </cfRule>
  </conditionalFormatting>
  <conditionalFormatting sqref="T37:U38">
    <cfRule type="containsText" dxfId="4" priority="5" operator="containsText" text="Y">
      <formula>NOT(ISERROR(SEARCH("Y",T37)))</formula>
    </cfRule>
  </conditionalFormatting>
  <conditionalFormatting sqref="T48:U48 T51:U51">
    <cfRule type="containsText" dxfId="3" priority="4" operator="containsText" text="Y">
      <formula>NOT(ISERROR(SEARCH("Y",T48)))</formula>
    </cfRule>
  </conditionalFormatting>
  <conditionalFormatting sqref="T49:U49">
    <cfRule type="containsText" dxfId="2" priority="3" operator="containsText" text="Y">
      <formula>NOT(ISERROR(SEARCH("Y",T49)))</formula>
    </cfRule>
  </conditionalFormatting>
  <conditionalFormatting sqref="T50:U50">
    <cfRule type="containsText" dxfId="1" priority="2" operator="containsText" text="Y">
      <formula>NOT(ISERROR(SEARCH("Y",T50)))</formula>
    </cfRule>
  </conditionalFormatting>
  <conditionalFormatting sqref="T25:U25">
    <cfRule type="containsText" dxfId="0" priority="1" operator="containsText" text="Y">
      <formula>NOT(ISERROR(SEARCH("Y",T25)))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jakvin-aalok</dc:creator>
  <cp:lastModifiedBy>Admin</cp:lastModifiedBy>
  <dcterms:created xsi:type="dcterms:W3CDTF">2020-01-21T12:21:30Z</dcterms:created>
  <dcterms:modified xsi:type="dcterms:W3CDTF">2026-05-26T11:16:58Z</dcterms:modified>
</cp:coreProperties>
</file>