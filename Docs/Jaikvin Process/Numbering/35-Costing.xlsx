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<sst xmlns="http://schemas.openxmlformats.org/spreadsheetml/2006/main" count="65" uniqueCount="59">
  <si>
    <t xml:space="preserve">INVOICE NO : JG/26-27/6002 DT 04.05.2026</t>
  </si>
  <si>
    <t xml:space="preserve">GD CODE</t>
  </si>
  <si>
    <t xml:space="preserve">QUANTITY</t>
  </si>
  <si>
    <t xml:space="preserve">PURCHASE</t>
  </si>
  <si>
    <t xml:space="preserve">BARCODE</t>
  </si>
  <si>
    <t xml:space="preserve">CARTONS</t>
  </si>
  <si>
    <t xml:space="preserve">COMM</t>
  </si>
  <si>
    <t xml:space="preserve">TRANSPORTATION</t>
  </si>
  <si>
    <t xml:space="preserve">FREIGHT PAID</t>
  </si>
  <si>
    <t xml:space="preserve">CHA</t>
  </si>
  <si>
    <t xml:space="preserve">BANK CHGS</t>
  </si>
  <si>
    <t xml:space="preserve">TATA AIG</t>
  </si>
  <si>
    <t xml:space="preserve">CoO CHGS</t>
  </si>
  <si>
    <t xml:space="preserve">TOTAL</t>
  </si>
  <si>
    <t xml:space="preserve">FREIGHT REALISED</t>
  </si>
  <si>
    <t xml:space="preserve">DRAWBACK</t>
  </si>
  <si>
    <t xml:space="preserve">GROSS PROFIT</t>
  </si>
  <si>
    <t xml:space="preserve">PCS</t>
  </si>
  <si>
    <t xml:space="preserve">BOX</t>
  </si>
  <si>
    <t xml:space="preserve">US$</t>
  </si>
  <si>
    <t xml:space="preserve">REALISED</t>
  </si>
  <si>
    <t xml:space="preserve">AMOUNT</t>
  </si>
  <si>
    <t xml:space="preserve">PERCT</t>
  </si>
  <si>
    <t xml:space="preserve">PP1509</t>
  </si>
  <si>
    <t xml:space="preserve">PP1518</t>
  </si>
  <si>
    <t xml:space="preserve">PP1524</t>
  </si>
  <si>
    <t xml:space="preserve">PE1536</t>
  </si>
  <si>
    <t xml:space="preserve">PE1548</t>
  </si>
  <si>
    <t xml:space="preserve">PP2004</t>
  </si>
  <si>
    <t xml:space="preserve">PE2018</t>
  </si>
  <si>
    <t xml:space="preserve">PE2024</t>
  </si>
  <si>
    <t xml:space="preserve">PP2508</t>
  </si>
  <si>
    <t xml:space="preserve">PE2515</t>
  </si>
  <si>
    <t xml:space="preserve">PE2518</t>
  </si>
  <si>
    <t xml:space="preserve">PE2524</t>
  </si>
  <si>
    <t xml:space="preserve">PE3206</t>
  </si>
  <si>
    <t xml:space="preserve">PE3218</t>
  </si>
  <si>
    <t xml:space="preserve">PE3230</t>
  </si>
  <si>
    <t xml:space="preserve">PE4008</t>
  </si>
  <si>
    <t xml:space="preserve">PE4018</t>
  </si>
  <si>
    <t xml:space="preserve">PE5006</t>
  </si>
  <si>
    <t xml:space="preserve">PE5018</t>
  </si>
  <si>
    <t xml:space="preserve">PMF2524</t>
  </si>
  <si>
    <t xml:space="preserve">PMF2536</t>
  </si>
  <si>
    <t xml:space="preserve">GD3</t>
  </si>
  <si>
    <t xml:space="preserve">GD4</t>
  </si>
  <si>
    <t xml:space="preserve">PET1512</t>
  </si>
  <si>
    <t xml:space="preserve">PP1501 / 5</t>
  </si>
  <si>
    <t xml:space="preserve">GRC15</t>
  </si>
  <si>
    <t xml:space="preserve">GRC20</t>
  </si>
  <si>
    <t xml:space="preserve">GRC25</t>
  </si>
  <si>
    <t xml:space="preserve">GRMFE25</t>
  </si>
  <si>
    <t xml:space="preserve">GRRS2015</t>
  </si>
  <si>
    <t xml:space="preserve">GRRS2520</t>
  </si>
  <si>
    <t xml:space="preserve">GRS25</t>
  </si>
  <si>
    <t xml:space="preserve">GRT15</t>
  </si>
  <si>
    <t xml:space="preserve">GRT20</t>
  </si>
  <si>
    <t xml:space="preserve">GRT25</t>
  </si>
  <si>
    <t xml:space="preserve">GRT32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</si>
</sst>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&quot;₹ &quot;#,##0.00"/>
    <numFmt numFmtId="167" formatCode="[$$-409]#,##0.00"/>
    <numFmt numFmtId="168" formatCode="0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thin"/>
      <right style="thin"/>
      <top/>
      <bottom style="hair"/>
      <diagonal/>
    </border>
    <border diagonalUp="false" diagonalDown="false">
      <left style="thin"/>
      <right style="thin"/>
      <top style="hair"/>
      <bottom/>
      <diagonal/>
    </border>
    <border diagonalUp="false" diagonalDown="false">
      <left/>
      <right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4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3" borderId="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" fillId="2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5" fillId="3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4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4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3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true"/>
      <protection locked="true" hidden="false"/>
    </xf>
    <xf numFmtId="167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48" activePane="bottomRight" state="frozen"/>
      <selection pane="topLeft" activeCell="A1" activeCellId="0" sqref="A1"/>
      <selection pane="topRight" activeCell="B1" activeCellId="0" sqref="B1"/>
      <selection pane="bottomLeft" activeCell="A48" activeCellId="0" sqref="A48"/>
      <selection pane="bottomRight" activeCell="H4" activeCellId="0" sqref="H4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2" width="9.57"/>
    <col collapsed="false" customWidth="false" hidden="false" outlineLevel="0" max="3" min="3" style="1" width="9.14"/>
    <col collapsed="false" customWidth="true" hidden="false" outlineLevel="0" max="4" min="4" style="1" width="11.71"/>
    <col collapsed="false" customWidth="true" hidden="false" outlineLevel="0" max="6" min="5" style="1" width="13.42"/>
    <col collapsed="false" customWidth="true" hidden="false" outlineLevel="0" max="9" min="7" style="1" width="10.71"/>
    <col collapsed="false" customWidth="true" hidden="false" outlineLevel="0" max="10" min="10" style="1" width="11.14"/>
    <col collapsed="false" customWidth="true" hidden="true" outlineLevel="0" max="11" min="11" style="1" width="9.57"/>
    <col collapsed="false" customWidth="true" hidden="false" outlineLevel="0" max="12" min="12" style="1" width="10.71"/>
    <col collapsed="false" customWidth="true" hidden="false" outlineLevel="0" max="15" min="13" style="1" width="9.71"/>
    <col collapsed="false" customWidth="true" hidden="false" outlineLevel="0" max="16" min="16" style="1" width="12.86"/>
    <col collapsed="false" customWidth="true" hidden="false" outlineLevel="0" max="17" min="17" style="1" width="12.71"/>
    <col collapsed="false" customWidth="false" hidden="false" outlineLevel="0" max="18" min="18" style="1" width="9.14"/>
    <col collapsed="false" customWidth="true" hidden="true" outlineLevel="0" max="19" min="19" style="1" width="11.14"/>
    <col collapsed="false" customWidth="true" hidden="false" outlineLevel="0" max="20" min="20" style="1" width="12"/>
    <col collapsed="false" customWidth="true" hidden="false" outlineLevel="0" max="21" min="21" style="1" width="10.71"/>
    <col collapsed="false" customWidth="true" hidden="false" outlineLevel="0" max="22" min="22" style="1" width="9.57"/>
    <col collapsed="false" customWidth="false" hidden="false" outlineLevel="0" max="23" min="23" style="1" width="9.14"/>
    <col collapsed="false" customWidth="true" hidden="false" outlineLevel="0" max="24" min="24" style="1" width="14"/>
    <col collapsed="false" customWidth="false" hidden="false" outlineLevel="0" max="16384" min="25" style="1" width="9.14"/>
  </cols>
  <sheetData>
    <row r="1" s="1" customFormat="true" ht="12.75" hidden="false" customHeight="false" outlineLevel="0" collapsed="false">
      <c r="A1" s="3" t="s">
        <v>0</v>
      </c>
    </row>
    <row r="2" customFormat="false" ht="12.75" hidden="false" customHeight="true" outlineLevel="0" collapsed="false">
      <c r="A2" s="4" t="s">
        <v>1</v>
      </c>
      <c r="B2" s="4" t="s">
        <v>2</v>
      </c>
      <c r="C2" s="4"/>
      <c r="D2" s="5"/>
      <c r="E2" s="5"/>
      <c r="F2" s="6" t="s">
        <v>3</v>
      </c>
      <c r="G2" s="7" t="s">
        <v>4</v>
      </c>
      <c r="H2" s="7" t="s">
        <v>5</v>
      </c>
      <c r="I2" s="7" t="s">
        <v>6</v>
      </c>
      <c r="J2" s="7" t="s">
        <v>7</v>
      </c>
      <c r="K2" s="7" t="s">
        <v>8</v>
      </c>
      <c r="L2" s="6" t="s">
        <v>9</v>
      </c>
      <c r="M2" s="7" t="s">
        <v>10</v>
      </c>
      <c r="N2" s="7" t="s">
        <v>11</v>
      </c>
      <c r="O2" s="7" t="s">
        <v>12</v>
      </c>
      <c r="P2" s="6" t="s">
        <v>13</v>
      </c>
      <c r="Q2" s="6"/>
      <c r="R2" s="8"/>
      <c r="S2" s="7" t="s">
        <v>14</v>
      </c>
      <c r="T2" s="7" t="s">
        <v>15</v>
      </c>
      <c r="U2" s="6" t="s">
        <v>13</v>
      </c>
      <c r="V2" s="6"/>
      <c r="W2" s="8"/>
      <c r="X2" s="6" t="s">
        <v>16</v>
      </c>
      <c r="Y2" s="6"/>
    </row>
    <row r="3" customFormat="false" ht="12.75" hidden="false" customHeight="true" outlineLevel="0" collapsed="false">
      <c r="A3" s="4"/>
      <c r="B3" s="4" t="s">
        <v>17</v>
      </c>
      <c r="C3" s="4" t="s">
        <v>18</v>
      </c>
      <c r="D3" s="4" t="s">
        <v>19</v>
      </c>
      <c r="E3" s="6" t="s">
        <v>20</v>
      </c>
      <c r="F3" s="6"/>
      <c r="G3" s="7"/>
      <c r="H3" s="7"/>
      <c r="I3" s="7"/>
      <c r="J3" s="7"/>
      <c r="K3" s="7"/>
      <c r="L3" s="6"/>
      <c r="M3" s="7"/>
      <c r="N3" s="7"/>
      <c r="O3" s="7"/>
      <c r="P3" s="6" t="s">
        <v>21</v>
      </c>
      <c r="Q3" s="6" t="s">
        <v>22</v>
      </c>
      <c r="R3" s="8"/>
      <c r="S3" s="7"/>
      <c r="T3" s="7"/>
      <c r="U3" s="6" t="s">
        <v>21</v>
      </c>
      <c r="V3" s="6" t="s">
        <v>22</v>
      </c>
      <c r="W3" s="8"/>
      <c r="X3" s="6" t="s">
        <v>21</v>
      </c>
      <c r="Y3" s="6" t="s">
        <v>22</v>
      </c>
    </row>
    <row r="4" customFormat="false" ht="12.75" hidden="false" customHeight="true" outlineLevel="0" collapsed="false">
      <c r="A4" s="9"/>
      <c r="B4" s="10"/>
      <c r="C4" s="10"/>
      <c r="D4" s="11"/>
      <c r="E4" s="12" t="n">
        <v>94.5</v>
      </c>
      <c r="F4" s="13"/>
      <c r="G4" s="14"/>
      <c r="H4" s="15" t="n">
        <v>56</v>
      </c>
      <c r="I4" s="14"/>
      <c r="J4" s="14"/>
      <c r="K4" s="16"/>
      <c r="L4" s="13"/>
      <c r="M4" s="17"/>
      <c r="N4" s="13"/>
      <c r="O4" s="13"/>
      <c r="P4" s="17"/>
      <c r="Q4" s="17"/>
      <c r="R4" s="8"/>
      <c r="S4" s="17"/>
      <c r="T4" s="17"/>
      <c r="U4" s="18"/>
      <c r="V4" s="18"/>
      <c r="W4" s="8"/>
      <c r="X4" s="18"/>
      <c r="Y4" s="18"/>
    </row>
    <row r="5" customFormat="false" ht="12.75" hidden="false" customHeight="false" outlineLevel="0" collapsed="false">
      <c r="A5" s="19" t="s">
        <v>23</v>
      </c>
      <c r="B5" s="20" t="n">
        <v>6000</v>
      </c>
      <c r="C5" s="20" t="n">
        <v>15</v>
      </c>
      <c r="D5" s="21" t="n">
        <v>420</v>
      </c>
      <c r="E5" s="22" t="n">
        <f aca="false">ROUND(D5*$E$4,)</f>
        <v>39690</v>
      </c>
      <c r="F5" s="23" t="n">
        <v>57000</v>
      </c>
      <c r="G5" s="22" t="n">
        <f aca="false">B5/125*20</f>
        <v>960</v>
      </c>
      <c r="H5" s="22"/>
      <c r="I5" s="22"/>
      <c r="J5" s="22" t="n">
        <f aca="false">IFERROR($B5*$J$58/($B$53+$B$59),)</f>
        <v>2187.24349379557</v>
      </c>
      <c r="K5" s="22" t="n">
        <f aca="false">IFERROR($B5*K$79/$B$80,)</f>
        <v>0</v>
      </c>
      <c r="L5" s="22" t="n">
        <f aca="false">IFERROR($B5*L$79/$B$80,)</f>
        <v>3237.03535811423</v>
      </c>
      <c r="M5" s="22" t="n">
        <f aca="false">IFERROR($B5*M$79/$B$80,)</f>
        <v>0</v>
      </c>
      <c r="N5" s="22" t="n">
        <f aca="false">IFERROR($B5*N$79/$B$80,)</f>
        <v>106.534168177697</v>
      </c>
      <c r="O5" s="22" t="n">
        <f aca="false">IFERROR($B5*O$79/$B$80,)</f>
        <v>263.485947416138</v>
      </c>
      <c r="P5" s="22" t="n">
        <f aca="false">SUM(G5:O5)</f>
        <v>6754.29896750364</v>
      </c>
      <c r="Q5" s="24" t="n">
        <f aca="false">IFERROR(P5*100/F5,)</f>
        <v>11.8496473114099</v>
      </c>
      <c r="R5" s="25"/>
      <c r="S5" s="26" t="n">
        <f aca="false">IFERROR($B5*S$79/$B$80,)</f>
        <v>0</v>
      </c>
      <c r="T5" s="22" t="n">
        <f aca="false">IFERROR($B5*T$79/$B$80,)</f>
        <v>1920.13259292838</v>
      </c>
      <c r="U5" s="22" t="n">
        <f aca="false">SUM(S5:T5)</f>
        <v>1920.13259292838</v>
      </c>
      <c r="V5" s="24" t="n">
        <f aca="false">IFERROR(U5*100/F5,)</f>
        <v>3.36865367180417</v>
      </c>
      <c r="W5" s="25"/>
      <c r="X5" s="22" t="n">
        <f aca="false">E5-F5-P5+U5</f>
        <v>-22144.1663745753</v>
      </c>
      <c r="Y5" s="24" t="n">
        <f aca="false">IFERROR(X5*100/F5,)</f>
        <v>-38.8494146922373</v>
      </c>
    </row>
    <row r="6" customFormat="false" ht="12.75" hidden="false" customHeight="false" outlineLevel="0" collapsed="false">
      <c r="A6" s="19" t="s">
        <v>24</v>
      </c>
      <c r="B6" s="20" t="n">
        <v>7200</v>
      </c>
      <c r="C6" s="20" t="n">
        <v>36</v>
      </c>
      <c r="D6" s="21" t="n">
        <v>1728</v>
      </c>
      <c r="E6" s="22" t="n">
        <f aca="false">ROUND(D6*$E$4,)</f>
        <v>163296</v>
      </c>
      <c r="F6" s="23" t="n">
        <v>120528</v>
      </c>
      <c r="G6" s="22" t="n">
        <f aca="false">B6/125*20</f>
        <v>1152</v>
      </c>
      <c r="H6" s="22"/>
      <c r="I6" s="22"/>
      <c r="J6" s="22" t="n">
        <f aca="false">IFERROR($B6*$J$58/($B$53+$B$59),)</f>
        <v>2624.69219255468</v>
      </c>
      <c r="K6" s="22" t="n">
        <f aca="false">IFERROR($B6*K$79/$B$80,)</f>
        <v>0</v>
      </c>
      <c r="L6" s="22" t="n">
        <f aca="false">IFERROR($B6*L$79/$B$80,)</f>
        <v>3884.44242973708</v>
      </c>
      <c r="M6" s="22" t="n">
        <f aca="false">IFERROR($B6*M$79/$B$80,)</f>
        <v>0</v>
      </c>
      <c r="N6" s="22" t="n">
        <f aca="false">IFERROR($B6*N$79/$B$80,)</f>
        <v>127.841001813237</v>
      </c>
      <c r="O6" s="22" t="n">
        <f aca="false">IFERROR($B6*O$79/$B$80,)</f>
        <v>316.183136899365</v>
      </c>
      <c r="P6" s="22" t="n">
        <f aca="false">SUM(G6:O6)</f>
        <v>8105.15876100436</v>
      </c>
      <c r="Q6" s="24" t="n">
        <f aca="false">IFERROR(P6*100/F6,)</f>
        <v>6.72471024243691</v>
      </c>
      <c r="R6" s="25"/>
      <c r="S6" s="26" t="n">
        <f aca="false">IFERROR($B6*S$79/$B$80,)</f>
        <v>0</v>
      </c>
      <c r="T6" s="22" t="n">
        <f aca="false">IFERROR($B6*T$79/$B$80,)</f>
        <v>2304.15911151405</v>
      </c>
      <c r="U6" s="22" t="n">
        <f aca="false">SUM(S6:T6)</f>
        <v>2304.15911151405</v>
      </c>
      <c r="V6" s="24" t="n">
        <f aca="false">IFERROR(U6*100/F6,)</f>
        <v>1.91172102043845</v>
      </c>
      <c r="W6" s="25"/>
      <c r="X6" s="22" t="n">
        <f aca="false">E6-F6-P6+U6</f>
        <v>36967.0003505097</v>
      </c>
      <c r="Y6" s="24" t="n">
        <f aca="false">IFERROR(X6*100/F6,)</f>
        <v>30.6708817457435</v>
      </c>
    </row>
    <row r="7" customFormat="false" ht="12.75" hidden="false" customHeight="false" outlineLevel="0" collapsed="false">
      <c r="A7" s="19" t="n">
        <v>90441400</v>
      </c>
      <c r="B7" s="20" t="n">
        <v>2600</v>
      </c>
      <c r="C7" s="20" t="n">
        <v>13</v>
      </c>
      <c r="D7" s="21" t="n">
        <v>624</v>
      </c>
      <c r="E7" s="22" t="n">
        <f aca="false">ROUND(D7*$E$4,)</f>
        <v>58968</v>
      </c>
      <c r="F7" s="23" t="n">
        <v>43524</v>
      </c>
      <c r="G7" s="22" t="n">
        <f aca="false">B7/125*20</f>
        <v>416</v>
      </c>
      <c r="H7" s="22"/>
      <c r="I7" s="22"/>
      <c r="J7" s="22" t="n">
        <f aca="false">IFERROR($B7*$J$58/($B$53+$B$59),)</f>
        <v>947.805513978079</v>
      </c>
      <c r="K7" s="22" t="n">
        <f aca="false">IFERROR($B7*K$79/$B$80,)</f>
        <v>0</v>
      </c>
      <c r="L7" s="22" t="n">
        <f aca="false">IFERROR($B7*L$79/$B$80,)</f>
        <v>1402.7153218495</v>
      </c>
      <c r="M7" s="22" t="n">
        <f aca="false">IFERROR($B7*M$79/$B$80,)</f>
        <v>0</v>
      </c>
      <c r="N7" s="22" t="n">
        <f aca="false">IFERROR($B7*N$79/$B$80,)</f>
        <v>46.1648062103355</v>
      </c>
      <c r="O7" s="22" t="n">
        <f aca="false">IFERROR($B7*O$79/$B$80,)</f>
        <v>114.177243880326</v>
      </c>
      <c r="P7" s="22" t="n">
        <f aca="false">SUM(G7:O7)</f>
        <v>2926.86288591824</v>
      </c>
      <c r="Q7" s="24" t="n">
        <f aca="false">IFERROR(P7*100/F7,)</f>
        <v>6.72471024243692</v>
      </c>
      <c r="R7" s="25"/>
      <c r="S7" s="26" t="n">
        <f aca="false">IFERROR($B7*S$79/$B$80,)</f>
        <v>0</v>
      </c>
      <c r="T7" s="22" t="n">
        <f aca="false">IFERROR($B7*T$79/$B$80,)</f>
        <v>832.05745693563</v>
      </c>
      <c r="U7" s="22" t="n">
        <f aca="false">SUM(S7:T7)</f>
        <v>832.05745693563</v>
      </c>
      <c r="V7" s="24" t="n">
        <f aca="false">IFERROR(U7*100/F7,)</f>
        <v>1.91172102043845</v>
      </c>
      <c r="W7" s="25"/>
      <c r="X7" s="22" t="n">
        <f aca="false">E7-F7-P7+U7</f>
        <v>13349.1945710174</v>
      </c>
      <c r="Y7" s="24" t="n">
        <f aca="false">IFERROR(X7*100/F7,)</f>
        <v>30.6708817457435</v>
      </c>
    </row>
    <row r="8" customFormat="false" ht="12.75" hidden="false" customHeight="false" outlineLevel="0" collapsed="false">
      <c r="A8" s="19" t="s">
        <v>25</v>
      </c>
      <c r="B8" s="20" t="n">
        <v>2300</v>
      </c>
      <c r="C8" s="20" t="n">
        <v>23</v>
      </c>
      <c r="D8" s="21" t="n">
        <v>690</v>
      </c>
      <c r="E8" s="22" t="n">
        <f aca="false">ROUND(D8*$E$4,)</f>
        <v>65205</v>
      </c>
      <c r="F8" s="23" t="n">
        <v>48438</v>
      </c>
      <c r="G8" s="22" t="n">
        <f aca="false">B8/125*20</f>
        <v>368</v>
      </c>
      <c r="H8" s="22"/>
      <c r="I8" s="22"/>
      <c r="J8" s="22" t="n">
        <f aca="false">IFERROR($B8*$J$58/($B$53+$B$59),)</f>
        <v>838.443339288301</v>
      </c>
      <c r="K8" s="22" t="n">
        <f aca="false">IFERROR($B8*K$79/$B$80,)</f>
        <v>0</v>
      </c>
      <c r="L8" s="22" t="n">
        <f aca="false">IFERROR($B8*L$79/$B$80,)</f>
        <v>1240.86355394379</v>
      </c>
      <c r="M8" s="22" t="n">
        <f aca="false">IFERROR($B8*M$79/$B$80,)</f>
        <v>0</v>
      </c>
      <c r="N8" s="22" t="n">
        <f aca="false">IFERROR($B8*N$79/$B$80,)</f>
        <v>40.8380978014506</v>
      </c>
      <c r="O8" s="22" t="n">
        <f aca="false">IFERROR($B8*O$79/$B$80,)</f>
        <v>101.002946509519</v>
      </c>
      <c r="P8" s="22" t="n">
        <f aca="false">SUM(G8:O8)</f>
        <v>2589.14793754306</v>
      </c>
      <c r="Q8" s="24" t="n">
        <f aca="false">IFERROR(P8*100/F8,)</f>
        <v>5.34528250039857</v>
      </c>
      <c r="R8" s="25"/>
      <c r="S8" s="26" t="n">
        <f aca="false">IFERROR($B8*S$79/$B$80,)</f>
        <v>0</v>
      </c>
      <c r="T8" s="22" t="n">
        <f aca="false">IFERROR($B8*T$79/$B$80,)</f>
        <v>736.050827289211</v>
      </c>
      <c r="U8" s="22" t="n">
        <f aca="false">SUM(S8:T8)</f>
        <v>736.050827289211</v>
      </c>
      <c r="V8" s="24" t="n">
        <f aca="false">IFERROR(U8*100/F8,)</f>
        <v>1.51957311881005</v>
      </c>
      <c r="W8" s="25"/>
      <c r="X8" s="22" t="n">
        <f aca="false">E8-F8-P8+U8</f>
        <v>14913.9028897462</v>
      </c>
      <c r="Y8" s="24" t="n">
        <f aca="false">IFERROR(X8*100/F8,)</f>
        <v>30.7896752337961</v>
      </c>
    </row>
    <row r="9" customFormat="false" ht="12.75" hidden="false" customHeight="false" outlineLevel="0" collapsed="false">
      <c r="A9" s="19" t="n">
        <v>90441600</v>
      </c>
      <c r="B9" s="20" t="n">
        <v>1600</v>
      </c>
      <c r="C9" s="20" t="n">
        <v>16</v>
      </c>
      <c r="D9" s="21" t="n">
        <v>496</v>
      </c>
      <c r="E9" s="22" t="n">
        <f aca="false">ROUND(D9*$E$4,)</f>
        <v>46872</v>
      </c>
      <c r="F9" s="23" t="n">
        <v>33696</v>
      </c>
      <c r="G9" s="22" t="n">
        <f aca="false">B9/125*20</f>
        <v>256</v>
      </c>
      <c r="H9" s="22"/>
      <c r="I9" s="22"/>
      <c r="J9" s="22" t="n">
        <f aca="false">IFERROR($B9*$J$58/($B$53+$B$59),)</f>
        <v>583.264931678818</v>
      </c>
      <c r="K9" s="22" t="n">
        <f aca="false">IFERROR($B9*K$79/$B$80,)</f>
        <v>0</v>
      </c>
      <c r="L9" s="22" t="n">
        <f aca="false">IFERROR($B9*L$79/$B$80,)</f>
        <v>863.209428830463</v>
      </c>
      <c r="M9" s="22" t="n">
        <f aca="false">IFERROR($B9*M$79/$B$80,)</f>
        <v>0</v>
      </c>
      <c r="N9" s="22" t="n">
        <f aca="false">IFERROR($B9*N$79/$B$80,)</f>
        <v>28.4091115140526</v>
      </c>
      <c r="O9" s="22" t="n">
        <f aca="false">IFERROR($B9*O$79/$B$80,)</f>
        <v>70.2629193109701</v>
      </c>
      <c r="P9" s="22" t="n">
        <f aca="false">SUM(G9:O9)</f>
        <v>1801.1463913343</v>
      </c>
      <c r="Q9" s="24" t="n">
        <f aca="false">IFERROR(P9*100/F9,)</f>
        <v>5.34528250039857</v>
      </c>
      <c r="R9" s="25"/>
      <c r="S9" s="26" t="n">
        <f aca="false">IFERROR($B9*S$79/$B$80,)</f>
        <v>0</v>
      </c>
      <c r="T9" s="22" t="n">
        <f aca="false">IFERROR($B9*T$79/$B$80,)</f>
        <v>512.035358114234</v>
      </c>
      <c r="U9" s="22" t="n">
        <f aca="false">SUM(S9:T9)</f>
        <v>512.035358114234</v>
      </c>
      <c r="V9" s="24" t="n">
        <f aca="false">IFERROR(U9*100/F9,)</f>
        <v>1.51957311881005</v>
      </c>
      <c r="W9" s="25"/>
      <c r="X9" s="22" t="n">
        <f aca="false">E9-F9-P9+U9</f>
        <v>11886.8889667799</v>
      </c>
      <c r="Y9" s="24" t="n">
        <f aca="false">IFERROR(X9*100/F9,)</f>
        <v>35.2768547209756</v>
      </c>
    </row>
    <row r="10" customFormat="false" ht="12.75" hidden="false" customHeight="false" outlineLevel="0" collapsed="false">
      <c r="A10" s="19" t="s">
        <v>26</v>
      </c>
      <c r="B10" s="20" t="n">
        <v>1000</v>
      </c>
      <c r="C10" s="20" t="n">
        <v>10</v>
      </c>
      <c r="D10" s="21" t="n">
        <v>410</v>
      </c>
      <c r="E10" s="22" t="n">
        <f aca="false">ROUND(D10*$E$4,)</f>
        <v>38745</v>
      </c>
      <c r="F10" s="23" t="n">
        <v>28440</v>
      </c>
      <c r="G10" s="22" t="n">
        <f aca="false">B10/125*20</f>
        <v>160</v>
      </c>
      <c r="H10" s="22"/>
      <c r="I10" s="22"/>
      <c r="J10" s="22" t="n">
        <f aca="false">IFERROR($B10*$J$58/($B$53+$B$59),)</f>
        <v>364.540582299261</v>
      </c>
      <c r="K10" s="22" t="n">
        <f aca="false">IFERROR($B10*K$79/$B$80,)</f>
        <v>0</v>
      </c>
      <c r="L10" s="22" t="n">
        <f aca="false">IFERROR($B10*L$79/$B$80,)</f>
        <v>539.505893019039</v>
      </c>
      <c r="M10" s="22" t="n">
        <f aca="false">IFERROR($B10*M$79/$B$80,)</f>
        <v>0</v>
      </c>
      <c r="N10" s="22" t="n">
        <f aca="false">IFERROR($B10*N$79/$B$80,)</f>
        <v>17.7556946962829</v>
      </c>
      <c r="O10" s="22" t="n">
        <f aca="false">IFERROR($B10*O$79/$B$80,)</f>
        <v>43.9143245693563</v>
      </c>
      <c r="P10" s="22" t="n">
        <f aca="false">SUM(G10:O10)</f>
        <v>1125.71649458394</v>
      </c>
      <c r="Q10" s="24" t="n">
        <f aca="false">IFERROR(P10*100/F10,)</f>
        <v>3.95821552244704</v>
      </c>
      <c r="R10" s="25"/>
      <c r="S10" s="26" t="n">
        <f aca="false">IFERROR($B10*S$79/$B$80,)</f>
        <v>0</v>
      </c>
      <c r="T10" s="22" t="n">
        <f aca="false">IFERROR($B10*T$79/$B$80,)</f>
        <v>320.022098821396</v>
      </c>
      <c r="U10" s="22" t="n">
        <f aca="false">SUM(S10:T10)</f>
        <v>320.022098821396</v>
      </c>
      <c r="V10" s="24" t="n">
        <f aca="false">IFERROR(U10*100/F10,)</f>
        <v>1.12525351203023</v>
      </c>
      <c r="W10" s="25"/>
      <c r="X10" s="22" t="n">
        <f aca="false">E10-F10-P10+U10</f>
        <v>9499.30560423746</v>
      </c>
      <c r="Y10" s="24" t="n">
        <f aca="false">IFERROR(X10*100/F10,)</f>
        <v>33.4012152047731</v>
      </c>
    </row>
    <row r="11" customFormat="false" ht="12.75" hidden="false" customHeight="false" outlineLevel="0" collapsed="false">
      <c r="A11" s="19" t="n">
        <v>90441800</v>
      </c>
      <c r="B11" s="20" t="n">
        <v>700</v>
      </c>
      <c r="C11" s="20" t="n">
        <v>7</v>
      </c>
      <c r="D11" s="21" t="n">
        <v>308</v>
      </c>
      <c r="E11" s="22" t="n">
        <f aca="false">ROUND(D11*$E$4,)</f>
        <v>29106</v>
      </c>
      <c r="F11" s="23" t="n">
        <v>19908</v>
      </c>
      <c r="G11" s="22" t="n">
        <f aca="false">B11/125*20</f>
        <v>112</v>
      </c>
      <c r="H11" s="22"/>
      <c r="I11" s="22"/>
      <c r="J11" s="22" t="n">
        <f aca="false">IFERROR($B11*$J$58/($B$53+$B$59),)</f>
        <v>255.178407609483</v>
      </c>
      <c r="K11" s="22" t="n">
        <f aca="false">IFERROR($B11*K$79/$B$80,)</f>
        <v>0</v>
      </c>
      <c r="L11" s="22" t="n">
        <f aca="false">IFERROR($B11*L$79/$B$80,)</f>
        <v>377.654125113327</v>
      </c>
      <c r="M11" s="22" t="n">
        <f aca="false">IFERROR($B11*M$79/$B$80,)</f>
        <v>0</v>
      </c>
      <c r="N11" s="22" t="n">
        <f aca="false">IFERROR($B11*N$79/$B$80,)</f>
        <v>12.428986287398</v>
      </c>
      <c r="O11" s="22" t="n">
        <f aca="false">IFERROR($B11*O$79/$B$80,)</f>
        <v>30.7400271985494</v>
      </c>
      <c r="P11" s="22" t="n">
        <f aca="false">SUM(G11:O11)</f>
        <v>788.001546208758</v>
      </c>
      <c r="Q11" s="24" t="n">
        <f aca="false">IFERROR(P11*100/F11,)</f>
        <v>3.95821552244704</v>
      </c>
      <c r="R11" s="25"/>
      <c r="S11" s="26" t="n">
        <f aca="false">IFERROR($B11*S$79/$B$80,)</f>
        <v>0</v>
      </c>
      <c r="T11" s="22" t="n">
        <f aca="false">IFERROR($B11*T$79/$B$80,)</f>
        <v>224.015469174977</v>
      </c>
      <c r="U11" s="22" t="n">
        <f aca="false">SUM(S11:T11)</f>
        <v>224.015469174977</v>
      </c>
      <c r="V11" s="24" t="n">
        <f aca="false">IFERROR(U11*100/F11,)</f>
        <v>1.12525351203023</v>
      </c>
      <c r="W11" s="25"/>
      <c r="X11" s="22" t="n">
        <f aca="false">E11-F11-P11+U11</f>
        <v>8634.01392296622</v>
      </c>
      <c r="Y11" s="24" t="n">
        <f aca="false">IFERROR(X11*100/F11,)</f>
        <v>43.3695696351528</v>
      </c>
    </row>
    <row r="12" customFormat="false" ht="12.75" hidden="false" customHeight="false" outlineLevel="0" collapsed="false">
      <c r="A12" s="19" t="s">
        <v>27</v>
      </c>
      <c r="B12" s="20" t="n">
        <v>50</v>
      </c>
      <c r="C12" s="20" t="n">
        <v>1</v>
      </c>
      <c r="D12" s="21" t="n">
        <v>26.5</v>
      </c>
      <c r="E12" s="22" t="n">
        <f aca="false">ROUND(D12*$E$4,)</f>
        <v>2504</v>
      </c>
      <c r="F12" s="23" t="n">
        <v>1908</v>
      </c>
      <c r="G12" s="22" t="n">
        <f aca="false">B12/125*20</f>
        <v>8</v>
      </c>
      <c r="H12" s="22"/>
      <c r="I12" s="22"/>
      <c r="J12" s="22" t="n">
        <f aca="false">IFERROR($B12*$J$58/($B$53+$B$59),)</f>
        <v>18.2270291149631</v>
      </c>
      <c r="K12" s="22" t="n">
        <f aca="false">IFERROR($B12*K$79/$B$80,)</f>
        <v>0</v>
      </c>
      <c r="L12" s="22" t="n">
        <f aca="false">IFERROR($B12*L$79/$B$80,)</f>
        <v>26.975294650952</v>
      </c>
      <c r="M12" s="22" t="n">
        <f aca="false">IFERROR($B12*M$79/$B$80,)</f>
        <v>0</v>
      </c>
      <c r="N12" s="22" t="n">
        <f aca="false">IFERROR($B12*N$79/$B$80,)</f>
        <v>0.887784734814143</v>
      </c>
      <c r="O12" s="22" t="n">
        <f aca="false">IFERROR($B12*O$79/$B$80,)</f>
        <v>2.19571622846782</v>
      </c>
      <c r="P12" s="22" t="n">
        <f aca="false">SUM(G12:O12)</f>
        <v>56.285824729197</v>
      </c>
      <c r="Q12" s="24" t="n">
        <f aca="false">IFERROR(P12*100/F12,)</f>
        <v>2.94999081389921</v>
      </c>
      <c r="R12" s="25"/>
      <c r="S12" s="26" t="n">
        <f aca="false">IFERROR($B12*S$79/$B$80,)</f>
        <v>0</v>
      </c>
      <c r="T12" s="22" t="n">
        <f aca="false">IFERROR($B12*T$79/$B$80,)</f>
        <v>16.0011049410698</v>
      </c>
      <c r="U12" s="22" t="n">
        <f aca="false">SUM(S12:T12)</f>
        <v>16.0011049410698</v>
      </c>
      <c r="V12" s="24" t="n">
        <f aca="false">IFERROR(U12*100/F12,)</f>
        <v>0.838632334437621</v>
      </c>
      <c r="W12" s="25"/>
      <c r="X12" s="22" t="n">
        <f aca="false">E12-F12-P12+U12</f>
        <v>555.715280211873</v>
      </c>
      <c r="Y12" s="24" t="n">
        <f aca="false">IFERROR(X12*100/F12,)</f>
        <v>29.1255387951715</v>
      </c>
    </row>
    <row r="13" customFormat="false" ht="12.75" hidden="false" customHeight="false" outlineLevel="0" collapsed="false">
      <c r="A13" s="19" t="s">
        <v>28</v>
      </c>
      <c r="B13" s="20" t="n">
        <v>500</v>
      </c>
      <c r="C13" s="20" t="n">
        <v>1</v>
      </c>
      <c r="D13" s="21" t="n">
        <v>65</v>
      </c>
      <c r="E13" s="22" t="n">
        <f aca="false">ROUND(D13*$E$4,)</f>
        <v>6143</v>
      </c>
      <c r="F13" s="23" t="n">
        <v>4275</v>
      </c>
      <c r="G13" s="22" t="n">
        <f aca="false">B13/125*20</f>
        <v>80</v>
      </c>
      <c r="H13" s="22"/>
      <c r="I13" s="22"/>
      <c r="J13" s="22" t="n">
        <f aca="false">IFERROR($B13*$J$58/($B$53+$B$59),)</f>
        <v>182.270291149631</v>
      </c>
      <c r="K13" s="22" t="n">
        <f aca="false">IFERROR($B13*K$79/$B$80,)</f>
        <v>0</v>
      </c>
      <c r="L13" s="22" t="n">
        <f aca="false">IFERROR($B13*L$79/$B$80,)</f>
        <v>269.75294650952</v>
      </c>
      <c r="M13" s="22" t="n">
        <f aca="false">IFERROR($B13*M$79/$B$80,)</f>
        <v>0</v>
      </c>
      <c r="N13" s="22" t="n">
        <f aca="false">IFERROR($B13*N$79/$B$80,)</f>
        <v>8.87784734814143</v>
      </c>
      <c r="O13" s="22" t="n">
        <f aca="false">IFERROR($B13*O$79/$B$80,)</f>
        <v>21.9571622846782</v>
      </c>
      <c r="P13" s="22" t="n">
        <f aca="false">SUM(G13:O13)</f>
        <v>562.85824729197</v>
      </c>
      <c r="Q13" s="24" t="n">
        <f aca="false">IFERROR(P13*100/F13,)</f>
        <v>13.1662747904554</v>
      </c>
      <c r="R13" s="25"/>
      <c r="S13" s="26" t="n">
        <f aca="false">IFERROR($B13*S$79/$B$80,)</f>
        <v>0</v>
      </c>
      <c r="T13" s="22" t="n">
        <f aca="false">IFERROR($B13*T$79/$B$80,)</f>
        <v>160.011049410698</v>
      </c>
      <c r="U13" s="22" t="n">
        <f aca="false">SUM(S13:T13)</f>
        <v>160.011049410698</v>
      </c>
      <c r="V13" s="24" t="n">
        <f aca="false">IFERROR(U13*100/F13,)</f>
        <v>3.74294852422686</v>
      </c>
      <c r="W13" s="25"/>
      <c r="X13" s="22" t="n">
        <f aca="false">E13-F13-P13+U13</f>
        <v>1465.15280211873</v>
      </c>
      <c r="Y13" s="24" t="n">
        <f aca="false">IFERROR(X13*100/F13,)</f>
        <v>34.27258016652</v>
      </c>
    </row>
    <row r="14" customFormat="false" ht="12.75" hidden="false" customHeight="false" outlineLevel="0" collapsed="false">
      <c r="A14" s="19" t="n">
        <v>90447000</v>
      </c>
      <c r="B14" s="20" t="n">
        <v>4000</v>
      </c>
      <c r="C14" s="20" t="n">
        <v>16</v>
      </c>
      <c r="D14" s="21" t="n">
        <v>880</v>
      </c>
      <c r="E14" s="22" t="n">
        <f aca="false">ROUND(D14*$E$4,)</f>
        <v>83160</v>
      </c>
      <c r="F14" s="23" t="n">
        <v>61200</v>
      </c>
      <c r="G14" s="22" t="n">
        <f aca="false">B14/125*20</f>
        <v>640</v>
      </c>
      <c r="H14" s="22"/>
      <c r="I14" s="22"/>
      <c r="J14" s="22" t="n">
        <f aca="false">IFERROR($B14*$J$58/($B$53+$B$59),)</f>
        <v>1458.16232919705</v>
      </c>
      <c r="K14" s="22" t="n">
        <f aca="false">IFERROR($B14*K$79/$B$80,)</f>
        <v>0</v>
      </c>
      <c r="L14" s="22" t="n">
        <f aca="false">IFERROR($B14*L$79/$B$80,)</f>
        <v>2158.02357207616</v>
      </c>
      <c r="M14" s="22" t="n">
        <f aca="false">IFERROR($B14*M$79/$B$80,)</f>
        <v>0</v>
      </c>
      <c r="N14" s="22" t="n">
        <f aca="false">IFERROR($B14*N$79/$B$80,)</f>
        <v>71.0227787851315</v>
      </c>
      <c r="O14" s="22" t="n">
        <f aca="false">IFERROR($B14*O$79/$B$80,)</f>
        <v>175.657298277425</v>
      </c>
      <c r="P14" s="22" t="n">
        <f aca="false">SUM(G14:O14)</f>
        <v>4502.86597833576</v>
      </c>
      <c r="Q14" s="24" t="n">
        <f aca="false">IFERROR(P14*100/F14,)</f>
        <v>7.35762414760745</v>
      </c>
      <c r="R14" s="25"/>
      <c r="S14" s="26" t="n">
        <f aca="false">IFERROR($B14*S$79/$B$80,)</f>
        <v>0</v>
      </c>
      <c r="T14" s="22" t="n">
        <f aca="false">IFERROR($B14*T$79/$B$80,)</f>
        <v>1280.08839528558</v>
      </c>
      <c r="U14" s="22" t="n">
        <f aca="false">SUM(S14:T14)</f>
        <v>1280.08839528558</v>
      </c>
      <c r="V14" s="24" t="n">
        <f aca="false">IFERROR(U14*100/F14,)</f>
        <v>2.09164770471501</v>
      </c>
      <c r="W14" s="25"/>
      <c r="X14" s="22" t="n">
        <f aca="false">E14-F14-P14+U14</f>
        <v>18737.2224169498</v>
      </c>
      <c r="Y14" s="24" t="n">
        <f aca="false">IFERROR(X14*100/F14,)</f>
        <v>30.616376498284</v>
      </c>
    </row>
    <row r="15" customFormat="false" ht="12.75" hidden="false" customHeight="false" outlineLevel="0" collapsed="false">
      <c r="A15" s="19" t="s">
        <v>29</v>
      </c>
      <c r="B15" s="20" t="n">
        <v>400</v>
      </c>
      <c r="C15" s="20" t="n">
        <v>4</v>
      </c>
      <c r="D15" s="21" t="n">
        <v>140</v>
      </c>
      <c r="E15" s="22" t="n">
        <f aca="false">ROUND(D15*$E$4,)</f>
        <v>13230</v>
      </c>
      <c r="F15" s="23" t="n">
        <v>9936</v>
      </c>
      <c r="G15" s="22" t="n">
        <f aca="false">B15/125*20</f>
        <v>64</v>
      </c>
      <c r="H15" s="22"/>
      <c r="I15" s="22"/>
      <c r="J15" s="22" t="n">
        <f aca="false">IFERROR($B15*$J$58/($B$53+$B$59),)</f>
        <v>145.816232919705</v>
      </c>
      <c r="K15" s="22" t="n">
        <f aca="false">IFERROR($B15*K$79/$B$80,)</f>
        <v>0</v>
      </c>
      <c r="L15" s="22" t="n">
        <f aca="false">IFERROR($B15*L$79/$B$80,)</f>
        <v>215.802357207616</v>
      </c>
      <c r="M15" s="22" t="n">
        <f aca="false">IFERROR($B15*M$79/$B$80,)</f>
        <v>0</v>
      </c>
      <c r="N15" s="22" t="n">
        <f aca="false">IFERROR($B15*N$79/$B$80,)</f>
        <v>7.10227787851315</v>
      </c>
      <c r="O15" s="22" t="n">
        <f aca="false">IFERROR($B15*O$79/$B$80,)</f>
        <v>17.5657298277425</v>
      </c>
      <c r="P15" s="22" t="n">
        <f aca="false">SUM(G15:O15)</f>
        <v>450.286597833576</v>
      </c>
      <c r="Q15" s="24" t="n">
        <f aca="false">IFERROR(P15*100/F15,)</f>
        <v>4.5318699459901</v>
      </c>
      <c r="R15" s="25"/>
      <c r="S15" s="26" t="n">
        <f aca="false">IFERROR($B15*S$79/$B$80,)</f>
        <v>0</v>
      </c>
      <c r="T15" s="22" t="n">
        <f aca="false">IFERROR($B15*T$79/$B$80,)</f>
        <v>128.008839528558</v>
      </c>
      <c r="U15" s="22" t="n">
        <f aca="false">SUM(S15:T15)</f>
        <v>128.008839528558</v>
      </c>
      <c r="V15" s="24" t="n">
        <f aca="false">IFERROR(U15*100/F15,)</f>
        <v>1.28833373116504</v>
      </c>
      <c r="W15" s="25"/>
      <c r="X15" s="22" t="n">
        <f aca="false">E15-F15-P15+U15</f>
        <v>2971.72224169498</v>
      </c>
      <c r="Y15" s="24" t="n">
        <f aca="false">IFERROR(X15*100/F15,)</f>
        <v>29.9086376982184</v>
      </c>
    </row>
    <row r="16" customFormat="false" ht="12.75" hidden="false" customHeight="false" outlineLevel="0" collapsed="false">
      <c r="A16" s="19" t="n">
        <v>90442400</v>
      </c>
      <c r="B16" s="20" t="n">
        <v>1600</v>
      </c>
      <c r="C16" s="20" t="n">
        <v>16</v>
      </c>
      <c r="D16" s="21" t="n">
        <v>576</v>
      </c>
      <c r="E16" s="22" t="n">
        <f aca="false">ROUND(D16*$E$4,)</f>
        <v>54432</v>
      </c>
      <c r="F16" s="23" t="n">
        <v>39744</v>
      </c>
      <c r="G16" s="22" t="n">
        <f aca="false">B16/125*20</f>
        <v>256</v>
      </c>
      <c r="H16" s="22"/>
      <c r="I16" s="22"/>
      <c r="J16" s="22" t="n">
        <f aca="false">IFERROR($B16*$J$58/($B$53+$B$59),)</f>
        <v>583.264931678818</v>
      </c>
      <c r="K16" s="22" t="n">
        <f aca="false">IFERROR($B16*K$79/$B$80,)</f>
        <v>0</v>
      </c>
      <c r="L16" s="22" t="n">
        <f aca="false">IFERROR($B16*L$79/$B$80,)</f>
        <v>863.209428830463</v>
      </c>
      <c r="M16" s="22" t="n">
        <f aca="false">IFERROR($B16*M$79/$B$80,)</f>
        <v>0</v>
      </c>
      <c r="N16" s="22" t="n">
        <f aca="false">IFERROR($B16*N$79/$B$80,)</f>
        <v>28.4091115140526</v>
      </c>
      <c r="O16" s="22" t="n">
        <f aca="false">IFERROR($B16*O$79/$B$80,)</f>
        <v>70.2629193109701</v>
      </c>
      <c r="P16" s="22" t="n">
        <f aca="false">SUM(G16:O16)</f>
        <v>1801.1463913343</v>
      </c>
      <c r="Q16" s="24" t="n">
        <f aca="false">IFERROR(P16*100/F16,)</f>
        <v>4.5318699459901</v>
      </c>
      <c r="R16" s="25"/>
      <c r="S16" s="26" t="n">
        <f aca="false">IFERROR($B16*S$79/$B$80,)</f>
        <v>0</v>
      </c>
      <c r="T16" s="22" t="n">
        <f aca="false">IFERROR($B16*T$79/$B$80,)</f>
        <v>512.035358114234</v>
      </c>
      <c r="U16" s="22" t="n">
        <f aca="false">SUM(S16:T16)</f>
        <v>512.035358114234</v>
      </c>
      <c r="V16" s="24" t="n">
        <f aca="false">IFERROR(U16*100/F16,)</f>
        <v>1.28833373116504</v>
      </c>
      <c r="W16" s="25"/>
      <c r="X16" s="22" t="n">
        <f aca="false">E16-F16-P16+U16</f>
        <v>13398.8889667799</v>
      </c>
      <c r="Y16" s="24" t="n">
        <f aca="false">IFERROR(X16*100/F16,)</f>
        <v>33.7129855243054</v>
      </c>
    </row>
    <row r="17" customFormat="false" ht="12.75" hidden="false" customHeight="false" outlineLevel="0" collapsed="false">
      <c r="A17" s="19" t="s">
        <v>30</v>
      </c>
      <c r="B17" s="20" t="n">
        <v>1000</v>
      </c>
      <c r="C17" s="20" t="n">
        <v>10</v>
      </c>
      <c r="D17" s="21" t="n">
        <v>450</v>
      </c>
      <c r="E17" s="22" t="n">
        <f aca="false">ROUND(D17*$E$4,)</f>
        <v>42525</v>
      </c>
      <c r="F17" s="23" t="n">
        <v>31500</v>
      </c>
      <c r="G17" s="22" t="n">
        <f aca="false">B17/125*20</f>
        <v>160</v>
      </c>
      <c r="H17" s="22"/>
      <c r="I17" s="22"/>
      <c r="J17" s="22" t="n">
        <f aca="false">IFERROR($B17*$J$58/($B$53+$B$59),)</f>
        <v>364.540582299261</v>
      </c>
      <c r="K17" s="22" t="n">
        <f aca="false">IFERROR($B17*K$79/$B$80,)</f>
        <v>0</v>
      </c>
      <c r="L17" s="22" t="n">
        <f aca="false">IFERROR($B17*L$79/$B$80,)</f>
        <v>539.505893019039</v>
      </c>
      <c r="M17" s="22" t="n">
        <f aca="false">IFERROR($B17*M$79/$B$80,)</f>
        <v>0</v>
      </c>
      <c r="N17" s="22" t="n">
        <f aca="false">IFERROR($B17*N$79/$B$80,)</f>
        <v>17.7556946962829</v>
      </c>
      <c r="O17" s="22" t="n">
        <f aca="false">IFERROR($B17*O$79/$B$80,)</f>
        <v>43.9143245693563</v>
      </c>
      <c r="P17" s="22" t="n">
        <f aca="false">SUM(G17:O17)</f>
        <v>1125.71649458394</v>
      </c>
      <c r="Q17" s="24" t="n">
        <f aca="false">IFERROR(P17*100/F17,)</f>
        <v>3.57370315740933</v>
      </c>
      <c r="R17" s="25"/>
      <c r="S17" s="26" t="n">
        <f aca="false">IFERROR($B17*S$79/$B$80,)</f>
        <v>0</v>
      </c>
      <c r="T17" s="22" t="n">
        <f aca="false">IFERROR($B17*T$79/$B$80,)</f>
        <v>320.022098821396</v>
      </c>
      <c r="U17" s="22" t="n">
        <f aca="false">SUM(S17:T17)</f>
        <v>320.022098821396</v>
      </c>
      <c r="V17" s="24" t="n">
        <f aca="false">IFERROR(U17*100/F17,)</f>
        <v>1.01594317086158</v>
      </c>
      <c r="W17" s="25"/>
      <c r="X17" s="22" t="n">
        <f aca="false">E17-F17-P17+U17</f>
        <v>10219.3056042375</v>
      </c>
      <c r="Y17" s="24" t="n">
        <f aca="false">IFERROR(X17*100/F17,)</f>
        <v>32.4422400134523</v>
      </c>
    </row>
    <row r="18" customFormat="false" ht="12.75" hidden="false" customHeight="false" outlineLevel="0" collapsed="false">
      <c r="A18" s="19" t="n">
        <v>90442700</v>
      </c>
      <c r="B18" s="20" t="n">
        <v>500</v>
      </c>
      <c r="C18" s="20" t="n">
        <v>5</v>
      </c>
      <c r="D18" s="21" t="n">
        <v>280</v>
      </c>
      <c r="E18" s="22" t="n">
        <f aca="false">ROUND(D18*$E$4,)</f>
        <v>26460</v>
      </c>
      <c r="F18" s="23" t="n">
        <v>19305</v>
      </c>
      <c r="G18" s="22" t="n">
        <f aca="false">B18/125*20</f>
        <v>80</v>
      </c>
      <c r="H18" s="22"/>
      <c r="I18" s="22"/>
      <c r="J18" s="22" t="n">
        <f aca="false">IFERROR($B18*$J$58/($B$53+$B$59),)</f>
        <v>182.270291149631</v>
      </c>
      <c r="K18" s="22" t="n">
        <f aca="false">IFERROR($B18*K$79/$B$80,)</f>
        <v>0</v>
      </c>
      <c r="L18" s="22" t="n">
        <f aca="false">IFERROR($B18*L$79/$B$80,)</f>
        <v>269.75294650952</v>
      </c>
      <c r="M18" s="22" t="n">
        <f aca="false">IFERROR($B18*M$79/$B$80,)</f>
        <v>0</v>
      </c>
      <c r="N18" s="22" t="n">
        <f aca="false">IFERROR($B18*N$79/$B$80,)</f>
        <v>8.87784734814143</v>
      </c>
      <c r="O18" s="22" t="n">
        <f aca="false">IFERROR($B18*O$79/$B$80,)</f>
        <v>21.9571622846782</v>
      </c>
      <c r="P18" s="22" t="n">
        <f aca="false">SUM(G18:O18)</f>
        <v>562.85824729197</v>
      </c>
      <c r="Q18" s="24" t="n">
        <f aca="false">IFERROR(P18*100/F18,)</f>
        <v>2.91560863658104</v>
      </c>
      <c r="R18" s="25"/>
      <c r="S18" s="26" t="n">
        <f aca="false">IFERROR($B18*S$79/$B$80,)</f>
        <v>0</v>
      </c>
      <c r="T18" s="22" t="n">
        <f aca="false">IFERROR($B18*T$79/$B$80,)</f>
        <v>160.011049410698</v>
      </c>
      <c r="U18" s="22" t="n">
        <f aca="false">SUM(S18:T18)</f>
        <v>160.011049410698</v>
      </c>
      <c r="V18" s="24" t="n">
        <f aca="false">IFERROR(U18*100/F18,)</f>
        <v>0.828858064805481</v>
      </c>
      <c r="W18" s="25"/>
      <c r="X18" s="22" t="n">
        <f aca="false">E18-F18-P18+U18</f>
        <v>6752.15280211873</v>
      </c>
      <c r="Y18" s="24" t="n">
        <f aca="false">IFERROR(X18*100/F18,)</f>
        <v>34.9761864911615</v>
      </c>
    </row>
    <row r="19" customFormat="false" ht="12.75" hidden="false" customHeight="false" outlineLevel="0" collapsed="false">
      <c r="A19" s="19" t="s">
        <v>31</v>
      </c>
      <c r="B19" s="20" t="n">
        <v>600</v>
      </c>
      <c r="C19" s="20" t="n">
        <v>4</v>
      </c>
      <c r="D19" s="21" t="n">
        <v>144</v>
      </c>
      <c r="E19" s="22" t="n">
        <f aca="false">ROUND(D19*$E$4,)</f>
        <v>13608</v>
      </c>
      <c r="F19" s="23" t="n">
        <v>9666</v>
      </c>
      <c r="G19" s="22" t="n">
        <f aca="false">B19/125*20</f>
        <v>96</v>
      </c>
      <c r="H19" s="22"/>
      <c r="I19" s="22"/>
      <c r="J19" s="22" t="n">
        <f aca="false">IFERROR($B19*$J$58/($B$53+$B$59),)</f>
        <v>218.724349379557</v>
      </c>
      <c r="K19" s="22" t="n">
        <f aca="false">IFERROR($B19*K$79/$B$80,)</f>
        <v>0</v>
      </c>
      <c r="L19" s="22" t="n">
        <f aca="false">IFERROR($B19*L$79/$B$80,)</f>
        <v>323.703535811423</v>
      </c>
      <c r="M19" s="22" t="n">
        <f aca="false">IFERROR($B19*M$79/$B$80,)</f>
        <v>0</v>
      </c>
      <c r="N19" s="22" t="n">
        <f aca="false">IFERROR($B19*N$79/$B$80,)</f>
        <v>10.6534168177697</v>
      </c>
      <c r="O19" s="22" t="n">
        <f aca="false">IFERROR($B19*O$79/$B$80,)</f>
        <v>26.3485947416138</v>
      </c>
      <c r="P19" s="22" t="n">
        <f aca="false">SUM(G19:O19)</f>
        <v>675.429896750364</v>
      </c>
      <c r="Q19" s="24" t="n">
        <f aca="false">IFERROR(P19*100/F19,)</f>
        <v>6.98768773795121</v>
      </c>
      <c r="R19" s="25"/>
      <c r="S19" s="26" t="n">
        <f aca="false">IFERROR($B19*S$79/$B$80,)</f>
        <v>0</v>
      </c>
      <c r="T19" s="22" t="n">
        <f aca="false">IFERROR($B19*T$79/$B$80,)</f>
        <v>192.013259292838</v>
      </c>
      <c r="U19" s="22" t="n">
        <f aca="false">SUM(S19:T19)</f>
        <v>192.013259292838</v>
      </c>
      <c r="V19" s="24" t="n">
        <f aca="false">IFERROR(U19*100/F19,)</f>
        <v>1.98648106034386</v>
      </c>
      <c r="W19" s="25"/>
      <c r="X19" s="22" t="n">
        <f aca="false">E19-F19-P19+U19</f>
        <v>3458.58336254247</v>
      </c>
      <c r="Y19" s="24" t="n">
        <f aca="false">IFERROR(X19*100/F19,)</f>
        <v>35.7809162274206</v>
      </c>
    </row>
    <row r="20" customFormat="false" ht="12.75" hidden="false" customHeight="false" outlineLevel="0" collapsed="false">
      <c r="A20" s="19" t="n">
        <v>90448000</v>
      </c>
      <c r="B20" s="20" t="n">
        <v>500</v>
      </c>
      <c r="C20" s="20" t="n">
        <v>5</v>
      </c>
      <c r="D20" s="21" t="n">
        <v>175</v>
      </c>
      <c r="E20" s="22" t="n">
        <f aca="false">ROUND(D20*$E$4,)</f>
        <v>16538</v>
      </c>
      <c r="F20" s="23" t="n">
        <v>10305</v>
      </c>
      <c r="G20" s="22" t="n">
        <f aca="false">B20/125*20</f>
        <v>80</v>
      </c>
      <c r="H20" s="22"/>
      <c r="I20" s="22"/>
      <c r="J20" s="22" t="n">
        <f aca="false">IFERROR($B20*$J$58/($B$53+$B$59),)</f>
        <v>182.270291149631</v>
      </c>
      <c r="K20" s="22" t="n">
        <f aca="false">IFERROR($B20*K$79/$B$80,)</f>
        <v>0</v>
      </c>
      <c r="L20" s="22" t="n">
        <f aca="false">IFERROR($B20*L$79/$B$80,)</f>
        <v>269.75294650952</v>
      </c>
      <c r="M20" s="22" t="n">
        <f aca="false">IFERROR($B20*M$79/$B$80,)</f>
        <v>0</v>
      </c>
      <c r="N20" s="22" t="n">
        <f aca="false">IFERROR($B20*N$79/$B$80,)</f>
        <v>8.87784734814143</v>
      </c>
      <c r="O20" s="22" t="n">
        <f aca="false">IFERROR($B20*O$79/$B$80,)</f>
        <v>21.9571622846782</v>
      </c>
      <c r="P20" s="22" t="n">
        <f aca="false">SUM(G20:O20)</f>
        <v>562.85824729197</v>
      </c>
      <c r="Q20" s="24" t="n">
        <f aca="false">IFERROR(P20*100/F20,)</f>
        <v>5.46199172529811</v>
      </c>
      <c r="R20" s="25"/>
      <c r="S20" s="26" t="n">
        <f aca="false">IFERROR($B20*S$79/$B$80,)</f>
        <v>0</v>
      </c>
      <c r="T20" s="22" t="n">
        <f aca="false">IFERROR($B20*T$79/$B$80,)</f>
        <v>160.011049410698</v>
      </c>
      <c r="U20" s="22" t="n">
        <f aca="false">SUM(S20:T20)</f>
        <v>160.011049410698</v>
      </c>
      <c r="V20" s="24" t="n">
        <f aca="false">IFERROR(U20*100/F20,)</f>
        <v>1.55275157118581</v>
      </c>
      <c r="W20" s="25"/>
      <c r="X20" s="22" t="n">
        <f aca="false">E20-F20-P20+U20</f>
        <v>5830.15280211873</v>
      </c>
      <c r="Y20" s="24" t="n">
        <f aca="false">IFERROR(X20*100/F20,)</f>
        <v>56.5759612044515</v>
      </c>
    </row>
    <row r="21" customFormat="false" ht="12.75" hidden="false" customHeight="false" outlineLevel="0" collapsed="false">
      <c r="A21" s="19" t="s">
        <v>32</v>
      </c>
      <c r="B21" s="20" t="n">
        <v>1000</v>
      </c>
      <c r="C21" s="20" t="n">
        <v>10</v>
      </c>
      <c r="D21" s="21" t="n">
        <v>390</v>
      </c>
      <c r="E21" s="22" t="n">
        <f aca="false">ROUND(D21*$E$4,)</f>
        <v>36855</v>
      </c>
      <c r="F21" s="23" t="n">
        <v>26640</v>
      </c>
      <c r="G21" s="22" t="n">
        <f aca="false">B21/125*20</f>
        <v>160</v>
      </c>
      <c r="H21" s="22"/>
      <c r="I21" s="22"/>
      <c r="J21" s="22" t="n">
        <f aca="false">IFERROR($B21*$J$58/($B$53+$B$59),)</f>
        <v>364.540582299261</v>
      </c>
      <c r="K21" s="22" t="n">
        <f aca="false">IFERROR($B21*K$79/$B$80,)</f>
        <v>0</v>
      </c>
      <c r="L21" s="22" t="n">
        <f aca="false">IFERROR($B21*L$79/$B$80,)</f>
        <v>539.505893019039</v>
      </c>
      <c r="M21" s="22" t="n">
        <f aca="false">IFERROR($B21*M$79/$B$80,)</f>
        <v>0</v>
      </c>
      <c r="N21" s="22" t="n">
        <f aca="false">IFERROR($B21*N$79/$B$80,)</f>
        <v>17.7556946962829</v>
      </c>
      <c r="O21" s="22" t="n">
        <f aca="false">IFERROR($B21*O$79/$B$80,)</f>
        <v>43.9143245693563</v>
      </c>
      <c r="P21" s="22" t="n">
        <f aca="false">SUM(G21:O21)</f>
        <v>1125.71649458394</v>
      </c>
      <c r="Q21" s="24" t="n">
        <f aca="false">IFERROR(P21*100/F21,)</f>
        <v>4.22566251720698</v>
      </c>
      <c r="R21" s="25"/>
      <c r="S21" s="26" t="n">
        <f aca="false">IFERROR($B21*S$79/$B$80,)</f>
        <v>0</v>
      </c>
      <c r="T21" s="22" t="n">
        <f aca="false">IFERROR($B21*T$79/$B$80,)</f>
        <v>320.022098821396</v>
      </c>
      <c r="U21" s="22" t="n">
        <f aca="false">SUM(S21:T21)</f>
        <v>320.022098821396</v>
      </c>
      <c r="V21" s="24" t="n">
        <f aca="false">IFERROR(U21*100/F21,)</f>
        <v>1.20128415473497</v>
      </c>
      <c r="W21" s="25"/>
      <c r="X21" s="22" t="n">
        <f aca="false">E21-F21-P21+U21</f>
        <v>9409.30560423746</v>
      </c>
      <c r="Y21" s="24" t="n">
        <f aca="false">IFERROR(X21*100/F21,)</f>
        <v>35.3202162321226</v>
      </c>
    </row>
    <row r="22" customFormat="false" ht="12.75" hidden="false" customHeight="false" outlineLevel="0" collapsed="false">
      <c r="A22" s="19" t="s">
        <v>33</v>
      </c>
      <c r="B22" s="20" t="n">
        <v>2300</v>
      </c>
      <c r="C22" s="20" t="n">
        <v>23</v>
      </c>
      <c r="D22" s="21" t="n">
        <v>1035</v>
      </c>
      <c r="E22" s="22" t="n">
        <f aca="false">ROUND(D22*$E$4,)</f>
        <v>97808</v>
      </c>
      <c r="F22" s="23" t="n">
        <v>72450</v>
      </c>
      <c r="G22" s="22" t="n">
        <f aca="false">B22/125*20</f>
        <v>368</v>
      </c>
      <c r="H22" s="22"/>
      <c r="I22" s="22"/>
      <c r="J22" s="22" t="n">
        <f aca="false">IFERROR($B22*$J$58/($B$53+$B$59),)</f>
        <v>838.443339288301</v>
      </c>
      <c r="K22" s="22" t="n">
        <f aca="false">IFERROR($B22*K$79/$B$80,)</f>
        <v>0</v>
      </c>
      <c r="L22" s="22" t="n">
        <f aca="false">IFERROR($B22*L$79/$B$80,)</f>
        <v>1240.86355394379</v>
      </c>
      <c r="M22" s="22" t="n">
        <f aca="false">IFERROR($B22*M$79/$B$80,)</f>
        <v>0</v>
      </c>
      <c r="N22" s="22" t="n">
        <f aca="false">IFERROR($B22*N$79/$B$80,)</f>
        <v>40.8380978014506</v>
      </c>
      <c r="O22" s="22" t="n">
        <f aca="false">IFERROR($B22*O$79/$B$80,)</f>
        <v>101.002946509519</v>
      </c>
      <c r="P22" s="22" t="n">
        <f aca="false">SUM(G22:O22)</f>
        <v>2589.14793754306</v>
      </c>
      <c r="Q22" s="24" t="n">
        <f aca="false">IFERROR(P22*100/F22,)</f>
        <v>3.57370315740933</v>
      </c>
      <c r="R22" s="25"/>
      <c r="S22" s="26" t="n">
        <f aca="false">IFERROR($B22*S$79/$B$80,)</f>
        <v>0</v>
      </c>
      <c r="T22" s="22" t="n">
        <f aca="false">IFERROR($B22*T$79/$B$80,)</f>
        <v>736.050827289211</v>
      </c>
      <c r="U22" s="22" t="n">
        <f aca="false">SUM(S22:T22)</f>
        <v>736.050827289211</v>
      </c>
      <c r="V22" s="24" t="n">
        <f aca="false">IFERROR(U22*100/F22,)</f>
        <v>1.01594317086158</v>
      </c>
      <c r="W22" s="25"/>
      <c r="X22" s="22" t="n">
        <f aca="false">E22-F22-P22+U22</f>
        <v>23504.9028897462</v>
      </c>
      <c r="Y22" s="24" t="n">
        <f aca="false">IFERROR(X22*100/F22,)</f>
        <v>32.4429301445772</v>
      </c>
    </row>
    <row r="23" customFormat="false" ht="12.75" hidden="false" customHeight="false" outlineLevel="0" collapsed="false">
      <c r="A23" s="19" t="n">
        <v>90443400</v>
      </c>
      <c r="B23" s="20" t="n">
        <v>800</v>
      </c>
      <c r="C23" s="20" t="n">
        <v>8</v>
      </c>
      <c r="D23" s="21" t="n">
        <v>368</v>
      </c>
      <c r="E23" s="22" t="n">
        <f aca="false">ROUND(D23*$E$4,)</f>
        <v>34776</v>
      </c>
      <c r="F23" s="23" t="n">
        <v>25200</v>
      </c>
      <c r="G23" s="22" t="n">
        <f aca="false">B23/125*20</f>
        <v>128</v>
      </c>
      <c r="H23" s="22"/>
      <c r="I23" s="22"/>
      <c r="J23" s="22" t="n">
        <f aca="false">IFERROR($B23*$J$58/($B$53+$B$59),)</f>
        <v>291.632465839409</v>
      </c>
      <c r="K23" s="22" t="n">
        <f aca="false">IFERROR($B23*K$79/$B$80,)</f>
        <v>0</v>
      </c>
      <c r="L23" s="22" t="n">
        <f aca="false">IFERROR($B23*L$79/$B$80,)</f>
        <v>431.604714415231</v>
      </c>
      <c r="M23" s="22" t="n">
        <f aca="false">IFERROR($B23*M$79/$B$80,)</f>
        <v>0</v>
      </c>
      <c r="N23" s="22" t="n">
        <f aca="false">IFERROR($B23*N$79/$B$80,)</f>
        <v>14.2045557570263</v>
      </c>
      <c r="O23" s="22" t="n">
        <f aca="false">IFERROR($B23*O$79/$B$80,)</f>
        <v>35.131459655485</v>
      </c>
      <c r="P23" s="22" t="n">
        <f aca="false">SUM(G23:O23)</f>
        <v>900.573195667152</v>
      </c>
      <c r="Q23" s="24" t="n">
        <f aca="false">IFERROR(P23*100/F23,)</f>
        <v>3.57370315740933</v>
      </c>
      <c r="R23" s="25"/>
      <c r="S23" s="26" t="n">
        <f aca="false">IFERROR($B23*S$79/$B$80,)</f>
        <v>0</v>
      </c>
      <c r="T23" s="22" t="n">
        <f aca="false">IFERROR($B23*T$79/$B$80,)</f>
        <v>256.017679057117</v>
      </c>
      <c r="U23" s="22" t="n">
        <f aca="false">SUM(S23:T23)</f>
        <v>256.017679057117</v>
      </c>
      <c r="V23" s="24" t="n">
        <f aca="false">IFERROR(U23*100/F23,)</f>
        <v>1.01594317086158</v>
      </c>
      <c r="W23" s="25"/>
      <c r="X23" s="22" t="n">
        <f aca="false">E23-F23-P23+U23</f>
        <v>8931.44448338997</v>
      </c>
      <c r="Y23" s="24" t="n">
        <f aca="false">IFERROR(X23*100/F23,)</f>
        <v>35.4422400134522</v>
      </c>
    </row>
    <row r="24" customFormat="false" ht="12.75" hidden="false" customHeight="false" outlineLevel="0" collapsed="false">
      <c r="A24" s="19" t="s">
        <v>34</v>
      </c>
      <c r="B24" s="20" t="n">
        <v>400</v>
      </c>
      <c r="C24" s="20" t="n">
        <v>8</v>
      </c>
      <c r="D24" s="21" t="n">
        <v>232</v>
      </c>
      <c r="E24" s="22" t="n">
        <f aca="false">ROUND(D24*$E$4,)</f>
        <v>21924</v>
      </c>
      <c r="F24" s="23" t="n">
        <v>16344</v>
      </c>
      <c r="G24" s="22" t="n">
        <f aca="false">B24/125*20</f>
        <v>64</v>
      </c>
      <c r="H24" s="22"/>
      <c r="I24" s="22"/>
      <c r="J24" s="22" t="n">
        <f aca="false">IFERROR($B24*$J$58/($B$53+$B$59),)</f>
        <v>145.816232919705</v>
      </c>
      <c r="K24" s="22" t="n">
        <f aca="false">IFERROR($B24*K$79/$B$80,)</f>
        <v>0</v>
      </c>
      <c r="L24" s="22" t="n">
        <f aca="false">IFERROR($B24*L$79/$B$80,)</f>
        <v>215.802357207616</v>
      </c>
      <c r="M24" s="22" t="n">
        <f aca="false">IFERROR($B24*M$79/$B$80,)</f>
        <v>0</v>
      </c>
      <c r="N24" s="22" t="n">
        <f aca="false">IFERROR($B24*N$79/$B$80,)</f>
        <v>7.10227787851315</v>
      </c>
      <c r="O24" s="22" t="n">
        <f aca="false">IFERROR($B24*O$79/$B$80,)</f>
        <v>17.5657298277425</v>
      </c>
      <c r="P24" s="22" t="n">
        <f aca="false">SUM(G24:O24)</f>
        <v>450.286597833576</v>
      </c>
      <c r="Q24" s="24" t="n">
        <f aca="false">IFERROR(P24*100/F24,)</f>
        <v>2.75505750020543</v>
      </c>
      <c r="R24" s="25"/>
      <c r="S24" s="26" t="n">
        <f aca="false">IFERROR($B24*S$79/$B$80,)</f>
        <v>0</v>
      </c>
      <c r="T24" s="22" t="n">
        <f aca="false">IFERROR($B24*T$79/$B$80,)</f>
        <v>128.008839528558</v>
      </c>
      <c r="U24" s="22" t="n">
        <f aca="false">SUM(S24:T24)</f>
        <v>128.008839528558</v>
      </c>
      <c r="V24" s="24" t="n">
        <f aca="false">IFERROR(U24*100/F24,)</f>
        <v>0.783216100884474</v>
      </c>
      <c r="W24" s="25"/>
      <c r="X24" s="22" t="n">
        <f aca="false">E24-F24-P24+U24</f>
        <v>5257.72224169498</v>
      </c>
      <c r="Y24" s="24" t="n">
        <f aca="false">IFERROR(X24*100/F24,)</f>
        <v>32.1691277636746</v>
      </c>
    </row>
    <row r="25" customFormat="false" ht="12.75" hidden="false" customHeight="false" outlineLevel="0" collapsed="false">
      <c r="A25" s="19" t="n">
        <v>90443600</v>
      </c>
      <c r="B25" s="20" t="n">
        <v>500</v>
      </c>
      <c r="C25" s="20" t="n">
        <v>10</v>
      </c>
      <c r="D25" s="21" t="n">
        <v>300</v>
      </c>
      <c r="E25" s="22" t="n">
        <f aca="false">ROUND(D25*$E$4,)</f>
        <v>28350</v>
      </c>
      <c r="F25" s="23" t="n">
        <v>20430</v>
      </c>
      <c r="G25" s="22" t="n">
        <f aca="false">B25/125*20</f>
        <v>80</v>
      </c>
      <c r="H25" s="22"/>
      <c r="I25" s="22"/>
      <c r="J25" s="22" t="n">
        <f aca="false">IFERROR($B25*$J$58/($B$53+$B$59),)</f>
        <v>182.270291149631</v>
      </c>
      <c r="K25" s="22" t="n">
        <f aca="false">IFERROR($B25*K$79/$B$80,)</f>
        <v>0</v>
      </c>
      <c r="L25" s="22" t="n">
        <f aca="false">IFERROR($B25*L$79/$B$80,)</f>
        <v>269.75294650952</v>
      </c>
      <c r="M25" s="22" t="n">
        <f aca="false">IFERROR($B25*M$79/$B$80,)</f>
        <v>0</v>
      </c>
      <c r="N25" s="22" t="n">
        <f aca="false">IFERROR($B25*N$79/$B$80,)</f>
        <v>8.87784734814143</v>
      </c>
      <c r="O25" s="22" t="n">
        <f aca="false">IFERROR($B25*O$79/$B$80,)</f>
        <v>21.9571622846782</v>
      </c>
      <c r="P25" s="22" t="n">
        <f aca="false">SUM(G25:O25)</f>
        <v>562.85824729197</v>
      </c>
      <c r="Q25" s="24" t="n">
        <f aca="false">IFERROR(P25*100/F25,)</f>
        <v>2.75505750020543</v>
      </c>
      <c r="R25" s="25"/>
      <c r="S25" s="26" t="n">
        <f aca="false">IFERROR($B25*S$79/$B$80,)</f>
        <v>0</v>
      </c>
      <c r="T25" s="22" t="n">
        <f aca="false">IFERROR($B25*T$79/$B$80,)</f>
        <v>160.011049410698</v>
      </c>
      <c r="U25" s="22" t="n">
        <f aca="false">SUM(S25:T25)</f>
        <v>160.011049410698</v>
      </c>
      <c r="V25" s="24" t="n">
        <f aca="false">IFERROR(U25*100/F25,)</f>
        <v>0.783216100884474</v>
      </c>
      <c r="W25" s="25"/>
      <c r="X25" s="22" t="n">
        <f aca="false">E25-F25-P25+U25</f>
        <v>7517.15280211873</v>
      </c>
      <c r="Y25" s="24" t="n">
        <f aca="false">IFERROR(X25*100/F25,)</f>
        <v>36.7946784244676</v>
      </c>
    </row>
    <row r="26" customFormat="false" ht="12.75" hidden="false" customHeight="false" outlineLevel="0" collapsed="false">
      <c r="A26" s="19" t="n">
        <v>90443700</v>
      </c>
      <c r="B26" s="20" t="n">
        <v>500</v>
      </c>
      <c r="C26" s="20" t="n">
        <v>10</v>
      </c>
      <c r="D26" s="21" t="n">
        <v>360</v>
      </c>
      <c r="E26" s="22" t="n">
        <f aca="false">ROUND(D26*$E$4,)</f>
        <v>34020</v>
      </c>
      <c r="F26" s="23" t="n">
        <v>24975</v>
      </c>
      <c r="G26" s="22" t="n">
        <f aca="false">B26/125*20</f>
        <v>80</v>
      </c>
      <c r="H26" s="22"/>
      <c r="I26" s="22"/>
      <c r="J26" s="22" t="n">
        <f aca="false">IFERROR($B26*$J$58/($B$53+$B$59),)</f>
        <v>182.270291149631</v>
      </c>
      <c r="K26" s="22" t="n">
        <f aca="false">IFERROR($B26*K$79/$B$80,)</f>
        <v>0</v>
      </c>
      <c r="L26" s="22" t="n">
        <f aca="false">IFERROR($B26*L$79/$B$80,)</f>
        <v>269.75294650952</v>
      </c>
      <c r="M26" s="22" t="n">
        <f aca="false">IFERROR($B26*M$79/$B$80,)</f>
        <v>0</v>
      </c>
      <c r="N26" s="22" t="n">
        <f aca="false">IFERROR($B26*N$79/$B$80,)</f>
        <v>8.87784734814143</v>
      </c>
      <c r="O26" s="22" t="n">
        <f aca="false">IFERROR($B26*O$79/$B$80,)</f>
        <v>21.9571622846782</v>
      </c>
      <c r="P26" s="22" t="n">
        <f aca="false">SUM(G26:O26)</f>
        <v>562.85824729197</v>
      </c>
      <c r="Q26" s="24" t="n">
        <f aca="false">IFERROR(P26*100/F26,)</f>
        <v>2.25368667584372</v>
      </c>
      <c r="R26" s="25"/>
      <c r="S26" s="26" t="n">
        <f aca="false">IFERROR($B26*S$79/$B$80,)</f>
        <v>0</v>
      </c>
      <c r="T26" s="22" t="n">
        <f aca="false">IFERROR($B26*T$79/$B$80,)</f>
        <v>160.011049410698</v>
      </c>
      <c r="U26" s="22" t="n">
        <f aca="false">SUM(S26:T26)</f>
        <v>160.011049410698</v>
      </c>
      <c r="V26" s="24" t="n">
        <f aca="false">IFERROR(U26*100/F26,)</f>
        <v>0.640684882525318</v>
      </c>
      <c r="W26" s="25"/>
      <c r="X26" s="22" t="n">
        <f aca="false">E26-F26-P26+U26</f>
        <v>8642.15280211873</v>
      </c>
      <c r="Y26" s="24" t="n">
        <f aca="false">IFERROR(X26*100/F26,)</f>
        <v>34.6032144228978</v>
      </c>
    </row>
    <row r="27" customFormat="false" ht="12.75" hidden="false" customHeight="false" outlineLevel="0" collapsed="false">
      <c r="A27" s="19" t="n">
        <v>90443900</v>
      </c>
      <c r="B27" s="20" t="n">
        <v>200</v>
      </c>
      <c r="C27" s="20" t="n">
        <v>4</v>
      </c>
      <c r="D27" s="21" t="n">
        <v>332</v>
      </c>
      <c r="E27" s="22" t="n">
        <f aca="false">ROUND(D27*$E$4,)</f>
        <v>31374</v>
      </c>
      <c r="F27" s="23" t="n">
        <v>22500</v>
      </c>
      <c r="G27" s="22" t="n">
        <f aca="false">B27/125*20</f>
        <v>32</v>
      </c>
      <c r="H27" s="22"/>
      <c r="I27" s="22"/>
      <c r="J27" s="22" t="n">
        <f aca="false">IFERROR($B27*$J$58/($B$53+$B$59),)</f>
        <v>72.9081164598523</v>
      </c>
      <c r="K27" s="22" t="n">
        <f aca="false">IFERROR($B27*K$79/$B$80,)</f>
        <v>0</v>
      </c>
      <c r="L27" s="22" t="n">
        <f aca="false">IFERROR($B27*L$79/$B$80,)</f>
        <v>107.901178603808</v>
      </c>
      <c r="M27" s="22" t="n">
        <f aca="false">IFERROR($B27*M$79/$B$80,)</f>
        <v>0</v>
      </c>
      <c r="N27" s="22" t="n">
        <f aca="false">IFERROR($B27*N$79/$B$80,)</f>
        <v>3.55113893925657</v>
      </c>
      <c r="O27" s="22" t="n">
        <f aca="false">IFERROR($B27*O$79/$B$80,)</f>
        <v>8.78286491387126</v>
      </c>
      <c r="P27" s="22" t="n">
        <f aca="false">SUM(G27:O27)</f>
        <v>225.143298916788</v>
      </c>
      <c r="Q27" s="24" t="n">
        <f aca="false">IFERROR(P27*100/F27,)</f>
        <v>1.00063688407461</v>
      </c>
      <c r="R27" s="25"/>
      <c r="S27" s="26" t="n">
        <f aca="false">IFERROR($B27*S$79/$B$80,)</f>
        <v>0</v>
      </c>
      <c r="T27" s="22" t="n">
        <f aca="false">IFERROR($B27*T$79/$B$80,)</f>
        <v>64.0044197642792</v>
      </c>
      <c r="U27" s="22" t="n">
        <f aca="false">SUM(S27:T27)</f>
        <v>64.0044197642792</v>
      </c>
      <c r="V27" s="24" t="n">
        <f aca="false">IFERROR(U27*100/F27,)</f>
        <v>0.284464087841241</v>
      </c>
      <c r="W27" s="25"/>
      <c r="X27" s="22" t="n">
        <f aca="false">E27-F27-P27+U27</f>
        <v>8712.86112084749</v>
      </c>
      <c r="Y27" s="24" t="n">
        <f aca="false">IFERROR(X27*100/F27,)</f>
        <v>38.7238272037666</v>
      </c>
    </row>
    <row r="28" customFormat="false" ht="12.75" hidden="false" customHeight="false" outlineLevel="0" collapsed="false">
      <c r="A28" s="19" t="s">
        <v>35</v>
      </c>
      <c r="B28" s="20" t="n">
        <v>600</v>
      </c>
      <c r="C28" s="20" t="n">
        <v>2</v>
      </c>
      <c r="D28" s="21" t="n">
        <v>168</v>
      </c>
      <c r="E28" s="22" t="n">
        <f aca="false">ROUND(D28*$E$4,)</f>
        <v>15876</v>
      </c>
      <c r="F28" s="23" t="n">
        <v>11178</v>
      </c>
      <c r="G28" s="22" t="n">
        <f aca="false">B28/125*20</f>
        <v>96</v>
      </c>
      <c r="H28" s="22"/>
      <c r="I28" s="22"/>
      <c r="J28" s="22" t="n">
        <f aca="false">IFERROR($B28*$J$58/($B$53+$B$59),)</f>
        <v>218.724349379557</v>
      </c>
      <c r="K28" s="22" t="n">
        <f aca="false">IFERROR($B28*K$79/$B$80,)</f>
        <v>0</v>
      </c>
      <c r="L28" s="22" t="n">
        <f aca="false">IFERROR($B28*L$79/$B$80,)</f>
        <v>323.703535811423</v>
      </c>
      <c r="M28" s="22" t="n">
        <f aca="false">IFERROR($B28*M$79/$B$80,)</f>
        <v>0</v>
      </c>
      <c r="N28" s="22" t="n">
        <f aca="false">IFERROR($B28*N$79/$B$80,)</f>
        <v>10.6534168177697</v>
      </c>
      <c r="O28" s="22" t="n">
        <f aca="false">IFERROR($B28*O$79/$B$80,)</f>
        <v>26.3485947416138</v>
      </c>
      <c r="P28" s="22" t="n">
        <f aca="false">SUM(G28:O28)</f>
        <v>675.429896750364</v>
      </c>
      <c r="Q28" s="24" t="n">
        <f aca="false">IFERROR(P28*100/F28,)</f>
        <v>6.04249326132013</v>
      </c>
      <c r="R28" s="25"/>
      <c r="S28" s="26" t="n">
        <f aca="false">IFERROR($B28*S$79/$B$80,)</f>
        <v>0</v>
      </c>
      <c r="T28" s="22" t="n">
        <f aca="false">IFERROR($B28*T$79/$B$80,)</f>
        <v>192.013259292838</v>
      </c>
      <c r="U28" s="22" t="n">
        <f aca="false">SUM(S28:T28)</f>
        <v>192.013259292838</v>
      </c>
      <c r="V28" s="24" t="n">
        <f aca="false">IFERROR(U28*100/F28,)</f>
        <v>1.71777830822005</v>
      </c>
      <c r="W28" s="25"/>
      <c r="X28" s="22" t="n">
        <f aca="false">E28-F28-P28+U28</f>
        <v>4214.58336254247</v>
      </c>
      <c r="Y28" s="24" t="n">
        <f aca="false">IFERROR(X28*100/F28,)</f>
        <v>37.7042705541463</v>
      </c>
    </row>
    <row r="29" customFormat="false" ht="12.75" hidden="false" customHeight="false" outlineLevel="0" collapsed="false">
      <c r="A29" s="19" t="n">
        <v>90446200</v>
      </c>
      <c r="B29" s="20" t="n">
        <v>300</v>
      </c>
      <c r="C29" s="20" t="n">
        <v>1</v>
      </c>
      <c r="D29" s="21" t="n">
        <v>87</v>
      </c>
      <c r="E29" s="22" t="n">
        <f aca="false">ROUND(D29*$E$4,)</f>
        <v>8222</v>
      </c>
      <c r="F29" s="23" t="n">
        <v>5589</v>
      </c>
      <c r="G29" s="22" t="n">
        <f aca="false">B29/125*20</f>
        <v>48</v>
      </c>
      <c r="H29" s="22"/>
      <c r="I29" s="22"/>
      <c r="J29" s="22" t="n">
        <f aca="false">IFERROR($B29*$J$58/($B$53+$B$59),)</f>
        <v>109.362174689778</v>
      </c>
      <c r="K29" s="22" t="n">
        <f aca="false">IFERROR($B29*K$79/$B$80,)</f>
        <v>0</v>
      </c>
      <c r="L29" s="22" t="n">
        <f aca="false">IFERROR($B29*L$79/$B$80,)</f>
        <v>161.851767905712</v>
      </c>
      <c r="M29" s="22" t="n">
        <f aca="false">IFERROR($B29*M$79/$B$80,)</f>
        <v>0</v>
      </c>
      <c r="N29" s="22" t="n">
        <f aca="false">IFERROR($B29*N$79/$B$80,)</f>
        <v>5.32670840888486</v>
      </c>
      <c r="O29" s="22" t="n">
        <f aca="false">IFERROR($B29*O$79/$B$80,)</f>
        <v>13.1742973708069</v>
      </c>
      <c r="P29" s="22" t="n">
        <f aca="false">SUM(G29:O29)</f>
        <v>337.714948375182</v>
      </c>
      <c r="Q29" s="24" t="n">
        <f aca="false">IFERROR(P29*100/F29,)</f>
        <v>6.04249326132013</v>
      </c>
      <c r="R29" s="25"/>
      <c r="S29" s="26" t="n">
        <f aca="false">IFERROR($B29*S$79/$B$80,)</f>
        <v>0</v>
      </c>
      <c r="T29" s="22" t="n">
        <f aca="false">IFERROR($B29*T$79/$B$80,)</f>
        <v>96.0066296464189</v>
      </c>
      <c r="U29" s="22" t="n">
        <f aca="false">SUM(S29:T29)</f>
        <v>96.0066296464189</v>
      </c>
      <c r="V29" s="24" t="n">
        <f aca="false">IFERROR(U29*100/F29,)</f>
        <v>1.71777830822005</v>
      </c>
      <c r="W29" s="25"/>
      <c r="X29" s="22" t="n">
        <f aca="false">E29-F29-P29+U29</f>
        <v>2391.29168127124</v>
      </c>
      <c r="Y29" s="24" t="n">
        <f aca="false">IFERROR(X29*100/F29,)</f>
        <v>42.7856804664741</v>
      </c>
    </row>
    <row r="30" customFormat="false" ht="12.75" hidden="false" customHeight="false" outlineLevel="0" collapsed="false">
      <c r="A30" s="19" t="s">
        <v>36</v>
      </c>
      <c r="B30" s="20" t="n">
        <v>100</v>
      </c>
      <c r="C30" s="20" t="n">
        <v>1</v>
      </c>
      <c r="D30" s="21" t="n">
        <v>60</v>
      </c>
      <c r="E30" s="22" t="n">
        <f aca="false">ROUND(D30*$E$4,)</f>
        <v>5670</v>
      </c>
      <c r="F30" s="23" t="n">
        <v>4248</v>
      </c>
      <c r="G30" s="22" t="n">
        <f aca="false">B30/125*20</f>
        <v>16</v>
      </c>
      <c r="H30" s="22"/>
      <c r="I30" s="22"/>
      <c r="J30" s="22" t="n">
        <f aca="false">IFERROR($B30*$J$58/($B$53+$B$59),)</f>
        <v>36.4540582299261</v>
      </c>
      <c r="K30" s="22" t="n">
        <f aca="false">IFERROR($B30*K$79/$B$80,)</f>
        <v>0</v>
      </c>
      <c r="L30" s="22" t="n">
        <f aca="false">IFERROR($B30*L$79/$B$80,)</f>
        <v>53.9505893019039</v>
      </c>
      <c r="M30" s="22" t="n">
        <f aca="false">IFERROR($B30*M$79/$B$80,)</f>
        <v>0</v>
      </c>
      <c r="N30" s="22" t="n">
        <f aca="false">IFERROR($B30*N$79/$B$80,)</f>
        <v>1.77556946962829</v>
      </c>
      <c r="O30" s="22" t="n">
        <f aca="false">IFERROR($B30*O$79/$B$80,)</f>
        <v>4.39143245693563</v>
      </c>
      <c r="P30" s="22" t="n">
        <f aca="false">SUM(G30:O30)</f>
        <v>112.571649458394</v>
      </c>
      <c r="Q30" s="24" t="n">
        <f aca="false">IFERROR(P30*100/F30,)</f>
        <v>2.64999174807895</v>
      </c>
      <c r="R30" s="25"/>
      <c r="S30" s="26" t="n">
        <f aca="false">IFERROR($B30*S$79/$B$80,)</f>
        <v>0</v>
      </c>
      <c r="T30" s="22" t="n">
        <f aca="false">IFERROR($B30*T$79/$B$80,)</f>
        <v>32.0022098821396</v>
      </c>
      <c r="U30" s="22" t="n">
        <f aca="false">SUM(S30:T30)</f>
        <v>32.0022098821396</v>
      </c>
      <c r="V30" s="24" t="n">
        <f aca="false">IFERROR(U30*100/F30,)</f>
        <v>0.753347690257524</v>
      </c>
      <c r="W30" s="25"/>
      <c r="X30" s="22" t="n">
        <f aca="false">E30-F30-P30+U30</f>
        <v>1341.43056042375</v>
      </c>
      <c r="Y30" s="24" t="n">
        <f aca="false">IFERROR(X30*100/F30,)</f>
        <v>31.577932213365</v>
      </c>
    </row>
    <row r="31" customFormat="false" ht="12.75" hidden="false" customHeight="false" outlineLevel="0" collapsed="false">
      <c r="A31" s="19" t="n">
        <v>90446400</v>
      </c>
      <c r="B31" s="20" t="n">
        <v>100</v>
      </c>
      <c r="C31" s="20" t="n">
        <v>1</v>
      </c>
      <c r="D31" s="21" t="n">
        <v>63</v>
      </c>
      <c r="E31" s="22" t="n">
        <f aca="false">ROUND(D31*$E$4,)</f>
        <v>5954</v>
      </c>
      <c r="F31" s="23" t="n">
        <v>4248</v>
      </c>
      <c r="G31" s="22" t="n">
        <f aca="false">B31/125*20</f>
        <v>16</v>
      </c>
      <c r="H31" s="22"/>
      <c r="I31" s="22"/>
      <c r="J31" s="22" t="n">
        <f aca="false">IFERROR($B31*$J$58/($B$53+$B$59),)</f>
        <v>36.4540582299261</v>
      </c>
      <c r="K31" s="22" t="n">
        <f aca="false">IFERROR($B31*K$79/$B$80,)</f>
        <v>0</v>
      </c>
      <c r="L31" s="22" t="n">
        <f aca="false">IFERROR($B31*L$79/$B$80,)</f>
        <v>53.9505893019039</v>
      </c>
      <c r="M31" s="22" t="n">
        <f aca="false">IFERROR($B31*M$79/$B$80,)</f>
        <v>0</v>
      </c>
      <c r="N31" s="22" t="n">
        <f aca="false">IFERROR($B31*N$79/$B$80,)</f>
        <v>1.77556946962829</v>
      </c>
      <c r="O31" s="22" t="n">
        <f aca="false">IFERROR($B31*O$79/$B$80,)</f>
        <v>4.39143245693563</v>
      </c>
      <c r="P31" s="22" t="n">
        <f aca="false">SUM(G31:O31)</f>
        <v>112.571649458394</v>
      </c>
      <c r="Q31" s="24" t="n">
        <f aca="false">IFERROR(P31*100/F31,)</f>
        <v>2.64999174807895</v>
      </c>
      <c r="R31" s="25"/>
      <c r="S31" s="26" t="n">
        <f aca="false">IFERROR($B31*S$79/$B$80,)</f>
        <v>0</v>
      </c>
      <c r="T31" s="22" t="n">
        <f aca="false">IFERROR($B31*T$79/$B$80,)</f>
        <v>32.0022098821396</v>
      </c>
      <c r="U31" s="22" t="n">
        <f aca="false">SUM(S31:T31)</f>
        <v>32.0022098821396</v>
      </c>
      <c r="V31" s="24" t="n">
        <f aca="false">IFERROR(U31*100/F31,)</f>
        <v>0.753347690257524</v>
      </c>
      <c r="W31" s="25"/>
      <c r="X31" s="22" t="n">
        <f aca="false">E31-F31-P31+U31</f>
        <v>1625.43056042375</v>
      </c>
      <c r="Y31" s="24" t="n">
        <f aca="false">IFERROR(X31*100/F31,)</f>
        <v>38.2634312717454</v>
      </c>
    </row>
    <row r="32" customFormat="false" ht="12.75" hidden="false" customHeight="false" outlineLevel="0" collapsed="false">
      <c r="A32" s="19" t="n">
        <v>90446600</v>
      </c>
      <c r="B32" s="20" t="n">
        <v>200</v>
      </c>
      <c r="C32" s="20" t="n">
        <v>2</v>
      </c>
      <c r="D32" s="21" t="n">
        <v>160</v>
      </c>
      <c r="E32" s="22" t="n">
        <f aca="false">ROUND(D32*$E$4,)</f>
        <v>15120</v>
      </c>
      <c r="F32" s="23" t="n">
        <v>10890</v>
      </c>
      <c r="G32" s="22" t="n">
        <f aca="false">B32/125*20</f>
        <v>32</v>
      </c>
      <c r="H32" s="22"/>
      <c r="I32" s="22"/>
      <c r="J32" s="22" t="n">
        <f aca="false">IFERROR($B32*$J$58/($B$53+$B$59),)</f>
        <v>72.9081164598523</v>
      </c>
      <c r="K32" s="22" t="n">
        <f aca="false">IFERROR($B32*K$79/$B$80,)</f>
        <v>0</v>
      </c>
      <c r="L32" s="22" t="n">
        <f aca="false">IFERROR($B32*L$79/$B$80,)</f>
        <v>107.901178603808</v>
      </c>
      <c r="M32" s="22" t="n">
        <f aca="false">IFERROR($B32*M$79/$B$80,)</f>
        <v>0</v>
      </c>
      <c r="N32" s="22" t="n">
        <f aca="false">IFERROR($B32*N$79/$B$80,)</f>
        <v>3.55113893925657</v>
      </c>
      <c r="O32" s="22" t="n">
        <f aca="false">IFERROR($B32*O$79/$B$80,)</f>
        <v>8.78286491387126</v>
      </c>
      <c r="P32" s="22" t="n">
        <f aca="false">SUM(G32:O32)</f>
        <v>225.143298916788</v>
      </c>
      <c r="Q32" s="24" t="n">
        <f aca="false">IFERROR(P32*100/F32,)</f>
        <v>2.06743157866656</v>
      </c>
      <c r="R32" s="25"/>
      <c r="S32" s="26" t="n">
        <f aca="false">IFERROR($B32*S$79/$B$80,)</f>
        <v>0</v>
      </c>
      <c r="T32" s="22" t="n">
        <f aca="false">IFERROR($B32*T$79/$B$80,)</f>
        <v>64.0044197642792</v>
      </c>
      <c r="U32" s="22" t="n">
        <f aca="false">SUM(S32:T32)</f>
        <v>64.0044197642792</v>
      </c>
      <c r="V32" s="24" t="n">
        <f aca="false">IFERROR(U32*100/F32,)</f>
        <v>0.58773571868025</v>
      </c>
      <c r="W32" s="25"/>
      <c r="X32" s="22" t="n">
        <f aca="false">E32-F32-P32+U32</f>
        <v>4068.86112084749</v>
      </c>
      <c r="Y32" s="24" t="n">
        <f aca="false">IFERROR(X32*100/F32,)</f>
        <v>37.3632793466253</v>
      </c>
    </row>
    <row r="33" customFormat="false" ht="12.75" hidden="false" customHeight="false" outlineLevel="0" collapsed="false">
      <c r="A33" s="19" t="s">
        <v>37</v>
      </c>
      <c r="B33" s="20" t="n">
        <v>60</v>
      </c>
      <c r="C33" s="20" t="n">
        <v>1</v>
      </c>
      <c r="D33" s="21" t="n">
        <v>55.8</v>
      </c>
      <c r="E33" s="22" t="n">
        <f aca="false">ROUND(D33*$E$4,)</f>
        <v>5273</v>
      </c>
      <c r="F33" s="23" t="n">
        <v>3979.8</v>
      </c>
      <c r="G33" s="22" t="n">
        <f aca="false">B33/125*20</f>
        <v>9.6</v>
      </c>
      <c r="H33" s="22"/>
      <c r="I33" s="22"/>
      <c r="J33" s="22" t="n">
        <f aca="false">IFERROR($B33*$J$58/($B$53+$B$59),)</f>
        <v>21.8724349379557</v>
      </c>
      <c r="K33" s="22" t="n">
        <f aca="false">IFERROR($B33*K$79/$B$80,)</f>
        <v>0</v>
      </c>
      <c r="L33" s="22" t="n">
        <f aca="false">IFERROR($B33*L$79/$B$80,)</f>
        <v>32.3703535811423</v>
      </c>
      <c r="M33" s="22" t="n">
        <f aca="false">IFERROR($B33*M$79/$B$80,)</f>
        <v>0</v>
      </c>
      <c r="N33" s="22" t="n">
        <f aca="false">IFERROR($B33*N$79/$B$80,)</f>
        <v>1.06534168177697</v>
      </c>
      <c r="O33" s="22" t="n">
        <f aca="false">IFERROR($B33*O$79/$B$80,)</f>
        <v>2.63485947416138</v>
      </c>
      <c r="P33" s="22" t="n">
        <f aca="false">SUM(G33:O33)</f>
        <v>67.5429896750364</v>
      </c>
      <c r="Q33" s="24" t="n">
        <f aca="false">IFERROR(P33*100/F33,)</f>
        <v>1.69714532577105</v>
      </c>
      <c r="R33" s="25"/>
      <c r="S33" s="26" t="n">
        <f aca="false">IFERROR($B33*S$79/$B$80,)</f>
        <v>0</v>
      </c>
      <c r="T33" s="22" t="n">
        <f aca="false">IFERROR($B33*T$79/$B$80,)</f>
        <v>19.2013259292838</v>
      </c>
      <c r="U33" s="22" t="n">
        <f aca="false">SUM(S33:T33)</f>
        <v>19.2013259292838</v>
      </c>
      <c r="V33" s="24" t="n">
        <f aca="false">IFERROR(U33*100/F33,)</f>
        <v>0.482469619812146</v>
      </c>
      <c r="W33" s="25"/>
      <c r="X33" s="22" t="n">
        <f aca="false">E33-F33-P33+U33</f>
        <v>1244.85833625425</v>
      </c>
      <c r="Y33" s="24" t="n">
        <f aca="false">IFERROR(X33*100/F33,)</f>
        <v>31.2794194747034</v>
      </c>
    </row>
    <row r="34" customFormat="false" ht="12.75" hidden="false" customHeight="false" outlineLevel="0" collapsed="false">
      <c r="A34" s="19" t="n">
        <v>90446700</v>
      </c>
      <c r="B34" s="20" t="n">
        <v>100</v>
      </c>
      <c r="C34" s="20" t="n">
        <v>2</v>
      </c>
      <c r="D34" s="21" t="n">
        <v>115</v>
      </c>
      <c r="E34" s="22" t="n">
        <f aca="false">ROUND(D34*$E$4,)</f>
        <v>10867</v>
      </c>
      <c r="F34" s="23" t="n">
        <v>7821</v>
      </c>
      <c r="G34" s="22" t="n">
        <f aca="false">B34/125*20</f>
        <v>16</v>
      </c>
      <c r="H34" s="22"/>
      <c r="I34" s="22"/>
      <c r="J34" s="22" t="n">
        <f aca="false">IFERROR($B34*$J$58/($B$53+$B$59),)</f>
        <v>36.4540582299261</v>
      </c>
      <c r="K34" s="22" t="n">
        <f aca="false">IFERROR($B34*K$79/$B$80,)</f>
        <v>0</v>
      </c>
      <c r="L34" s="22" t="n">
        <f aca="false">IFERROR($B34*L$79/$B$80,)</f>
        <v>53.9505893019039</v>
      </c>
      <c r="M34" s="22" t="n">
        <f aca="false">IFERROR($B34*M$79/$B$80,)</f>
        <v>0</v>
      </c>
      <c r="N34" s="22" t="n">
        <f aca="false">IFERROR($B34*N$79/$B$80,)</f>
        <v>1.77556946962829</v>
      </c>
      <c r="O34" s="22" t="n">
        <f aca="false">IFERROR($B34*O$79/$B$80,)</f>
        <v>4.39143245693563</v>
      </c>
      <c r="P34" s="22" t="n">
        <f aca="false">SUM(G34:O34)</f>
        <v>112.571649458394</v>
      </c>
      <c r="Q34" s="24" t="n">
        <f aca="false">IFERROR(P34*100/F34,)</f>
        <v>1.43935109907165</v>
      </c>
      <c r="R34" s="25"/>
      <c r="S34" s="26" t="n">
        <f aca="false">IFERROR($B34*S$79/$B$80,)</f>
        <v>0</v>
      </c>
      <c r="T34" s="22" t="n">
        <f aca="false">IFERROR($B34*T$79/$B$80,)</f>
        <v>32.0022098821396</v>
      </c>
      <c r="U34" s="22" t="n">
        <f aca="false">SUM(S34:T34)</f>
        <v>32.0022098821396</v>
      </c>
      <c r="V34" s="24" t="n">
        <f aca="false">IFERROR(U34*100/F34,)</f>
        <v>0.409183095283719</v>
      </c>
      <c r="W34" s="25"/>
      <c r="X34" s="22" t="n">
        <f aca="false">E34-F34-P34+U34</f>
        <v>2965.43056042375</v>
      </c>
      <c r="Y34" s="24" t="n">
        <f aca="false">IFERROR(X34*100/F34,)</f>
        <v>37.9162582844105</v>
      </c>
    </row>
    <row r="35" customFormat="false" ht="12.75" hidden="false" customHeight="false" outlineLevel="0" collapsed="false">
      <c r="A35" s="19" t="n">
        <v>90446800</v>
      </c>
      <c r="B35" s="20" t="n">
        <v>50</v>
      </c>
      <c r="C35" s="20" t="n">
        <v>2</v>
      </c>
      <c r="D35" s="21" t="n">
        <v>110</v>
      </c>
      <c r="E35" s="22" t="n">
        <f aca="false">ROUND(D35*$E$4,)</f>
        <v>10395</v>
      </c>
      <c r="F35" s="23" t="n">
        <v>6350.5</v>
      </c>
      <c r="G35" s="22" t="n">
        <f aca="false">B35/125*20</f>
        <v>8</v>
      </c>
      <c r="H35" s="22"/>
      <c r="I35" s="22"/>
      <c r="J35" s="22" t="n">
        <f aca="false">IFERROR($B35*$J$58/($B$53+$B$59),)</f>
        <v>18.2270291149631</v>
      </c>
      <c r="K35" s="22" t="n">
        <f aca="false">IFERROR($B35*K$79/$B$80,)</f>
        <v>0</v>
      </c>
      <c r="L35" s="22" t="n">
        <f aca="false">IFERROR($B35*L$79/$B$80,)</f>
        <v>26.975294650952</v>
      </c>
      <c r="M35" s="22" t="n">
        <f aca="false">IFERROR($B35*M$79/$B$80,)</f>
        <v>0</v>
      </c>
      <c r="N35" s="22" t="n">
        <f aca="false">IFERROR($B35*N$79/$B$80,)</f>
        <v>0.887784734814143</v>
      </c>
      <c r="O35" s="22" t="n">
        <f aca="false">IFERROR($B35*O$79/$B$80,)</f>
        <v>2.19571622846782</v>
      </c>
      <c r="P35" s="22" t="n">
        <f aca="false">SUM(G35:O35)</f>
        <v>56.285824729197</v>
      </c>
      <c r="Q35" s="24" t="n">
        <f aca="false">IFERROR(P35*100/F35,)</f>
        <v>0.886321151550224</v>
      </c>
      <c r="R35" s="25"/>
      <c r="S35" s="26" t="n">
        <f aca="false">IFERROR($B35*S$79/$B$80,)</f>
        <v>0</v>
      </c>
      <c r="T35" s="22" t="n">
        <f aca="false">IFERROR($B35*T$79/$B$80,)</f>
        <v>16.0011049410698</v>
      </c>
      <c r="U35" s="22" t="n">
        <f aca="false">SUM(S35:T35)</f>
        <v>16.0011049410698</v>
      </c>
      <c r="V35" s="24" t="n">
        <f aca="false">IFERROR(U35*100/F35,)</f>
        <v>0.25196606473616</v>
      </c>
      <c r="W35" s="25"/>
      <c r="X35" s="22" t="n">
        <f aca="false">E35-F35-P35+U35</f>
        <v>4004.21528021187</v>
      </c>
      <c r="Y35" s="24" t="n">
        <f aca="false">IFERROR(X35*100/F35,)</f>
        <v>63.0535435038481</v>
      </c>
    </row>
    <row r="36" customFormat="false" ht="12.75" hidden="false" customHeight="false" outlineLevel="0" collapsed="false">
      <c r="A36" s="19" t="n">
        <v>90447200</v>
      </c>
      <c r="B36" s="20" t="n">
        <v>300</v>
      </c>
      <c r="C36" s="20" t="n">
        <v>1</v>
      </c>
      <c r="D36" s="21" t="n">
        <v>102</v>
      </c>
      <c r="E36" s="22" t="n">
        <f aca="false">ROUND(D36*$E$4,)</f>
        <v>9639</v>
      </c>
      <c r="F36" s="23" t="n">
        <v>7020</v>
      </c>
      <c r="G36" s="22" t="n">
        <f aca="false">B36/125*20</f>
        <v>48</v>
      </c>
      <c r="H36" s="22"/>
      <c r="I36" s="22"/>
      <c r="J36" s="22" t="n">
        <f aca="false">IFERROR($B36*$J$58/($B$53+$B$59),)</f>
        <v>109.362174689778</v>
      </c>
      <c r="K36" s="22" t="n">
        <f aca="false">IFERROR($B36*K$79/$B$80,)</f>
        <v>0</v>
      </c>
      <c r="L36" s="22" t="n">
        <f aca="false">IFERROR($B36*L$79/$B$80,)</f>
        <v>161.851767905712</v>
      </c>
      <c r="M36" s="22" t="n">
        <f aca="false">IFERROR($B36*M$79/$B$80,)</f>
        <v>0</v>
      </c>
      <c r="N36" s="22" t="n">
        <f aca="false">IFERROR($B36*N$79/$B$80,)</f>
        <v>5.32670840888486</v>
      </c>
      <c r="O36" s="22" t="n">
        <f aca="false">IFERROR($B36*O$79/$B$80,)</f>
        <v>13.1742973708069</v>
      </c>
      <c r="P36" s="22" t="n">
        <f aca="false">SUM(G36:O36)</f>
        <v>337.714948375182</v>
      </c>
      <c r="Q36" s="24" t="n">
        <f aca="false">IFERROR(P36*100/F36,)</f>
        <v>4.81075425035871</v>
      </c>
      <c r="R36" s="25"/>
      <c r="S36" s="26" t="n">
        <f aca="false">IFERROR($B36*S$79/$B$80,)</f>
        <v>0</v>
      </c>
      <c r="T36" s="22" t="n">
        <f aca="false">IFERROR($B36*T$79/$B$80,)</f>
        <v>96.0066296464189</v>
      </c>
      <c r="U36" s="22" t="n">
        <f aca="false">SUM(S36:T36)</f>
        <v>96.0066296464189</v>
      </c>
      <c r="V36" s="24" t="n">
        <f aca="false">IFERROR(U36*100/F36,)</f>
        <v>1.36761580692904</v>
      </c>
      <c r="W36" s="25"/>
      <c r="X36" s="22" t="n">
        <f aca="false">E36-F36-P36+U36</f>
        <v>2377.29168127124</v>
      </c>
      <c r="Y36" s="24" t="n">
        <f aca="false">IFERROR(X36*100/F36,)</f>
        <v>33.8645538642626</v>
      </c>
    </row>
    <row r="37" customFormat="false" ht="12.75" hidden="false" customHeight="false" outlineLevel="0" collapsed="false">
      <c r="A37" s="19" t="s">
        <v>38</v>
      </c>
      <c r="B37" s="20" t="n">
        <v>150</v>
      </c>
      <c r="C37" s="20" t="n">
        <v>1</v>
      </c>
      <c r="D37" s="21" t="n">
        <v>66</v>
      </c>
      <c r="E37" s="22" t="n">
        <f aca="false">ROUND(D37*$E$4,)</f>
        <v>6237</v>
      </c>
      <c r="F37" s="23" t="n">
        <v>4401</v>
      </c>
      <c r="G37" s="22" t="n">
        <f aca="false">B37/125*20</f>
        <v>24</v>
      </c>
      <c r="H37" s="22"/>
      <c r="I37" s="22"/>
      <c r="J37" s="22" t="n">
        <f aca="false">IFERROR($B37*$J$58/($B$53+$B$59),)</f>
        <v>54.6810873448892</v>
      </c>
      <c r="K37" s="22" t="n">
        <f aca="false">IFERROR($B37*K$79/$B$80,)</f>
        <v>0</v>
      </c>
      <c r="L37" s="22" t="n">
        <f aca="false">IFERROR($B37*L$79/$B$80,)</f>
        <v>80.9258839528558</v>
      </c>
      <c r="M37" s="22" t="n">
        <f aca="false">IFERROR($B37*M$79/$B$80,)</f>
        <v>0</v>
      </c>
      <c r="N37" s="22" t="n">
        <f aca="false">IFERROR($B37*N$79/$B$80,)</f>
        <v>2.66335420444243</v>
      </c>
      <c r="O37" s="22" t="n">
        <f aca="false">IFERROR($B37*O$79/$B$80,)</f>
        <v>6.58714868540345</v>
      </c>
      <c r="P37" s="22" t="n">
        <f aca="false">SUM(G37:O37)</f>
        <v>168.857474187591</v>
      </c>
      <c r="Q37" s="24" t="n">
        <f aca="false">IFERROR(P37*100/F37,)</f>
        <v>3.83679786838425</v>
      </c>
      <c r="R37" s="25"/>
      <c r="S37" s="26" t="n">
        <f aca="false">IFERROR($B37*S$79/$B$80,)</f>
        <v>0</v>
      </c>
      <c r="T37" s="22" t="n">
        <f aca="false">IFERROR($B37*T$79/$B$80,)</f>
        <v>48.0033148232094</v>
      </c>
      <c r="U37" s="22" t="n">
        <f aca="false">SUM(S37:T37)</f>
        <v>48.0033148232094</v>
      </c>
      <c r="V37" s="24" t="n">
        <f aca="false">IFERROR(U37*100/F37,)</f>
        <v>1.09073653313359</v>
      </c>
      <c r="W37" s="25"/>
      <c r="X37" s="22" t="n">
        <f aca="false">E37-F37-P37+U37</f>
        <v>1715.14584063562</v>
      </c>
      <c r="Y37" s="24" t="n">
        <f aca="false">IFERROR(X37*100/F37,)</f>
        <v>38.9717300757923</v>
      </c>
    </row>
    <row r="38" customFormat="false" ht="12.75" hidden="false" customHeight="false" outlineLevel="0" collapsed="false">
      <c r="A38" s="19" t="s">
        <v>39</v>
      </c>
      <c r="B38" s="20" t="n">
        <v>100</v>
      </c>
      <c r="C38" s="20" t="n">
        <v>1</v>
      </c>
      <c r="D38" s="21" t="n">
        <v>81</v>
      </c>
      <c r="E38" s="22" t="n">
        <f aca="false">ROUND(D38*$E$4,)</f>
        <v>7655</v>
      </c>
      <c r="F38" s="23" t="n">
        <v>5760</v>
      </c>
      <c r="G38" s="22" t="n">
        <f aca="false">B38/125*20</f>
        <v>16</v>
      </c>
      <c r="H38" s="22"/>
      <c r="I38" s="22"/>
      <c r="J38" s="22" t="n">
        <f aca="false">IFERROR($B38*$J$58/($B$53+$B$59),)</f>
        <v>36.4540582299261</v>
      </c>
      <c r="K38" s="22" t="n">
        <f aca="false">IFERROR($B38*K$79/$B$80,)</f>
        <v>0</v>
      </c>
      <c r="L38" s="22" t="n">
        <f aca="false">IFERROR($B38*L$79/$B$80,)</f>
        <v>53.9505893019039</v>
      </c>
      <c r="M38" s="22" t="n">
        <f aca="false">IFERROR($B38*M$79/$B$80,)</f>
        <v>0</v>
      </c>
      <c r="N38" s="22" t="n">
        <f aca="false">IFERROR($B38*N$79/$B$80,)</f>
        <v>1.77556946962829</v>
      </c>
      <c r="O38" s="22" t="n">
        <f aca="false">IFERROR($B38*O$79/$B$80,)</f>
        <v>4.39143245693563</v>
      </c>
      <c r="P38" s="22" t="n">
        <f aca="false">SUM(G38:O38)</f>
        <v>112.571649458394</v>
      </c>
      <c r="Q38" s="24" t="n">
        <f aca="false">IFERROR(P38*100/F38,)</f>
        <v>1.95436891420823</v>
      </c>
      <c r="R38" s="25"/>
      <c r="S38" s="26" t="n">
        <f aca="false">IFERROR($B38*S$79/$B$80,)</f>
        <v>0</v>
      </c>
      <c r="T38" s="22" t="n">
        <f aca="false">IFERROR($B38*T$79/$B$80,)</f>
        <v>32.0022098821396</v>
      </c>
      <c r="U38" s="22" t="n">
        <f aca="false">SUM(S38:T38)</f>
        <v>32.0022098821396</v>
      </c>
      <c r="V38" s="24" t="n">
        <f aca="false">IFERROR(U38*100/F38,)</f>
        <v>0.555593921564924</v>
      </c>
      <c r="W38" s="25"/>
      <c r="X38" s="22" t="n">
        <f aca="false">E38-F38-P38+U38</f>
        <v>1814.43056042375</v>
      </c>
      <c r="Y38" s="24" t="n">
        <f aca="false">IFERROR(X38*100/F38,)</f>
        <v>31.5005305629123</v>
      </c>
    </row>
    <row r="39" customFormat="false" ht="12.75" hidden="false" customHeight="false" outlineLevel="0" collapsed="false">
      <c r="A39" s="19" t="n">
        <v>90447400</v>
      </c>
      <c r="B39" s="20" t="n">
        <v>200</v>
      </c>
      <c r="C39" s="20" t="n">
        <v>2</v>
      </c>
      <c r="D39" s="21" t="n">
        <v>172</v>
      </c>
      <c r="E39" s="22" t="n">
        <f aca="false">ROUND(D39*$E$4,)</f>
        <v>16254</v>
      </c>
      <c r="F39" s="23" t="n">
        <v>11520</v>
      </c>
      <c r="G39" s="22" t="n">
        <f aca="false">B39/125*20</f>
        <v>32</v>
      </c>
      <c r="H39" s="22"/>
      <c r="I39" s="22"/>
      <c r="J39" s="22" t="n">
        <f aca="false">IFERROR($B39*$J$58/($B$53+$B$59),)</f>
        <v>72.9081164598523</v>
      </c>
      <c r="K39" s="22" t="n">
        <f aca="false">IFERROR($B39*K$79/$B$80,)</f>
        <v>0</v>
      </c>
      <c r="L39" s="22" t="n">
        <f aca="false">IFERROR($B39*L$79/$B$80,)</f>
        <v>107.901178603808</v>
      </c>
      <c r="M39" s="22" t="n">
        <f aca="false">IFERROR($B39*M$79/$B$80,)</f>
        <v>0</v>
      </c>
      <c r="N39" s="22" t="n">
        <f aca="false">IFERROR($B39*N$79/$B$80,)</f>
        <v>3.55113893925657</v>
      </c>
      <c r="O39" s="22" t="n">
        <f aca="false">IFERROR($B39*O$79/$B$80,)</f>
        <v>8.78286491387126</v>
      </c>
      <c r="P39" s="22" t="n">
        <f aca="false">SUM(G39:O39)</f>
        <v>225.143298916788</v>
      </c>
      <c r="Q39" s="24" t="n">
        <f aca="false">IFERROR(P39*100/F39,)</f>
        <v>1.95436891420823</v>
      </c>
      <c r="R39" s="25"/>
      <c r="S39" s="26" t="n">
        <f aca="false">IFERROR($B39*S$79/$B$80,)</f>
        <v>0</v>
      </c>
      <c r="T39" s="22" t="n">
        <f aca="false">IFERROR($B39*T$79/$B$80,)</f>
        <v>64.0044197642792</v>
      </c>
      <c r="U39" s="22" t="n">
        <f aca="false">SUM(S39:T39)</f>
        <v>64.0044197642792</v>
      </c>
      <c r="V39" s="24" t="n">
        <f aca="false">IFERROR(U39*100/F39,)</f>
        <v>0.555593921564924</v>
      </c>
      <c r="W39" s="25"/>
      <c r="X39" s="22" t="n">
        <f aca="false">E39-F39-P39+U39</f>
        <v>4572.86112084749</v>
      </c>
      <c r="Y39" s="24" t="n">
        <f aca="false">IFERROR(X39*100/F39,)</f>
        <v>39.6949750073567</v>
      </c>
    </row>
    <row r="40" customFormat="false" ht="12.75" hidden="false" customHeight="false" outlineLevel="0" collapsed="false">
      <c r="A40" s="19" t="s">
        <v>40</v>
      </c>
      <c r="B40" s="20" t="n">
        <v>150</v>
      </c>
      <c r="C40" s="20" t="n">
        <v>1</v>
      </c>
      <c r="D40" s="21" t="n">
        <v>61.5</v>
      </c>
      <c r="E40" s="22" t="n">
        <f aca="false">ROUND(D40*$E$4,)</f>
        <v>5812</v>
      </c>
      <c r="F40" s="23" t="n">
        <v>4293</v>
      </c>
      <c r="G40" s="22" t="n">
        <f aca="false">B40/125*20</f>
        <v>24</v>
      </c>
      <c r="H40" s="22"/>
      <c r="I40" s="22"/>
      <c r="J40" s="22" t="n">
        <f aca="false">IFERROR($B40*$J$58/($B$53+$B$59),)</f>
        <v>54.6810873448892</v>
      </c>
      <c r="K40" s="22" t="n">
        <f aca="false">IFERROR($B40*K$79/$B$80,)</f>
        <v>0</v>
      </c>
      <c r="L40" s="22" t="n">
        <f aca="false">IFERROR($B40*L$79/$B$80,)</f>
        <v>80.9258839528558</v>
      </c>
      <c r="M40" s="22" t="n">
        <f aca="false">IFERROR($B40*M$79/$B$80,)</f>
        <v>0</v>
      </c>
      <c r="N40" s="22" t="n">
        <f aca="false">IFERROR($B40*N$79/$B$80,)</f>
        <v>2.66335420444243</v>
      </c>
      <c r="O40" s="22" t="n">
        <f aca="false">IFERROR($B40*O$79/$B$80,)</f>
        <v>6.58714868540345</v>
      </c>
      <c r="P40" s="22" t="n">
        <f aca="false">SUM(G40:O40)</f>
        <v>168.857474187591</v>
      </c>
      <c r="Q40" s="24" t="n">
        <f aca="false">IFERROR(P40*100/F40,)</f>
        <v>3.93332108519895</v>
      </c>
      <c r="R40" s="25"/>
      <c r="S40" s="26" t="n">
        <f aca="false">IFERROR($B40*S$79/$B$80,)</f>
        <v>0</v>
      </c>
      <c r="T40" s="22" t="n">
        <f aca="false">IFERROR($B40*T$79/$B$80,)</f>
        <v>48.0033148232094</v>
      </c>
      <c r="U40" s="22" t="n">
        <f aca="false">SUM(S40:T40)</f>
        <v>48.0033148232094</v>
      </c>
      <c r="V40" s="24" t="n">
        <f aca="false">IFERROR(U40*100/F40,)</f>
        <v>1.11817644591683</v>
      </c>
      <c r="W40" s="25"/>
      <c r="X40" s="22" t="n">
        <f aca="false">E40-F40-P40+U40</f>
        <v>1398.14584063562</v>
      </c>
      <c r="Y40" s="24" t="n">
        <f aca="false">IFERROR(X40*100/F40,)</f>
        <v>32.5680372847803</v>
      </c>
    </row>
    <row r="41" customFormat="false" ht="12.75" hidden="false" customHeight="false" outlineLevel="0" collapsed="false">
      <c r="A41" s="19" t="n">
        <v>90448200</v>
      </c>
      <c r="B41" s="20" t="n">
        <v>150</v>
      </c>
      <c r="C41" s="20" t="n">
        <v>1</v>
      </c>
      <c r="D41" s="21" t="n">
        <v>63</v>
      </c>
      <c r="E41" s="22" t="n">
        <f aca="false">ROUND(D41*$E$4,)</f>
        <v>5954</v>
      </c>
      <c r="F41" s="23" t="n">
        <v>4293</v>
      </c>
      <c r="G41" s="22" t="n">
        <f aca="false">B41/125*20</f>
        <v>24</v>
      </c>
      <c r="H41" s="22"/>
      <c r="I41" s="22"/>
      <c r="J41" s="22" t="n">
        <f aca="false">IFERROR($B41*$J$58/($B$53+$B$59),)</f>
        <v>54.6810873448892</v>
      </c>
      <c r="K41" s="22" t="n">
        <f aca="false">IFERROR($B41*K$79/$B$80,)</f>
        <v>0</v>
      </c>
      <c r="L41" s="22" t="n">
        <f aca="false">IFERROR($B41*L$79/$B$80,)</f>
        <v>80.9258839528558</v>
      </c>
      <c r="M41" s="22" t="n">
        <f aca="false">IFERROR($B41*M$79/$B$80,)</f>
        <v>0</v>
      </c>
      <c r="N41" s="22" t="n">
        <f aca="false">IFERROR($B41*N$79/$B$80,)</f>
        <v>2.66335420444243</v>
      </c>
      <c r="O41" s="22" t="n">
        <f aca="false">IFERROR($B41*O$79/$B$80,)</f>
        <v>6.58714868540345</v>
      </c>
      <c r="P41" s="22" t="n">
        <f aca="false">SUM(G41:O41)</f>
        <v>168.857474187591</v>
      </c>
      <c r="Q41" s="24" t="n">
        <f aca="false">IFERROR(P41*100/F41,)</f>
        <v>3.93332108519895</v>
      </c>
      <c r="R41" s="25"/>
      <c r="S41" s="26" t="n">
        <f aca="false">IFERROR($B41*S$79/$B$80,)</f>
        <v>0</v>
      </c>
      <c r="T41" s="22" t="n">
        <f aca="false">IFERROR($B41*T$79/$B$80,)</f>
        <v>48.0033148232094</v>
      </c>
      <c r="U41" s="22" t="n">
        <f aca="false">SUM(S41:T41)</f>
        <v>48.0033148232094</v>
      </c>
      <c r="V41" s="24" t="n">
        <f aca="false">IFERROR(U41*100/F41,)</f>
        <v>1.11817644591683</v>
      </c>
      <c r="W41" s="25"/>
      <c r="X41" s="22" t="n">
        <f aca="false">E41-F41-P41+U41</f>
        <v>1540.14584063562</v>
      </c>
      <c r="Y41" s="24" t="n">
        <f aca="false">IFERROR(X41*100/F41,)</f>
        <v>35.8757475107295</v>
      </c>
    </row>
    <row r="42" customFormat="false" ht="12.75" hidden="false" customHeight="false" outlineLevel="0" collapsed="false">
      <c r="A42" s="19" t="n">
        <v>90448300</v>
      </c>
      <c r="B42" s="20" t="n">
        <v>75</v>
      </c>
      <c r="C42" s="20" t="n">
        <v>1</v>
      </c>
      <c r="D42" s="21" t="n">
        <v>56.25</v>
      </c>
      <c r="E42" s="22" t="n">
        <f aca="false">ROUND(D42*$E$4,)</f>
        <v>5316</v>
      </c>
      <c r="F42" s="23" t="n">
        <v>3780</v>
      </c>
      <c r="G42" s="22" t="n">
        <f aca="false">B42/125*20</f>
        <v>12</v>
      </c>
      <c r="H42" s="22"/>
      <c r="I42" s="22"/>
      <c r="J42" s="22" t="n">
        <f aca="false">IFERROR($B42*$J$58/($B$53+$B$59),)</f>
        <v>27.3405436724446</v>
      </c>
      <c r="K42" s="22" t="n">
        <f aca="false">IFERROR($B42*K$79/$B$80,)</f>
        <v>0</v>
      </c>
      <c r="L42" s="22" t="n">
        <f aca="false">IFERROR($B42*L$79/$B$80,)</f>
        <v>40.4629419764279</v>
      </c>
      <c r="M42" s="22" t="n">
        <f aca="false">IFERROR($B42*M$79/$B$80,)</f>
        <v>0</v>
      </c>
      <c r="N42" s="22" t="n">
        <f aca="false">IFERROR($B42*N$79/$B$80,)</f>
        <v>1.33167710222121</v>
      </c>
      <c r="O42" s="22" t="n">
        <f aca="false">IFERROR($B42*O$79/$B$80,)</f>
        <v>3.29357434270172</v>
      </c>
      <c r="P42" s="22" t="n">
        <f aca="false">SUM(G42:O42)</f>
        <v>84.4287370937955</v>
      </c>
      <c r="Q42" s="24" t="n">
        <f aca="false">IFERROR(P42*100/F42,)</f>
        <v>2.23356447338083</v>
      </c>
      <c r="R42" s="25"/>
      <c r="S42" s="26" t="n">
        <f aca="false">IFERROR($B42*S$79/$B$80,)</f>
        <v>0</v>
      </c>
      <c r="T42" s="22" t="n">
        <f aca="false">IFERROR($B42*T$79/$B$80,)</f>
        <v>24.0016574116047</v>
      </c>
      <c r="U42" s="22" t="n">
        <f aca="false">SUM(S42:T42)</f>
        <v>24.0016574116047</v>
      </c>
      <c r="V42" s="24" t="n">
        <f aca="false">IFERROR(U42*100/F42,)</f>
        <v>0.634964481788485</v>
      </c>
      <c r="W42" s="25"/>
      <c r="X42" s="22" t="n">
        <f aca="false">E42-F42-P42+U42</f>
        <v>1475.57292031781</v>
      </c>
      <c r="Y42" s="24" t="n">
        <f aca="false">IFERROR(X42*100/F42,)</f>
        <v>39.0363206433283</v>
      </c>
    </row>
    <row r="43" customFormat="false" ht="12.75" hidden="false" customHeight="false" outlineLevel="0" collapsed="false">
      <c r="A43" s="19" t="s">
        <v>41</v>
      </c>
      <c r="B43" s="20" t="n">
        <v>100</v>
      </c>
      <c r="C43" s="20" t="n">
        <v>2</v>
      </c>
      <c r="D43" s="21" t="n">
        <v>102</v>
      </c>
      <c r="E43" s="22" t="n">
        <f aca="false">ROUND(D43*$E$4,)</f>
        <v>9639</v>
      </c>
      <c r="F43" s="23" t="n">
        <v>7245</v>
      </c>
      <c r="G43" s="22" t="n">
        <f aca="false">B43/125*20</f>
        <v>16</v>
      </c>
      <c r="H43" s="22"/>
      <c r="I43" s="22"/>
      <c r="J43" s="22" t="n">
        <f aca="false">IFERROR($B43*$J$58/($B$53+$B$59),)</f>
        <v>36.4540582299261</v>
      </c>
      <c r="K43" s="22" t="n">
        <f aca="false">IFERROR($B43*K$79/$B$80,)</f>
        <v>0</v>
      </c>
      <c r="L43" s="22" t="n">
        <f aca="false">IFERROR($B43*L$79/$B$80,)</f>
        <v>53.9505893019039</v>
      </c>
      <c r="M43" s="22" t="n">
        <f aca="false">IFERROR($B43*M$79/$B$80,)</f>
        <v>0</v>
      </c>
      <c r="N43" s="22" t="n">
        <f aca="false">IFERROR($B43*N$79/$B$80,)</f>
        <v>1.77556946962829</v>
      </c>
      <c r="O43" s="22" t="n">
        <f aca="false">IFERROR($B43*O$79/$B$80,)</f>
        <v>4.39143245693563</v>
      </c>
      <c r="P43" s="22" t="n">
        <f aca="false">SUM(G43:O43)</f>
        <v>112.571649458394</v>
      </c>
      <c r="Q43" s="24" t="n">
        <f aca="false">IFERROR(P43*100/F43,)</f>
        <v>1.55378398148232</v>
      </c>
      <c r="R43" s="25"/>
      <c r="S43" s="26" t="n">
        <f aca="false">IFERROR($B43*S$79/$B$80,)</f>
        <v>0</v>
      </c>
      <c r="T43" s="22" t="n">
        <f aca="false">IFERROR($B43*T$79/$B$80,)</f>
        <v>32.0022098821396</v>
      </c>
      <c r="U43" s="22" t="n">
        <f aca="false">SUM(S43:T43)</f>
        <v>32.0022098821396</v>
      </c>
      <c r="V43" s="24" t="n">
        <f aca="false">IFERROR(U43*100/F43,)</f>
        <v>0.441714422113728</v>
      </c>
      <c r="W43" s="25"/>
      <c r="X43" s="22" t="n">
        <f aca="false">E43-F43-P43+U43</f>
        <v>2313.43056042375</v>
      </c>
      <c r="Y43" s="24" t="n">
        <f aca="false">IFERROR(X43*100/F43,)</f>
        <v>31.931408701501</v>
      </c>
    </row>
    <row r="44" customFormat="false" ht="12.75" hidden="false" customHeight="false" outlineLevel="0" collapsed="false">
      <c r="A44" s="19" t="n">
        <v>90448400</v>
      </c>
      <c r="B44" s="20" t="n">
        <v>100</v>
      </c>
      <c r="C44" s="20" t="n">
        <v>2</v>
      </c>
      <c r="D44" s="21" t="n">
        <v>107</v>
      </c>
      <c r="E44" s="22" t="n">
        <f aca="false">ROUND(D44*$E$4,)</f>
        <v>10112</v>
      </c>
      <c r="F44" s="23" t="n">
        <v>7245</v>
      </c>
      <c r="G44" s="22" t="n">
        <f aca="false">B44/125*20</f>
        <v>16</v>
      </c>
      <c r="H44" s="22"/>
      <c r="I44" s="22"/>
      <c r="J44" s="22" t="n">
        <f aca="false">IFERROR($B44*$J$58/($B$53+$B$59),)</f>
        <v>36.4540582299261</v>
      </c>
      <c r="K44" s="22" t="n">
        <f aca="false">IFERROR($B44*K$79/$B$80,)</f>
        <v>0</v>
      </c>
      <c r="L44" s="22" t="n">
        <f aca="false">IFERROR($B44*L$79/$B$80,)</f>
        <v>53.9505893019039</v>
      </c>
      <c r="M44" s="22" t="n">
        <f aca="false">IFERROR($B44*M$79/$B$80,)</f>
        <v>0</v>
      </c>
      <c r="N44" s="22" t="n">
        <f aca="false">IFERROR($B44*N$79/$B$80,)</f>
        <v>1.77556946962829</v>
      </c>
      <c r="O44" s="22" t="n">
        <f aca="false">IFERROR($B44*O$79/$B$80,)</f>
        <v>4.39143245693563</v>
      </c>
      <c r="P44" s="22" t="n">
        <f aca="false">SUM(G44:O44)</f>
        <v>112.571649458394</v>
      </c>
      <c r="Q44" s="24" t="n">
        <f aca="false">IFERROR(P44*100/F44,)</f>
        <v>1.55378398148232</v>
      </c>
      <c r="R44" s="25"/>
      <c r="S44" s="26" t="n">
        <f aca="false">IFERROR($B44*S$79/$B$80,)</f>
        <v>0</v>
      </c>
      <c r="T44" s="22" t="n">
        <f aca="false">IFERROR($B44*T$79/$B$80,)</f>
        <v>32.0022098821396</v>
      </c>
      <c r="U44" s="22" t="n">
        <f aca="false">SUM(S44:T44)</f>
        <v>32.0022098821396</v>
      </c>
      <c r="V44" s="24" t="n">
        <f aca="false">IFERROR(U44*100/F44,)</f>
        <v>0.441714422113728</v>
      </c>
      <c r="W44" s="25"/>
      <c r="X44" s="22" t="n">
        <f aca="false">E44-F44-P44+U44</f>
        <v>2786.43056042375</v>
      </c>
      <c r="Y44" s="24" t="n">
        <f aca="false">IFERROR(X44*100/F44,)</f>
        <v>38.4600491431849</v>
      </c>
    </row>
    <row r="45" customFormat="false" ht="12.75" hidden="false" customHeight="false" outlineLevel="0" collapsed="false">
      <c r="A45" s="19" t="n">
        <v>90448800</v>
      </c>
      <c r="B45" s="20" t="n">
        <v>50</v>
      </c>
      <c r="C45" s="20" t="n">
        <v>2</v>
      </c>
      <c r="D45" s="21" t="n">
        <v>134.5</v>
      </c>
      <c r="E45" s="22" t="n">
        <f aca="false">ROUND(D45*$E$4,)</f>
        <v>12710</v>
      </c>
      <c r="F45" s="23" t="n">
        <v>9090</v>
      </c>
      <c r="G45" s="22" t="n">
        <f aca="false">B45/125*20</f>
        <v>8</v>
      </c>
      <c r="H45" s="22"/>
      <c r="I45" s="22"/>
      <c r="J45" s="22" t="n">
        <f aca="false">IFERROR($B45*$J$58/($B$53+$B$59),)</f>
        <v>18.2270291149631</v>
      </c>
      <c r="K45" s="22" t="n">
        <f aca="false">IFERROR($B45*K$79/$B$80,)</f>
        <v>0</v>
      </c>
      <c r="L45" s="22" t="n">
        <f aca="false">IFERROR($B45*L$79/$B$80,)</f>
        <v>26.975294650952</v>
      </c>
      <c r="M45" s="22" t="n">
        <f aca="false">IFERROR($B45*M$79/$B$80,)</f>
        <v>0</v>
      </c>
      <c r="N45" s="22" t="n">
        <f aca="false">IFERROR($B45*N$79/$B$80,)</f>
        <v>0.887784734814143</v>
      </c>
      <c r="O45" s="22" t="n">
        <f aca="false">IFERROR($B45*O$79/$B$80,)</f>
        <v>2.19571622846782</v>
      </c>
      <c r="P45" s="22" t="n">
        <f aca="false">SUM(G45:O45)</f>
        <v>56.285824729197</v>
      </c>
      <c r="Q45" s="24" t="n">
        <f aca="false">IFERROR(P45*100/F45,)</f>
        <v>0.619205992620429</v>
      </c>
      <c r="R45" s="25"/>
      <c r="S45" s="26" t="n">
        <f aca="false">IFERROR($B45*S$79/$B$80,)</f>
        <v>0</v>
      </c>
      <c r="T45" s="22" t="n">
        <f aca="false">IFERROR($B45*T$79/$B$80,)</f>
        <v>16.0011049410698</v>
      </c>
      <c r="U45" s="22" t="n">
        <f aca="false">SUM(S45:T45)</f>
        <v>16.0011049410698</v>
      </c>
      <c r="V45" s="24" t="n">
        <f aca="false">IFERROR(U45*100/F45,)</f>
        <v>0.176029757327501</v>
      </c>
      <c r="W45" s="25"/>
      <c r="X45" s="22" t="n">
        <f aca="false">E45-F45-P45+U45</f>
        <v>3579.71528021187</v>
      </c>
      <c r="Y45" s="24" t="n">
        <f aca="false">IFERROR(X45*100/F45,)</f>
        <v>39.3808061629469</v>
      </c>
    </row>
    <row r="46" customFormat="false" ht="12.75" hidden="false" customHeight="false" outlineLevel="0" collapsed="false">
      <c r="A46" s="19" t="n">
        <v>90448820</v>
      </c>
      <c r="B46" s="20" t="n">
        <v>60</v>
      </c>
      <c r="C46" s="20" t="n">
        <v>3</v>
      </c>
      <c r="D46" s="21" t="n">
        <v>241.2</v>
      </c>
      <c r="E46" s="22" t="n">
        <f aca="false">ROUND(D46*$E$4,)</f>
        <v>22793</v>
      </c>
      <c r="F46" s="23" t="n">
        <v>16362</v>
      </c>
      <c r="G46" s="22" t="n">
        <f aca="false">B46/125*20</f>
        <v>9.6</v>
      </c>
      <c r="H46" s="22"/>
      <c r="I46" s="22"/>
      <c r="J46" s="22" t="n">
        <f aca="false">IFERROR($B46*$J$58/($B$53+$B$59),)</f>
        <v>21.8724349379557</v>
      </c>
      <c r="K46" s="22" t="n">
        <f aca="false">IFERROR($B46*K$79/$B$80,)</f>
        <v>0</v>
      </c>
      <c r="L46" s="22" t="n">
        <f aca="false">IFERROR($B46*L$79/$B$80,)</f>
        <v>32.3703535811423</v>
      </c>
      <c r="M46" s="22" t="n">
        <f aca="false">IFERROR($B46*M$79/$B$80,)</f>
        <v>0</v>
      </c>
      <c r="N46" s="22" t="n">
        <f aca="false">IFERROR($B46*N$79/$B$80,)</f>
        <v>1.06534168177697</v>
      </c>
      <c r="O46" s="22" t="n">
        <f aca="false">IFERROR($B46*O$79/$B$80,)</f>
        <v>2.63485947416138</v>
      </c>
      <c r="P46" s="22" t="n">
        <f aca="false">SUM(G46:O46)</f>
        <v>67.5429896750364</v>
      </c>
      <c r="Q46" s="24" t="n">
        <f aca="false">IFERROR(P46*100/F46,)</f>
        <v>0.412803995080286</v>
      </c>
      <c r="R46" s="25"/>
      <c r="S46" s="26" t="n">
        <f aca="false">IFERROR($B46*S$79/$B$80,)</f>
        <v>0</v>
      </c>
      <c r="T46" s="22" t="n">
        <f aca="false">IFERROR($B46*T$79/$B$80,)</f>
        <v>19.2013259292838</v>
      </c>
      <c r="U46" s="22" t="n">
        <f aca="false">SUM(S46:T46)</f>
        <v>19.2013259292838</v>
      </c>
      <c r="V46" s="24" t="n">
        <f aca="false">IFERROR(U46*100/F46,)</f>
        <v>0.117353171551667</v>
      </c>
      <c r="W46" s="25"/>
      <c r="X46" s="22" t="n">
        <f aca="false">E46-F46-P46+U46</f>
        <v>6382.65833625425</v>
      </c>
      <c r="Y46" s="24" t="n">
        <f aca="false">IFERROR(X46*100/F46,)</f>
        <v>39.0090351806274</v>
      </c>
    </row>
    <row r="47" customFormat="false" ht="12.75" hidden="false" customHeight="false" outlineLevel="0" collapsed="false">
      <c r="A47" s="19" t="s">
        <v>42</v>
      </c>
      <c r="B47" s="20" t="n">
        <v>100</v>
      </c>
      <c r="C47" s="20" t="n">
        <v>2</v>
      </c>
      <c r="D47" s="21" t="n">
        <v>60</v>
      </c>
      <c r="E47" s="22" t="n">
        <f aca="false">ROUND(D47*$E$4,)</f>
        <v>5670</v>
      </c>
      <c r="F47" s="23" t="n">
        <v>4293</v>
      </c>
      <c r="G47" s="22" t="n">
        <f aca="false">B47/125*20</f>
        <v>16</v>
      </c>
      <c r="H47" s="22"/>
      <c r="I47" s="22"/>
      <c r="J47" s="22" t="n">
        <f aca="false">IFERROR($B47*$J$58/($B$53+$B$59),)</f>
        <v>36.4540582299261</v>
      </c>
      <c r="K47" s="22" t="n">
        <f aca="false">IFERROR($B47*K$79/$B$80,)</f>
        <v>0</v>
      </c>
      <c r="L47" s="22" t="n">
        <f aca="false">IFERROR($B47*L$79/$B$80,)</f>
        <v>53.9505893019039</v>
      </c>
      <c r="M47" s="22" t="n">
        <f aca="false">IFERROR($B47*M$79/$B$80,)</f>
        <v>0</v>
      </c>
      <c r="N47" s="22" t="n">
        <f aca="false">IFERROR($B47*N$79/$B$80,)</f>
        <v>1.77556946962829</v>
      </c>
      <c r="O47" s="22" t="n">
        <f aca="false">IFERROR($B47*O$79/$B$80,)</f>
        <v>4.39143245693563</v>
      </c>
      <c r="P47" s="22" t="n">
        <f aca="false">SUM(G47:O47)</f>
        <v>112.571649458394</v>
      </c>
      <c r="Q47" s="24" t="n">
        <f aca="false">IFERROR(P47*100/F47,)</f>
        <v>2.6222140567993</v>
      </c>
      <c r="R47" s="25"/>
      <c r="S47" s="26" t="n">
        <f aca="false">IFERROR($B47*S$79/$B$80,)</f>
        <v>0</v>
      </c>
      <c r="T47" s="22" t="n">
        <f aca="false">IFERROR($B47*T$79/$B$80,)</f>
        <v>32.0022098821396</v>
      </c>
      <c r="U47" s="22" t="n">
        <f aca="false">SUM(S47:T47)</f>
        <v>32.0022098821396</v>
      </c>
      <c r="V47" s="24" t="n">
        <f aca="false">IFERROR(U47*100/F47,)</f>
        <v>0.745450963944552</v>
      </c>
      <c r="W47" s="25"/>
      <c r="X47" s="22" t="n">
        <f aca="false">E47-F47-P47+U47</f>
        <v>1296.43056042375</v>
      </c>
      <c r="Y47" s="24" t="n">
        <f aca="false">IFERROR(X47*100/F47,)</f>
        <v>30.1987086052585</v>
      </c>
    </row>
    <row r="48" customFormat="false" ht="12.75" hidden="false" customHeight="false" outlineLevel="0" collapsed="false">
      <c r="A48" s="19" t="n">
        <v>90445600</v>
      </c>
      <c r="B48" s="20" t="n">
        <v>500</v>
      </c>
      <c r="C48" s="20" t="n">
        <v>10</v>
      </c>
      <c r="D48" s="21" t="n">
        <v>315</v>
      </c>
      <c r="E48" s="22" t="n">
        <f aca="false">ROUND(D48*$E$4,)</f>
        <v>29768</v>
      </c>
      <c r="F48" s="23" t="n">
        <v>21465</v>
      </c>
      <c r="G48" s="22" t="n">
        <f aca="false">B48/125*20</f>
        <v>80</v>
      </c>
      <c r="H48" s="22"/>
      <c r="I48" s="22"/>
      <c r="J48" s="22" t="n">
        <f aca="false">IFERROR($B48*$J$58/($B$53+$B$59),)</f>
        <v>182.270291149631</v>
      </c>
      <c r="K48" s="22" t="n">
        <f aca="false">IFERROR($B48*K$79/$B$80,)</f>
        <v>0</v>
      </c>
      <c r="L48" s="22" t="n">
        <f aca="false">IFERROR($B48*L$79/$B$80,)</f>
        <v>269.75294650952</v>
      </c>
      <c r="M48" s="22" t="n">
        <f aca="false">IFERROR($B48*M$79/$B$80,)</f>
        <v>0</v>
      </c>
      <c r="N48" s="22" t="n">
        <f aca="false">IFERROR($B48*N$79/$B$80,)</f>
        <v>8.87784734814143</v>
      </c>
      <c r="O48" s="22" t="n">
        <f aca="false">IFERROR($B48*O$79/$B$80,)</f>
        <v>21.9571622846782</v>
      </c>
      <c r="P48" s="22" t="n">
        <f aca="false">SUM(G48:O48)</f>
        <v>562.85824729197</v>
      </c>
      <c r="Q48" s="24" t="n">
        <f aca="false">IFERROR(P48*100/F48,)</f>
        <v>2.6222140567993</v>
      </c>
      <c r="R48" s="25"/>
      <c r="S48" s="26" t="n">
        <f aca="false">IFERROR($B48*S$79/$B$80,)</f>
        <v>0</v>
      </c>
      <c r="T48" s="22" t="n">
        <f aca="false">IFERROR($B48*T$79/$B$80,)</f>
        <v>160.011049410698</v>
      </c>
      <c r="U48" s="22" t="n">
        <f aca="false">SUM(S48:T48)</f>
        <v>160.011049410698</v>
      </c>
      <c r="V48" s="24" t="n">
        <f aca="false">IFERROR(U48*100/F48,)</f>
        <v>0.745450963944552</v>
      </c>
      <c r="W48" s="25"/>
      <c r="X48" s="22" t="n">
        <f aca="false">E48-F48-P48+U48</f>
        <v>7900.15280211873</v>
      </c>
      <c r="Y48" s="24" t="n">
        <f aca="false">IFERROR(X48*100/F48,)</f>
        <v>36.8048115635627</v>
      </c>
    </row>
    <row r="49" customFormat="false" ht="12.75" hidden="false" customHeight="false" outlineLevel="0" collapsed="false">
      <c r="A49" s="19" t="n">
        <v>90445700</v>
      </c>
      <c r="B49" s="20" t="n">
        <v>200</v>
      </c>
      <c r="C49" s="20" t="n">
        <v>4</v>
      </c>
      <c r="D49" s="21" t="n">
        <v>154</v>
      </c>
      <c r="E49" s="22" t="n">
        <f aca="false">ROUND(D49*$E$4,)</f>
        <v>14553</v>
      </c>
      <c r="F49" s="23" t="n">
        <v>10404</v>
      </c>
      <c r="G49" s="22" t="n">
        <f aca="false">B49/125*20</f>
        <v>32</v>
      </c>
      <c r="H49" s="22"/>
      <c r="I49" s="22"/>
      <c r="J49" s="22" t="n">
        <f aca="false">IFERROR($B49*$J$58/($B$53+$B$59),)</f>
        <v>72.9081164598523</v>
      </c>
      <c r="K49" s="22" t="n">
        <f aca="false">IFERROR($B49*K$79/$B$80,)</f>
        <v>0</v>
      </c>
      <c r="L49" s="22" t="n">
        <f aca="false">IFERROR($B49*L$79/$B$80,)</f>
        <v>107.901178603808</v>
      </c>
      <c r="M49" s="22" t="n">
        <f aca="false">IFERROR($B49*M$79/$B$80,)</f>
        <v>0</v>
      </c>
      <c r="N49" s="22" t="n">
        <f aca="false">IFERROR($B49*N$79/$B$80,)</f>
        <v>3.55113893925657</v>
      </c>
      <c r="O49" s="22" t="n">
        <f aca="false">IFERROR($B49*O$79/$B$80,)</f>
        <v>8.78286491387126</v>
      </c>
      <c r="P49" s="22" t="n">
        <f aca="false">SUM(G49:O49)</f>
        <v>225.143298916788</v>
      </c>
      <c r="Q49" s="24" t="n">
        <f aca="false">IFERROR(P49*100/F49,)</f>
        <v>2.16400710223748</v>
      </c>
      <c r="R49" s="25"/>
      <c r="S49" s="26" t="n">
        <f aca="false">IFERROR($B49*S$79/$B$80,)</f>
        <v>0</v>
      </c>
      <c r="T49" s="22" t="n">
        <f aca="false">IFERROR($B49*T$79/$B$80,)</f>
        <v>64.0044197642792</v>
      </c>
      <c r="U49" s="22" t="n">
        <f aca="false">SUM(S49:T49)</f>
        <v>64.0044197642792</v>
      </c>
      <c r="V49" s="24" t="n">
        <f aca="false">IFERROR(U49*100/F49,)</f>
        <v>0.615190501386767</v>
      </c>
      <c r="W49" s="25"/>
      <c r="X49" s="22" t="n">
        <f aca="false">E49-F49-P49+U49</f>
        <v>3987.86112084749</v>
      </c>
      <c r="Y49" s="24" t="n">
        <f aca="false">IFERROR(X49*100/F49,)</f>
        <v>38.3300761327133</v>
      </c>
    </row>
    <row r="50" customFormat="false" ht="12.75" hidden="false" customHeight="false" outlineLevel="0" collapsed="false">
      <c r="A50" s="19" t="s">
        <v>43</v>
      </c>
      <c r="B50" s="20" t="n">
        <v>200</v>
      </c>
      <c r="C50" s="20" t="n">
        <v>4</v>
      </c>
      <c r="D50" s="21" t="n">
        <v>172</v>
      </c>
      <c r="E50" s="22" t="n">
        <f aca="false">ROUND(D50*$E$4,)</f>
        <v>16254</v>
      </c>
      <c r="F50" s="23" t="n">
        <v>12204</v>
      </c>
      <c r="G50" s="22" t="n">
        <f aca="false">B50/125*20</f>
        <v>32</v>
      </c>
      <c r="H50" s="22"/>
      <c r="I50" s="22"/>
      <c r="J50" s="22" t="n">
        <f aca="false">IFERROR($B50*$J$58/($B$53+$B$59),)</f>
        <v>72.9081164598523</v>
      </c>
      <c r="K50" s="22" t="n">
        <f aca="false">IFERROR($B50*K$79/$B$80,)</f>
        <v>0</v>
      </c>
      <c r="L50" s="22" t="n">
        <f aca="false">IFERROR($B50*L$79/$B$80,)</f>
        <v>107.901178603808</v>
      </c>
      <c r="M50" s="22" t="n">
        <f aca="false">IFERROR($B50*M$79/$B$80,)</f>
        <v>0</v>
      </c>
      <c r="N50" s="22" t="n">
        <f aca="false">IFERROR($B50*N$79/$B$80,)</f>
        <v>3.55113893925657</v>
      </c>
      <c r="O50" s="22" t="n">
        <f aca="false">IFERROR($B50*O$79/$B$80,)</f>
        <v>8.78286491387126</v>
      </c>
      <c r="P50" s="22" t="n">
        <f aca="false">SUM(G50:O50)</f>
        <v>225.143298916788</v>
      </c>
      <c r="Q50" s="24" t="n">
        <f aca="false">IFERROR(P50*100/F50,)</f>
        <v>1.8448320134119</v>
      </c>
      <c r="R50" s="25"/>
      <c r="S50" s="26" t="n">
        <f aca="false">IFERROR($B50*S$79/$B$80,)</f>
        <v>0</v>
      </c>
      <c r="T50" s="22" t="n">
        <f aca="false">IFERROR($B50*T$79/$B$80,)</f>
        <v>64.0044197642792</v>
      </c>
      <c r="U50" s="22" t="n">
        <f aca="false">SUM(S50:T50)</f>
        <v>64.0044197642792</v>
      </c>
      <c r="V50" s="24" t="n">
        <f aca="false">IFERROR(U50*100/F50,)</f>
        <v>0.524454439235326</v>
      </c>
      <c r="W50" s="25"/>
      <c r="X50" s="22" t="n">
        <f aca="false">E50-F50-P50+U50</f>
        <v>3888.86112084749</v>
      </c>
      <c r="Y50" s="24" t="n">
        <f aca="false">IFERROR(X50*100/F50,)</f>
        <v>31.865463133788</v>
      </c>
    </row>
    <row r="51" customFormat="false" ht="12.75" hidden="false" customHeight="false" outlineLevel="0" collapsed="false">
      <c r="A51" s="19" t="n">
        <v>90445800</v>
      </c>
      <c r="B51" s="20" t="n">
        <v>200</v>
      </c>
      <c r="C51" s="20" t="n">
        <v>4</v>
      </c>
      <c r="D51" s="21" t="n">
        <v>178</v>
      </c>
      <c r="E51" s="22" t="n">
        <f aca="false">ROUND(D51*$E$4,)</f>
        <v>16821</v>
      </c>
      <c r="F51" s="23" t="n">
        <v>12204</v>
      </c>
      <c r="G51" s="22" t="n">
        <f aca="false">B51/125*20</f>
        <v>32</v>
      </c>
      <c r="H51" s="22"/>
      <c r="I51" s="22"/>
      <c r="J51" s="22" t="n">
        <f aca="false">IFERROR($B51*$J$58/($B$53+$B$59),)</f>
        <v>72.9081164598523</v>
      </c>
      <c r="K51" s="22" t="n">
        <f aca="false">IFERROR($B51*K$79/$B$80,)</f>
        <v>0</v>
      </c>
      <c r="L51" s="22" t="n">
        <f aca="false">IFERROR($B51*L$79/$B$80,)</f>
        <v>107.901178603808</v>
      </c>
      <c r="M51" s="22" t="n">
        <f aca="false">IFERROR($B51*M$79/$B$80,)</f>
        <v>0</v>
      </c>
      <c r="N51" s="22" t="n">
        <f aca="false">IFERROR($B51*N$79/$B$80,)</f>
        <v>3.55113893925657</v>
      </c>
      <c r="O51" s="22" t="n">
        <f aca="false">IFERROR($B51*O$79/$B$80,)</f>
        <v>8.78286491387126</v>
      </c>
      <c r="P51" s="22" t="n">
        <f aca="false">SUM(G51:O51)</f>
        <v>225.143298916788</v>
      </c>
      <c r="Q51" s="24" t="n">
        <f aca="false">IFERROR(P51*100/F51,)</f>
        <v>1.8448320134119</v>
      </c>
      <c r="R51" s="25"/>
      <c r="S51" s="26" t="n">
        <f aca="false">IFERROR($B51*S$79/$B$80,)</f>
        <v>0</v>
      </c>
      <c r="T51" s="22" t="n">
        <f aca="false">IFERROR($B51*T$79/$B$80,)</f>
        <v>64.0044197642792</v>
      </c>
      <c r="U51" s="22" t="n">
        <f aca="false">SUM(S51:T51)</f>
        <v>64.0044197642792</v>
      </c>
      <c r="V51" s="24" t="n">
        <f aca="false">IFERROR(U51*100/F51,)</f>
        <v>0.524454439235326</v>
      </c>
      <c r="W51" s="25"/>
      <c r="X51" s="22" t="n">
        <f aca="false">E51-F51-P51+U51</f>
        <v>4455.86112084749</v>
      </c>
      <c r="Y51" s="24" t="n">
        <f aca="false">IFERROR(X51*100/F51,)</f>
        <v>36.5114808329031</v>
      </c>
    </row>
    <row r="52" customFormat="false" ht="12.75" hidden="false" customHeight="false" outlineLevel="0" collapsed="false">
      <c r="A52" s="19"/>
      <c r="B52" s="27"/>
      <c r="C52" s="27"/>
      <c r="D52" s="21"/>
      <c r="E52" s="22"/>
      <c r="F52" s="28"/>
      <c r="G52" s="29"/>
      <c r="H52" s="29"/>
      <c r="I52" s="29"/>
      <c r="J52" s="29"/>
      <c r="K52" s="22"/>
      <c r="L52" s="22"/>
      <c r="M52" s="22"/>
      <c r="N52" s="22"/>
      <c r="O52" s="22"/>
      <c r="P52" s="22"/>
      <c r="Q52" s="24"/>
      <c r="R52" s="30"/>
      <c r="S52" s="26"/>
      <c r="T52" s="22"/>
      <c r="U52" s="22"/>
      <c r="V52" s="24"/>
      <c r="W52" s="30"/>
      <c r="X52" s="22"/>
      <c r="Y52" s="24"/>
    </row>
    <row r="53" customFormat="false" ht="12.75" hidden="false" customHeight="false" outlineLevel="0" collapsed="false">
      <c r="A53" s="19"/>
      <c r="B53" s="4" t="n">
        <f aca="false">SUM(B5:B51)</f>
        <v>40395</v>
      </c>
      <c r="C53" s="4" t="n">
        <f aca="false">SUM(C5:C51)</f>
        <v>308</v>
      </c>
      <c r="D53" s="21"/>
      <c r="E53" s="22"/>
      <c r="F53" s="31" t="n">
        <f aca="false">SUM(F5:F51)</f>
        <v>943795.3</v>
      </c>
      <c r="G53" s="31" t="n">
        <f aca="false">SUM(G5:G51)</f>
        <v>6463.2</v>
      </c>
      <c r="H53" s="31" t="n">
        <f aca="false">SUM(H5:H51)</f>
        <v>0</v>
      </c>
      <c r="I53" s="31" t="n">
        <f aca="false">SUM(I5:I51)</f>
        <v>0</v>
      </c>
      <c r="J53" s="31" t="n">
        <f aca="false">SUM(J5:J51)</f>
        <v>14725.6168219787</v>
      </c>
      <c r="K53" s="32"/>
      <c r="L53" s="32"/>
      <c r="M53" s="32"/>
      <c r="N53" s="32"/>
      <c r="O53" s="32"/>
      <c r="P53" s="22"/>
      <c r="Q53" s="24"/>
      <c r="S53" s="33"/>
      <c r="T53" s="32"/>
      <c r="U53" s="22"/>
      <c r="V53" s="24"/>
      <c r="X53" s="22"/>
      <c r="Y53" s="24"/>
    </row>
    <row r="54" customFormat="false" ht="12.75" hidden="false" customHeight="false" outlineLevel="0" collapsed="false">
      <c r="A54" s="19"/>
      <c r="B54" s="34"/>
      <c r="C54" s="20"/>
      <c r="D54" s="21"/>
      <c r="E54" s="22"/>
      <c r="F54" s="23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4"/>
      <c r="S54" s="26"/>
      <c r="T54" s="22"/>
      <c r="U54" s="22"/>
      <c r="V54" s="24"/>
      <c r="X54" s="22"/>
      <c r="Y54" s="24"/>
    </row>
    <row r="55" customFormat="false" ht="12.75" hidden="false" customHeight="false" outlineLevel="0" collapsed="false">
      <c r="A55" s="35" t="s">
        <v>44</v>
      </c>
      <c r="B55" s="20" t="n">
        <v>750</v>
      </c>
      <c r="C55" s="20" t="n">
        <v>50</v>
      </c>
      <c r="D55" s="21" t="n">
        <v>637.5</v>
      </c>
      <c r="E55" s="22" t="n">
        <f aca="false">ROUND(D55*$E$4,)</f>
        <v>60244</v>
      </c>
      <c r="F55" s="23" t="n">
        <v>26250</v>
      </c>
      <c r="G55" s="22" t="n">
        <f aca="false">B55/125*20</f>
        <v>120</v>
      </c>
      <c r="H55" s="22" t="n">
        <f aca="false">C55*$H$4</f>
        <v>2800</v>
      </c>
      <c r="I55" s="22"/>
      <c r="J55" s="22" t="n">
        <f aca="false">IFERROR($B55*$J$58/($B$53+$B$59),)</f>
        <v>273.405436724446</v>
      </c>
      <c r="K55" s="22" t="n">
        <f aca="false">IFERROR($B55*K$79/$B$80,)</f>
        <v>0</v>
      </c>
      <c r="L55" s="22" t="n">
        <f aca="false">IFERROR($B55*L$79/$B$80,)</f>
        <v>404.629419764279</v>
      </c>
      <c r="M55" s="22" t="n">
        <f aca="false">IFERROR($B55*M$79/$B$80,)</f>
        <v>0</v>
      </c>
      <c r="N55" s="22" t="n">
        <f aca="false">IFERROR($B55*N$79/$B$80,)</f>
        <v>13.3167710222122</v>
      </c>
      <c r="O55" s="22" t="n">
        <f aca="false">IFERROR($B55*O$79/$B$80,)</f>
        <v>32.9357434270172</v>
      </c>
      <c r="P55" s="22" t="n">
        <f aca="false">SUM(G55:O55)</f>
        <v>3644.28737093795</v>
      </c>
      <c r="Q55" s="24" t="n">
        <f aca="false">IFERROR(P55*100/F55,)</f>
        <v>13.8829995083351</v>
      </c>
      <c r="S55" s="26" t="n">
        <f aca="false">IFERROR($B55*S$79/$B$80,)</f>
        <v>0</v>
      </c>
      <c r="T55" s="22" t="n">
        <f aca="false">IFERROR($B55*T$79/$B$80,)</f>
        <v>240.016574116047</v>
      </c>
      <c r="U55" s="22" t="n">
        <f aca="false">SUM(S55:T55)</f>
        <v>240.016574116047</v>
      </c>
      <c r="V55" s="24" t="n">
        <f aca="false">IFERROR(U55*100/F55,)</f>
        <v>0.914348853775418</v>
      </c>
      <c r="X55" s="22" t="n">
        <f aca="false">E55-F55-P55+U55</f>
        <v>30589.7292031781</v>
      </c>
      <c r="Y55" s="24" t="n">
        <f aca="false">IFERROR(X55*100/F55,)</f>
        <v>116.532301726393</v>
      </c>
    </row>
    <row r="56" customFormat="false" ht="12.75" hidden="false" customHeight="false" outlineLevel="0" collapsed="false">
      <c r="A56" s="35" t="s">
        <v>45</v>
      </c>
      <c r="B56" s="20" t="n">
        <v>270</v>
      </c>
      <c r="C56" s="20" t="n">
        <v>18</v>
      </c>
      <c r="D56" s="21" t="n">
        <v>229.5</v>
      </c>
      <c r="E56" s="22" t="n">
        <f aca="false">ROUND(D56*$E$4,)</f>
        <v>21688</v>
      </c>
      <c r="F56" s="23" t="n">
        <v>10260</v>
      </c>
      <c r="G56" s="22" t="n">
        <f aca="false">B56/125*20</f>
        <v>43.2</v>
      </c>
      <c r="H56" s="22" t="n">
        <f aca="false">C56*$H$4</f>
        <v>1008</v>
      </c>
      <c r="I56" s="22"/>
      <c r="J56" s="22" t="n">
        <f aca="false">IFERROR($B56*$J$58/($B$53+$B$59),)</f>
        <v>98.4259572208005</v>
      </c>
      <c r="K56" s="22" t="n">
        <f aca="false">IFERROR($B56*K$79/$B$80,)</f>
        <v>0</v>
      </c>
      <c r="L56" s="22" t="n">
        <f aca="false">IFERROR($B56*L$79/$B$80,)</f>
        <v>145.666591115141</v>
      </c>
      <c r="M56" s="22" t="n">
        <f aca="false">IFERROR($B56*M$79/$B$80,)</f>
        <v>0</v>
      </c>
      <c r="N56" s="22" t="n">
        <f aca="false">IFERROR($B56*N$79/$B$80,)</f>
        <v>4.79403756799637</v>
      </c>
      <c r="O56" s="22" t="n">
        <f aca="false">IFERROR($B56*O$79/$B$80,)</f>
        <v>11.8568676337262</v>
      </c>
      <c r="P56" s="22" t="n">
        <f aca="false">SUM(G56:O56)</f>
        <v>1311.94345353766</v>
      </c>
      <c r="Q56" s="24" t="n">
        <f aca="false">IFERROR(P56*100/F56,)</f>
        <v>12.7869732313612</v>
      </c>
      <c r="S56" s="26" t="n">
        <f aca="false">IFERROR($B56*S$79/$B$80,)</f>
        <v>0</v>
      </c>
      <c r="T56" s="22" t="n">
        <f aca="false">IFERROR($B56*T$79/$B$80,)</f>
        <v>86.405966681777</v>
      </c>
      <c r="U56" s="22" t="n">
        <f aca="false">SUM(S56:T56)</f>
        <v>86.405966681777</v>
      </c>
      <c r="V56" s="24" t="n">
        <f aca="false">IFERROR(U56*100/F56,)</f>
        <v>0.842163417951043</v>
      </c>
      <c r="X56" s="22" t="n">
        <f aca="false">E56-F56-P56+U56</f>
        <v>10202.4625131441</v>
      </c>
      <c r="Y56" s="24" t="n">
        <f aca="false">IFERROR(X56*100/F56,)</f>
        <v>99.4392057811317</v>
      </c>
    </row>
    <row r="57" customFormat="false" ht="12.75" hidden="false" customHeight="false" outlineLevel="0" collapsed="false">
      <c r="A57" s="35" t="s">
        <v>45</v>
      </c>
      <c r="B57" s="20" t="n">
        <v>7</v>
      </c>
      <c r="C57" s="20" t="n">
        <v>1</v>
      </c>
      <c r="D57" s="21" t="n">
        <v>5.95</v>
      </c>
      <c r="E57" s="22" t="n">
        <f aca="false">ROUND(D57*$E$4,)</f>
        <v>562</v>
      </c>
      <c r="F57" s="23" t="n">
        <v>266</v>
      </c>
      <c r="G57" s="22" t="n">
        <f aca="false">B57/125*20</f>
        <v>1.12</v>
      </c>
      <c r="H57" s="22" t="n">
        <f aca="false">C57*$H$4</f>
        <v>56</v>
      </c>
      <c r="I57" s="22"/>
      <c r="J57" s="22" t="n">
        <f aca="false">IFERROR($B57*$J$58/($B$53+$B$59),)</f>
        <v>2.55178407609483</v>
      </c>
      <c r="K57" s="22" t="n">
        <f aca="false">IFERROR($B57*K$79/$B$80,)</f>
        <v>0</v>
      </c>
      <c r="L57" s="22" t="n">
        <f aca="false">IFERROR($B57*L$79/$B$80,)</f>
        <v>3.77654125113327</v>
      </c>
      <c r="M57" s="22" t="n">
        <f aca="false">IFERROR($B57*M$79/$B$80,)</f>
        <v>0</v>
      </c>
      <c r="N57" s="22" t="n">
        <f aca="false">IFERROR($B57*N$79/$B$80,)</f>
        <v>0.12428986287398</v>
      </c>
      <c r="O57" s="22" t="n">
        <f aca="false">IFERROR($B57*O$79/$B$80,)</f>
        <v>0.307400271985494</v>
      </c>
      <c r="P57" s="22" t="n">
        <f aca="false">SUM(G57:O57)</f>
        <v>63.8800154620876</v>
      </c>
      <c r="Q57" s="24" t="n">
        <f aca="false">IFERROR(P57*100/F57,)</f>
        <v>24.0150434067998</v>
      </c>
      <c r="S57" s="26" t="n">
        <f aca="false">IFERROR($B57*S$79/$B$80,)</f>
        <v>0</v>
      </c>
      <c r="T57" s="22" t="n">
        <f aca="false">IFERROR($B57*T$79/$B$80,)</f>
        <v>2.24015469174977</v>
      </c>
      <c r="U57" s="22" t="n">
        <f aca="false">SUM(S57:T57)</f>
        <v>2.24015469174977</v>
      </c>
      <c r="V57" s="24" t="n">
        <f aca="false">IFERROR(U57*100/F57,)</f>
        <v>0.842163417951043</v>
      </c>
      <c r="X57" s="22" t="n">
        <f aca="false">E57-F57-P57+U57</f>
        <v>234.360139229662</v>
      </c>
      <c r="Y57" s="24" t="n">
        <f aca="false">IFERROR(X57*100/F57,)</f>
        <v>88.105315499873</v>
      </c>
    </row>
    <row r="58" customFormat="false" ht="12.75" hidden="false" customHeight="false" outlineLevel="0" collapsed="false">
      <c r="A58" s="19"/>
      <c r="B58" s="20"/>
      <c r="C58" s="20"/>
      <c r="D58" s="36"/>
      <c r="E58" s="22"/>
      <c r="F58" s="23"/>
      <c r="G58" s="23"/>
      <c r="H58" s="23"/>
      <c r="I58" s="23"/>
      <c r="J58" s="37" t="n">
        <v>15100</v>
      </c>
      <c r="K58" s="22"/>
      <c r="L58" s="22"/>
      <c r="M58" s="22"/>
      <c r="N58" s="22"/>
      <c r="O58" s="22"/>
      <c r="P58" s="22"/>
      <c r="Q58" s="24"/>
      <c r="S58" s="26"/>
      <c r="T58" s="22"/>
      <c r="U58" s="22"/>
      <c r="V58" s="24"/>
      <c r="X58" s="22"/>
      <c r="Y58" s="24"/>
    </row>
    <row r="59" customFormat="false" ht="12.75" hidden="false" customHeight="false" outlineLevel="0" collapsed="false">
      <c r="A59" s="19"/>
      <c r="B59" s="4" t="n">
        <f aca="false">SUM(B55:B57)</f>
        <v>1027</v>
      </c>
      <c r="C59" s="4" t="n">
        <f aca="false">SUM(C55:C57)</f>
        <v>69</v>
      </c>
      <c r="D59" s="36"/>
      <c r="E59" s="22"/>
      <c r="F59" s="31" t="n">
        <f aca="false">SUM(F55:F57)</f>
        <v>36776</v>
      </c>
      <c r="G59" s="31" t="n">
        <f aca="false">SUM(G55:G57)</f>
        <v>164.32</v>
      </c>
      <c r="H59" s="31" t="n">
        <f aca="false">SUM(H55:H57)</f>
        <v>3864</v>
      </c>
      <c r="I59" s="31" t="n">
        <f aca="false">SUM(I55:I57)</f>
        <v>0</v>
      </c>
      <c r="J59" s="31" t="n">
        <f aca="false">SUM(J55:J57)+J53</f>
        <v>15100</v>
      </c>
      <c r="K59" s="22"/>
      <c r="L59" s="22"/>
      <c r="M59" s="22"/>
      <c r="N59" s="22"/>
      <c r="O59" s="22"/>
      <c r="P59" s="22"/>
      <c r="Q59" s="24"/>
      <c r="S59" s="26"/>
      <c r="T59" s="22"/>
      <c r="U59" s="22"/>
      <c r="V59" s="24"/>
      <c r="X59" s="22"/>
      <c r="Y59" s="24"/>
    </row>
    <row r="60" customFormat="false" ht="12.75" hidden="false" customHeight="false" outlineLevel="0" collapsed="false">
      <c r="A60" s="19"/>
      <c r="B60" s="20"/>
      <c r="C60" s="20"/>
      <c r="D60" s="21"/>
      <c r="E60" s="22"/>
      <c r="F60" s="23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4"/>
      <c r="S60" s="26"/>
      <c r="T60" s="22"/>
      <c r="U60" s="22"/>
      <c r="V60" s="24"/>
      <c r="X60" s="22"/>
      <c r="Y60" s="24"/>
    </row>
    <row r="61" customFormat="false" ht="12.75" hidden="false" customHeight="false" outlineLevel="0" collapsed="false">
      <c r="A61" s="19" t="s">
        <v>46</v>
      </c>
      <c r="B61" s="20" t="n">
        <v>300</v>
      </c>
      <c r="C61" s="38" t="n">
        <v>1</v>
      </c>
      <c r="D61" s="21" t="n">
        <v>43.2</v>
      </c>
      <c r="E61" s="22" t="n">
        <f aca="false">ROUND(D61*$E$4,)</f>
        <v>4082</v>
      </c>
      <c r="F61" s="23" t="n">
        <v>2808</v>
      </c>
      <c r="G61" s="22" t="n">
        <f aca="false">B61/125*20</f>
        <v>48</v>
      </c>
      <c r="H61" s="22" t="n">
        <f aca="false">C61*$H$4</f>
        <v>56</v>
      </c>
      <c r="I61" s="22" t="n">
        <f aca="false">F61*3%</f>
        <v>84.24</v>
      </c>
      <c r="J61" s="22" t="n">
        <f aca="false">IFERROR($B61*J$74/($B$75),)</f>
        <v>51.4226945491944</v>
      </c>
      <c r="K61" s="22" t="n">
        <f aca="false">IFERROR($B61*K$79/$B$80,)</f>
        <v>0</v>
      </c>
      <c r="L61" s="22" t="n">
        <f aca="false">IFERROR($B61*L$79/$B$80,)</f>
        <v>161.851767905712</v>
      </c>
      <c r="M61" s="22" t="n">
        <f aca="false">IFERROR($B61*M$79/$B$80,)</f>
        <v>0</v>
      </c>
      <c r="N61" s="22" t="n">
        <f aca="false">IFERROR($B61*N$79/$B$80,)</f>
        <v>5.32670840888486</v>
      </c>
      <c r="O61" s="22" t="n">
        <f aca="false">IFERROR($B61*O$79/$B$80,)</f>
        <v>13.1742973708069</v>
      </c>
      <c r="P61" s="22" t="n">
        <f aca="false">SUM(G61:O61)</f>
        <v>420.015468234598</v>
      </c>
      <c r="Q61" s="24" t="n">
        <f aca="false">IFERROR(P61*100/F61,)</f>
        <v>14.9578158203204</v>
      </c>
      <c r="S61" s="26" t="n">
        <f aca="false">IFERROR($B61*S$79/$B$80,)</f>
        <v>0</v>
      </c>
      <c r="T61" s="22" t="n">
        <f aca="false">IFERROR($B61*T$79/$B$80,)</f>
        <v>96.0066296464189</v>
      </c>
      <c r="U61" s="22" t="n">
        <f aca="false">SUM(S61:T61)</f>
        <v>96.0066296464189</v>
      </c>
      <c r="V61" s="24" t="n">
        <f aca="false">IFERROR(U61*100/F61,)</f>
        <v>3.41903951732261</v>
      </c>
      <c r="X61" s="22" t="n">
        <f aca="false">E61-F61-P61+U61</f>
        <v>949.991161411821</v>
      </c>
      <c r="Y61" s="24" t="n">
        <f aca="false">IFERROR(X61*100/F61,)</f>
        <v>33.8315940673726</v>
      </c>
    </row>
    <row r="62" customFormat="false" ht="12.75" hidden="false" customHeight="false" outlineLevel="0" collapsed="false">
      <c r="A62" s="19" t="s">
        <v>47</v>
      </c>
      <c r="B62" s="20" t="n">
        <v>4000</v>
      </c>
      <c r="C62" s="38" t="n">
        <v>2</v>
      </c>
      <c r="D62" s="21" t="n">
        <v>552</v>
      </c>
      <c r="E62" s="22" t="n">
        <f aca="false">ROUND(D62*$E$4,)</f>
        <v>52164</v>
      </c>
      <c r="F62" s="23" t="n">
        <v>7320</v>
      </c>
      <c r="G62" s="22" t="n">
        <f aca="false">B62/125*20</f>
        <v>640</v>
      </c>
      <c r="H62" s="22" t="n">
        <f aca="false">C62*$H$4</f>
        <v>112</v>
      </c>
      <c r="I62" s="22" t="n">
        <f aca="false">F62*3%</f>
        <v>219.6</v>
      </c>
      <c r="J62" s="22" t="n">
        <f aca="false">IFERROR($B62*J$74/($B$75),)</f>
        <v>685.635927322592</v>
      </c>
      <c r="K62" s="22" t="n">
        <f aca="false">IFERROR($B62*K$79/$B$80,)</f>
        <v>0</v>
      </c>
      <c r="L62" s="22" t="n">
        <f aca="false">IFERROR($B62*L$79/$B$80,)</f>
        <v>2158.02357207616</v>
      </c>
      <c r="M62" s="22" t="n">
        <f aca="false">IFERROR($B62*M$79/$B$80,)</f>
        <v>0</v>
      </c>
      <c r="N62" s="22" t="n">
        <f aca="false">IFERROR($B62*N$79/$B$80,)</f>
        <v>71.0227787851315</v>
      </c>
      <c r="O62" s="22" t="n">
        <f aca="false">IFERROR($B62*O$79/$B$80,)</f>
        <v>175.657298277425</v>
      </c>
      <c r="P62" s="22" t="n">
        <f aca="false">SUM(G62:O62)</f>
        <v>4061.9395764613</v>
      </c>
      <c r="Q62" s="24" t="n">
        <f aca="false">IFERROR(P62*100/F62,)</f>
        <v>55.4909778205096</v>
      </c>
      <c r="S62" s="26" t="n">
        <f aca="false">IFERROR($B62*S$79/$B$80,)</f>
        <v>0</v>
      </c>
      <c r="T62" s="22" t="n">
        <f aca="false">IFERROR($B62*T$79/$B$80,)</f>
        <v>1280.08839528558</v>
      </c>
      <c r="U62" s="22" t="n">
        <f aca="false">SUM(S62:T62)</f>
        <v>1280.08839528558</v>
      </c>
      <c r="V62" s="24" t="n">
        <f aca="false">IFERROR(U62*100/F62,)</f>
        <v>17.4875463836829</v>
      </c>
      <c r="X62" s="22" t="n">
        <f aca="false">E62-F62-P62+U62</f>
        <v>42062.1488188243</v>
      </c>
      <c r="Y62" s="24" t="n">
        <f aca="false">IFERROR(X62*100/F62,)</f>
        <v>574.619519382845</v>
      </c>
    </row>
    <row r="63" customFormat="false" ht="12.75" hidden="false" customHeight="false" outlineLevel="0" collapsed="false">
      <c r="A63" s="19" t="s">
        <v>48</v>
      </c>
      <c r="B63" s="20" t="n">
        <v>10000</v>
      </c>
      <c r="C63" s="38" t="n">
        <v>4</v>
      </c>
      <c r="D63" s="21" t="n">
        <v>960</v>
      </c>
      <c r="E63" s="22" t="n">
        <f aca="false">ROUND(D63*$E$4,)</f>
        <v>90720</v>
      </c>
      <c r="F63" s="23" t="n">
        <v>54000</v>
      </c>
      <c r="G63" s="22" t="n">
        <f aca="false">B63/125*20</f>
        <v>1600</v>
      </c>
      <c r="H63" s="22" t="n">
        <f aca="false">C63*$H$4</f>
        <v>224</v>
      </c>
      <c r="I63" s="22" t="n">
        <f aca="false">F63*3%</f>
        <v>1620</v>
      </c>
      <c r="J63" s="22" t="n">
        <f aca="false">IFERROR($B63*J$74/($B$75),)</f>
        <v>1714.08981830648</v>
      </c>
      <c r="K63" s="22" t="n">
        <f aca="false">IFERROR($B63*K$79/$B$80,)</f>
        <v>0</v>
      </c>
      <c r="L63" s="22" t="n">
        <f aca="false">IFERROR($B63*L$79/$B$80,)</f>
        <v>5395.05893019039</v>
      </c>
      <c r="M63" s="22" t="n">
        <f aca="false">IFERROR($B63*M$79/$B$80,)</f>
        <v>0</v>
      </c>
      <c r="N63" s="22" t="n">
        <f aca="false">IFERROR($B63*N$79/$B$80,)</f>
        <v>177.556946962829</v>
      </c>
      <c r="O63" s="22" t="n">
        <f aca="false">IFERROR($B63*O$79/$B$80,)</f>
        <v>439.143245693563</v>
      </c>
      <c r="P63" s="22" t="n">
        <f aca="false">SUM(G63:O63)</f>
        <v>11169.8489411533</v>
      </c>
      <c r="Q63" s="24" t="n">
        <f aca="false">IFERROR(P63*100/F63,)</f>
        <v>20.6849054465801</v>
      </c>
      <c r="S63" s="26" t="n">
        <f aca="false">IFERROR($B63*S$79/$B$80,)</f>
        <v>0</v>
      </c>
      <c r="T63" s="22" t="n">
        <f aca="false">IFERROR($B63*T$79/$B$80,)</f>
        <v>3200.22098821396</v>
      </c>
      <c r="U63" s="22" t="n">
        <f aca="false">SUM(S63:T63)</f>
        <v>3200.22098821396</v>
      </c>
      <c r="V63" s="24" t="n">
        <f aca="false">IFERROR(U63*100/F63,)</f>
        <v>5.92633516335919</v>
      </c>
      <c r="X63" s="22" t="n">
        <f aca="false">E63-F63-P63+U63</f>
        <v>28750.3720470607</v>
      </c>
      <c r="Y63" s="24" t="n">
        <f aca="false">IFERROR(X63*100/F63,)</f>
        <v>53.2414297167791</v>
      </c>
    </row>
    <row r="64" customFormat="false" ht="12.75" hidden="false" customHeight="false" outlineLevel="0" collapsed="false">
      <c r="A64" s="19" t="s">
        <v>49</v>
      </c>
      <c r="B64" s="20" t="n">
        <v>3000</v>
      </c>
      <c r="C64" s="38" t="n">
        <v>2</v>
      </c>
      <c r="D64" s="21" t="n">
        <v>360</v>
      </c>
      <c r="E64" s="22" t="n">
        <f aca="false">ROUND(D64*$E$4,)</f>
        <v>34020</v>
      </c>
      <c r="F64" s="23" t="n">
        <v>19500</v>
      </c>
      <c r="G64" s="22" t="n">
        <f aca="false">B64/125*20</f>
        <v>480</v>
      </c>
      <c r="H64" s="22" t="n">
        <f aca="false">C64*$H$4</f>
        <v>112</v>
      </c>
      <c r="I64" s="22" t="n">
        <f aca="false">F64*3%</f>
        <v>585</v>
      </c>
      <c r="J64" s="22" t="n">
        <f aca="false">IFERROR($B64*J$74/($B$75),)</f>
        <v>514.226945491944</v>
      </c>
      <c r="K64" s="22" t="n">
        <f aca="false">IFERROR($B64*K$79/$B$80,)</f>
        <v>0</v>
      </c>
      <c r="L64" s="22" t="n">
        <f aca="false">IFERROR($B64*L$79/$B$80,)</f>
        <v>1618.51767905712</v>
      </c>
      <c r="M64" s="22" t="n">
        <f aca="false">IFERROR($B64*M$79/$B$80,)</f>
        <v>0</v>
      </c>
      <c r="N64" s="22" t="n">
        <f aca="false">IFERROR($B64*N$79/$B$80,)</f>
        <v>53.2670840888486</v>
      </c>
      <c r="O64" s="22" t="n">
        <f aca="false">IFERROR($B64*O$79/$B$80,)</f>
        <v>131.742973708069</v>
      </c>
      <c r="P64" s="22" t="n">
        <f aca="false">SUM(G64:O64)</f>
        <v>3494.75468234598</v>
      </c>
      <c r="Q64" s="24" t="n">
        <f aca="false">IFERROR(P64*100/F64,)</f>
        <v>17.9218188838255</v>
      </c>
      <c r="S64" s="26" t="n">
        <f aca="false">IFERROR($B64*S$79/$B$80,)</f>
        <v>0</v>
      </c>
      <c r="T64" s="22" t="n">
        <f aca="false">IFERROR($B64*T$79/$B$80,)</f>
        <v>960.066296464189</v>
      </c>
      <c r="U64" s="22" t="n">
        <f aca="false">SUM(S64:T64)</f>
        <v>960.066296464189</v>
      </c>
      <c r="V64" s="24" t="n">
        <f aca="false">IFERROR(U64*100/F64,)</f>
        <v>4.92341690494456</v>
      </c>
      <c r="X64" s="22" t="n">
        <f aca="false">E64-F64-P64+U64</f>
        <v>11985.3116141182</v>
      </c>
      <c r="Y64" s="24" t="n">
        <f aca="false">IFERROR(X64*100/F64,)</f>
        <v>61.4631364826575</v>
      </c>
    </row>
    <row r="65" customFormat="false" ht="12.75" hidden="false" customHeight="false" outlineLevel="0" collapsed="false">
      <c r="A65" s="19" t="s">
        <v>50</v>
      </c>
      <c r="B65" s="20" t="n">
        <v>900</v>
      </c>
      <c r="C65" s="38" t="n">
        <v>1</v>
      </c>
      <c r="D65" s="21" t="n">
        <v>140.4</v>
      </c>
      <c r="E65" s="22" t="n">
        <f aca="false">ROUND(D65*$E$4,)</f>
        <v>13268</v>
      </c>
      <c r="F65" s="23" t="n">
        <v>8802</v>
      </c>
      <c r="G65" s="22" t="n">
        <f aca="false">B65/125*20</f>
        <v>144</v>
      </c>
      <c r="H65" s="22" t="n">
        <f aca="false">C65*$H$4</f>
        <v>56</v>
      </c>
      <c r="I65" s="22" t="n">
        <f aca="false">F65*3%</f>
        <v>264.06</v>
      </c>
      <c r="J65" s="22" t="n">
        <f aca="false">IFERROR($B65*J$74/($B$75),)</f>
        <v>154.268083647583</v>
      </c>
      <c r="K65" s="22" t="n">
        <f aca="false">IFERROR($B65*K$79/$B$80,)</f>
        <v>0</v>
      </c>
      <c r="L65" s="22" t="n">
        <f aca="false">IFERROR($B65*L$79/$B$80,)</f>
        <v>485.555303717135</v>
      </c>
      <c r="M65" s="22" t="n">
        <f aca="false">IFERROR($B65*M$79/$B$80,)</f>
        <v>0</v>
      </c>
      <c r="N65" s="22" t="n">
        <f aca="false">IFERROR($B65*N$79/$B$80,)</f>
        <v>15.9801252266546</v>
      </c>
      <c r="O65" s="22" t="n">
        <f aca="false">IFERROR($B65*O$79/$B$80,)</f>
        <v>39.5228921124207</v>
      </c>
      <c r="P65" s="22" t="n">
        <f aca="false">SUM(G65:O65)</f>
        <v>1159.38640470379</v>
      </c>
      <c r="Q65" s="24" t="n">
        <f aca="false">IFERROR(P65*100/F65,)</f>
        <v>13.1718519052919</v>
      </c>
      <c r="S65" s="26" t="n">
        <f aca="false">IFERROR($B65*S$79/$B$80,)</f>
        <v>0</v>
      </c>
      <c r="T65" s="22" t="n">
        <f aca="false">IFERROR($B65*T$79/$B$80,)</f>
        <v>288.019888939257</v>
      </c>
      <c r="U65" s="22" t="n">
        <f aca="false">SUM(S65:T65)</f>
        <v>288.019888939257</v>
      </c>
      <c r="V65" s="24" t="n">
        <f aca="false">IFERROR(U65*100/F65,)</f>
        <v>3.27220959940078</v>
      </c>
      <c r="X65" s="22" t="n">
        <f aca="false">E65-F65-P65+U65</f>
        <v>3594.63348423546</v>
      </c>
      <c r="Y65" s="24" t="n">
        <f aca="false">IFERROR(X65*100/F65,)</f>
        <v>40.8388262239885</v>
      </c>
    </row>
    <row r="66" customFormat="false" ht="12.75" hidden="false" customHeight="false" outlineLevel="0" collapsed="false">
      <c r="A66" s="19" t="s">
        <v>51</v>
      </c>
      <c r="B66" s="20" t="n">
        <v>1400</v>
      </c>
      <c r="C66" s="38" t="n">
        <v>4</v>
      </c>
      <c r="D66" s="21" t="n">
        <v>470.4</v>
      </c>
      <c r="E66" s="22" t="n">
        <f aca="false">ROUND(D66*$E$4,)</f>
        <v>44453</v>
      </c>
      <c r="F66" s="23" t="n">
        <v>33390</v>
      </c>
      <c r="G66" s="22" t="n">
        <f aca="false">B66/125*20</f>
        <v>224</v>
      </c>
      <c r="H66" s="22" t="n">
        <f aca="false">C66*$H$4</f>
        <v>224</v>
      </c>
      <c r="I66" s="22" t="n">
        <f aca="false">F66*3%</f>
        <v>1001.7</v>
      </c>
      <c r="J66" s="22" t="n">
        <f aca="false">IFERROR($B66*J$74/($B$75),)</f>
        <v>239.972574562907</v>
      </c>
      <c r="K66" s="22" t="n">
        <f aca="false">IFERROR($B66*K$79/$B$80,)</f>
        <v>0</v>
      </c>
      <c r="L66" s="22" t="n">
        <f aca="false">IFERROR($B66*L$79/$B$80,)</f>
        <v>755.308250226655</v>
      </c>
      <c r="M66" s="22" t="n">
        <f aca="false">IFERROR($B66*M$79/$B$80,)</f>
        <v>0</v>
      </c>
      <c r="N66" s="22" t="n">
        <f aca="false">IFERROR($B66*N$79/$B$80,)</f>
        <v>24.857972574796</v>
      </c>
      <c r="O66" s="22" t="n">
        <f aca="false">IFERROR($B66*O$79/$B$80,)</f>
        <v>61.4800543970988</v>
      </c>
      <c r="P66" s="22" t="n">
        <f aca="false">SUM(G66:O66)</f>
        <v>2531.31885176146</v>
      </c>
      <c r="Q66" s="24" t="n">
        <f aca="false">IFERROR(P66*100/F66,)</f>
        <v>7.58106873842904</v>
      </c>
      <c r="S66" s="26" t="n">
        <f aca="false">IFERROR($B66*S$79/$B$80,)</f>
        <v>0</v>
      </c>
      <c r="T66" s="22" t="n">
        <f aca="false">IFERROR($B66*T$79/$B$80,)</f>
        <v>448.030938349955</v>
      </c>
      <c r="U66" s="22" t="n">
        <f aca="false">SUM(S66:T66)</f>
        <v>448.030938349955</v>
      </c>
      <c r="V66" s="24" t="n">
        <f aca="false">IFERROR(U66*100/F66,)</f>
        <v>1.34181173510019</v>
      </c>
      <c r="X66" s="22" t="n">
        <f aca="false">E66-F66-P66+U66</f>
        <v>8979.7120865885</v>
      </c>
      <c r="Y66" s="24" t="n">
        <f aca="false">IFERROR(X66*100/F66,)</f>
        <v>26.8934174501003</v>
      </c>
    </row>
    <row r="67" customFormat="false" ht="12.75" hidden="false" customHeight="false" outlineLevel="0" collapsed="false">
      <c r="A67" s="19" t="s">
        <v>52</v>
      </c>
      <c r="B67" s="20" t="n">
        <v>1800</v>
      </c>
      <c r="C67" s="38" t="n">
        <v>2</v>
      </c>
      <c r="D67" s="21" t="n">
        <v>388.8</v>
      </c>
      <c r="E67" s="22" t="n">
        <f aca="false">ROUND(D67*$E$4,)</f>
        <v>36742</v>
      </c>
      <c r="F67" s="23" t="n">
        <v>26424</v>
      </c>
      <c r="G67" s="22" t="n">
        <f aca="false">B67/125*20</f>
        <v>288</v>
      </c>
      <c r="H67" s="22" t="n">
        <f aca="false">C67*$H$4</f>
        <v>112</v>
      </c>
      <c r="I67" s="22" t="n">
        <f aca="false">F67*3%</f>
        <v>792.72</v>
      </c>
      <c r="J67" s="22" t="n">
        <f aca="false">IFERROR($B67*J$74/($B$75),)</f>
        <v>308.536167295166</v>
      </c>
      <c r="K67" s="22" t="n">
        <f aca="false">IFERROR($B67*K$79/$B$80,)</f>
        <v>0</v>
      </c>
      <c r="L67" s="22" t="n">
        <f aca="false">IFERROR($B67*L$79/$B$80,)</f>
        <v>971.11060743427</v>
      </c>
      <c r="M67" s="22" t="n">
        <f aca="false">IFERROR($B67*M$79/$B$80,)</f>
        <v>0</v>
      </c>
      <c r="N67" s="22" t="n">
        <f aca="false">IFERROR($B67*N$79/$B$80,)</f>
        <v>31.9602504533092</v>
      </c>
      <c r="O67" s="22" t="n">
        <f aca="false">IFERROR($B67*O$79/$B$80,)</f>
        <v>79.0457842248413</v>
      </c>
      <c r="P67" s="22" t="n">
        <f aca="false">SUM(G67:O67)</f>
        <v>2583.37280940759</v>
      </c>
      <c r="Q67" s="24" t="n">
        <f aca="false">IFERROR(P67*100/F67,)</f>
        <v>9.77661523390701</v>
      </c>
      <c r="S67" s="26" t="n">
        <f aca="false">IFERROR($B67*S$79/$B$80,)</f>
        <v>0</v>
      </c>
      <c r="T67" s="22" t="n">
        <f aca="false">IFERROR($B67*T$79/$B$80,)</f>
        <v>576.039777878513</v>
      </c>
      <c r="U67" s="22" t="n">
        <f aca="false">SUM(S67:T67)</f>
        <v>576.039777878513</v>
      </c>
      <c r="V67" s="24" t="n">
        <f aca="false">IFERROR(U67*100/F67,)</f>
        <v>2.17998704919207</v>
      </c>
      <c r="X67" s="22" t="n">
        <f aca="false">E67-F67-P67+U67</f>
        <v>8310.66696847093</v>
      </c>
      <c r="Y67" s="24" t="n">
        <f aca="false">IFERROR(X67*100/F67,)</f>
        <v>31.4512071165264</v>
      </c>
    </row>
    <row r="68" customFormat="false" ht="12.75" hidden="false" customHeight="false" outlineLevel="0" collapsed="false">
      <c r="A68" s="19" t="s">
        <v>53</v>
      </c>
      <c r="B68" s="20" t="n">
        <v>1650</v>
      </c>
      <c r="C68" s="38" t="n">
        <v>3</v>
      </c>
      <c r="D68" s="21" t="n">
        <v>396</v>
      </c>
      <c r="E68" s="22" t="n">
        <f aca="false">ROUND(D68*$E$4,)</f>
        <v>37422</v>
      </c>
      <c r="F68" s="23" t="n">
        <v>27687</v>
      </c>
      <c r="G68" s="22" t="n">
        <f aca="false">B68/125*20</f>
        <v>264</v>
      </c>
      <c r="H68" s="22" t="n">
        <f aca="false">C68*$H$4</f>
        <v>168</v>
      </c>
      <c r="I68" s="22" t="n">
        <f aca="false">F68*3%</f>
        <v>830.61</v>
      </c>
      <c r="J68" s="22" t="n">
        <f aca="false">IFERROR($B68*J$74/($B$75),)</f>
        <v>282.824820020569</v>
      </c>
      <c r="K68" s="22" t="n">
        <f aca="false">IFERROR($B68*K$79/$B$80,)</f>
        <v>0</v>
      </c>
      <c r="L68" s="22" t="n">
        <f aca="false">IFERROR($B68*L$79/$B$80,)</f>
        <v>890.184723481414</v>
      </c>
      <c r="M68" s="22" t="n">
        <f aca="false">IFERROR($B68*M$79/$B$80,)</f>
        <v>0</v>
      </c>
      <c r="N68" s="22" t="n">
        <f aca="false">IFERROR($B68*N$79/$B$80,)</f>
        <v>29.2968962488667</v>
      </c>
      <c r="O68" s="22" t="n">
        <f aca="false">IFERROR($B68*O$79/$B$80,)</f>
        <v>72.4586355394379</v>
      </c>
      <c r="P68" s="22" t="n">
        <f aca="false">SUM(G68:O68)</f>
        <v>2537.37507529029</v>
      </c>
      <c r="Q68" s="24" t="n">
        <f aca="false">IFERROR(P68*100/F68,)</f>
        <v>9.16449985657633</v>
      </c>
      <c r="S68" s="26" t="n">
        <f aca="false">IFERROR($B68*S$79/$B$80,)</f>
        <v>0</v>
      </c>
      <c r="T68" s="22" t="n">
        <f aca="false">IFERROR($B68*T$79/$B$80,)</f>
        <v>528.036463055304</v>
      </c>
      <c r="U68" s="22" t="n">
        <f aca="false">SUM(S68:T68)</f>
        <v>528.036463055304</v>
      </c>
      <c r="V68" s="24" t="n">
        <f aca="false">IFERROR(U68*100/F68,)</f>
        <v>1.90716387855421</v>
      </c>
      <c r="X68" s="22" t="n">
        <f aca="false">E68-F68-P68+U68</f>
        <v>7725.66138776501</v>
      </c>
      <c r="Y68" s="24" t="n">
        <f aca="false">IFERROR(X68*100/F68,)</f>
        <v>27.9035698622639</v>
      </c>
    </row>
    <row r="69" customFormat="false" ht="12.75" hidden="false" customHeight="false" outlineLevel="0" collapsed="false">
      <c r="A69" s="19" t="s">
        <v>54</v>
      </c>
      <c r="B69" s="20" t="n">
        <v>500</v>
      </c>
      <c r="C69" s="38" t="n">
        <v>1</v>
      </c>
      <c r="D69" s="21" t="n">
        <v>114</v>
      </c>
      <c r="E69" s="22" t="n">
        <f aca="false">ROUND(D69*$E$4,)</f>
        <v>10773</v>
      </c>
      <c r="F69" s="23" t="n">
        <v>7635</v>
      </c>
      <c r="G69" s="22" t="n">
        <f aca="false">B69/125*20</f>
        <v>80</v>
      </c>
      <c r="H69" s="22" t="n">
        <f aca="false">C69*$H$4</f>
        <v>56</v>
      </c>
      <c r="I69" s="22" t="n">
        <f aca="false">F69*3%</f>
        <v>229.05</v>
      </c>
      <c r="J69" s="22" t="n">
        <f aca="false">IFERROR($B69*J$74/($B$75),)</f>
        <v>85.704490915324</v>
      </c>
      <c r="K69" s="22" t="n">
        <f aca="false">IFERROR($B69*K$79/$B$80,)</f>
        <v>0</v>
      </c>
      <c r="L69" s="22" t="n">
        <f aca="false">IFERROR($B69*L$79/$B$80,)</f>
        <v>269.75294650952</v>
      </c>
      <c r="M69" s="22" t="n">
        <f aca="false">IFERROR($B69*M$79/$B$80,)</f>
        <v>0</v>
      </c>
      <c r="N69" s="22" t="n">
        <f aca="false">IFERROR($B69*N$79/$B$80,)</f>
        <v>8.87784734814143</v>
      </c>
      <c r="O69" s="22" t="n">
        <f aca="false">IFERROR($B69*O$79/$B$80,)</f>
        <v>21.9571622846782</v>
      </c>
      <c r="P69" s="22" t="n">
        <f aca="false">SUM(G69:O69)</f>
        <v>751.342447057663</v>
      </c>
      <c r="Q69" s="24" t="n">
        <f aca="false">IFERROR(P69*100/F69,)</f>
        <v>9.84076551483514</v>
      </c>
      <c r="S69" s="26" t="n">
        <f aca="false">IFERROR($B69*S$79/$B$80,)</f>
        <v>0</v>
      </c>
      <c r="T69" s="22" t="n">
        <f aca="false">IFERROR($B69*T$79/$B$80,)</f>
        <v>160.011049410698</v>
      </c>
      <c r="U69" s="22" t="n">
        <f aca="false">SUM(S69:T69)</f>
        <v>160.011049410698</v>
      </c>
      <c r="V69" s="24" t="n">
        <f aca="false">IFERROR(U69*100/F69,)</f>
        <v>2.09575703222918</v>
      </c>
      <c r="X69" s="22" t="n">
        <f aca="false">E69-F69-P69+U69</f>
        <v>2546.66860235304</v>
      </c>
      <c r="Y69" s="24" t="n">
        <f aca="false">IFERROR(X69*100/F69,)</f>
        <v>33.3551879810483</v>
      </c>
    </row>
    <row r="70" customFormat="false" ht="12.75" hidden="false" customHeight="false" outlineLevel="0" collapsed="false">
      <c r="A70" s="19" t="s">
        <v>55</v>
      </c>
      <c r="B70" s="20" t="n">
        <v>2160</v>
      </c>
      <c r="C70" s="38" t="n">
        <v>4</v>
      </c>
      <c r="D70" s="21" t="n">
        <v>725.76</v>
      </c>
      <c r="E70" s="22" t="n">
        <f aca="false">ROUND(D70*$E$4,)</f>
        <v>68584</v>
      </c>
      <c r="F70" s="23" t="n">
        <v>50220</v>
      </c>
      <c r="G70" s="22" t="n">
        <f aca="false">B70/125*20</f>
        <v>345.6</v>
      </c>
      <c r="H70" s="22" t="n">
        <f aca="false">C70*$H$4</f>
        <v>224</v>
      </c>
      <c r="I70" s="22" t="n">
        <f aca="false">F70*3%</f>
        <v>1506.6</v>
      </c>
      <c r="J70" s="22" t="n">
        <f aca="false">IFERROR($B70*J$74/($B$75),)</f>
        <v>370.2434007542</v>
      </c>
      <c r="K70" s="22" t="n">
        <f aca="false">IFERROR($B70*K$79/$B$80,)</f>
        <v>0</v>
      </c>
      <c r="L70" s="22" t="n">
        <f aca="false">IFERROR($B70*L$79/$B$80,)</f>
        <v>1165.33272892112</v>
      </c>
      <c r="M70" s="22" t="n">
        <f aca="false">IFERROR($B70*M$79/$B$80,)</f>
        <v>0</v>
      </c>
      <c r="N70" s="22" t="n">
        <f aca="false">IFERROR($B70*N$79/$B$80,)</f>
        <v>38.352300543971</v>
      </c>
      <c r="O70" s="22" t="n">
        <f aca="false">IFERROR($B70*O$79/$B$80,)</f>
        <v>94.8549410698096</v>
      </c>
      <c r="P70" s="22" t="n">
        <f aca="false">SUM(G70:O70)</f>
        <v>3744.9833712891</v>
      </c>
      <c r="Q70" s="24" t="n">
        <f aca="false">IFERROR(P70*100/F70,)</f>
        <v>7.45715525943669</v>
      </c>
      <c r="S70" s="26" t="n">
        <f aca="false">IFERROR($B70*S$79/$B$80,)</f>
        <v>0</v>
      </c>
      <c r="T70" s="22" t="n">
        <f aca="false">IFERROR($B70*T$79/$B$80,)</f>
        <v>691.247733454216</v>
      </c>
      <c r="U70" s="22" t="n">
        <f aca="false">SUM(S70:T70)</f>
        <v>691.247733454216</v>
      </c>
      <c r="V70" s="24" t="n">
        <f aca="false">IFERROR(U70*100/F70,)</f>
        <v>1.37643913471568</v>
      </c>
      <c r="X70" s="22" t="n">
        <f aca="false">E70-F70-P70+U70</f>
        <v>15310.2643621651</v>
      </c>
      <c r="Y70" s="24" t="n">
        <f aca="false">IFERROR(X70*100/F70,)</f>
        <v>30.4863886144267</v>
      </c>
    </row>
    <row r="71" customFormat="false" ht="12.75" hidden="false" customHeight="false" outlineLevel="0" collapsed="false">
      <c r="A71" s="19" t="s">
        <v>56</v>
      </c>
      <c r="B71" s="20" t="n">
        <v>700</v>
      </c>
      <c r="C71" s="38" t="n">
        <v>2</v>
      </c>
      <c r="D71" s="21" t="n">
        <v>285.6</v>
      </c>
      <c r="E71" s="22" t="n">
        <f aca="false">ROUND(D71*$E$4,)</f>
        <v>26989</v>
      </c>
      <c r="F71" s="23" t="n">
        <v>19131</v>
      </c>
      <c r="G71" s="22" t="n">
        <f aca="false">B71/125*20</f>
        <v>112</v>
      </c>
      <c r="H71" s="22" t="n">
        <f aca="false">C71*$H$4</f>
        <v>112</v>
      </c>
      <c r="I71" s="22" t="n">
        <f aca="false">F71*3%</f>
        <v>573.93</v>
      </c>
      <c r="J71" s="22" t="n">
        <f aca="false">IFERROR($B71*J$74/($B$75),)</f>
        <v>119.986287281454</v>
      </c>
      <c r="K71" s="22" t="n">
        <f aca="false">IFERROR($B71*K$79/$B$80,)</f>
        <v>0</v>
      </c>
      <c r="L71" s="22" t="n">
        <f aca="false">IFERROR($B71*L$79/$B$80,)</f>
        <v>377.654125113327</v>
      </c>
      <c r="M71" s="22" t="n">
        <f aca="false">IFERROR($B71*M$79/$B$80,)</f>
        <v>0</v>
      </c>
      <c r="N71" s="22" t="n">
        <f aca="false">IFERROR($B71*N$79/$B$80,)</f>
        <v>12.428986287398</v>
      </c>
      <c r="O71" s="22" t="n">
        <f aca="false">IFERROR($B71*O$79/$B$80,)</f>
        <v>30.7400271985494</v>
      </c>
      <c r="P71" s="22" t="n">
        <f aca="false">SUM(G71:O71)</f>
        <v>1338.73942588073</v>
      </c>
      <c r="Q71" s="24" t="n">
        <f aca="false">IFERROR(P71*100/F71,)</f>
        <v>6.99774933814609</v>
      </c>
      <c r="S71" s="26" t="n">
        <f aca="false">IFERROR($B71*S$79/$B$80,)</f>
        <v>0</v>
      </c>
      <c r="T71" s="22" t="n">
        <f aca="false">IFERROR($B71*T$79/$B$80,)</f>
        <v>224.015469174977</v>
      </c>
      <c r="U71" s="22" t="n">
        <f aca="false">SUM(S71:T71)</f>
        <v>224.015469174977</v>
      </c>
      <c r="V71" s="24" t="n">
        <f aca="false">IFERROR(U71*100/F71,)</f>
        <v>1.17095535609732</v>
      </c>
      <c r="X71" s="22" t="n">
        <f aca="false">E71-F71-P71+U71</f>
        <v>6743.27604329425</v>
      </c>
      <c r="Y71" s="24" t="n">
        <f aca="false">IFERROR(X71*100/F71,)</f>
        <v>35.2479015383109</v>
      </c>
    </row>
    <row r="72" customFormat="false" ht="12.75" hidden="false" customHeight="false" outlineLevel="0" collapsed="false">
      <c r="A72" s="19" t="s">
        <v>57</v>
      </c>
      <c r="B72" s="20" t="n">
        <v>1760</v>
      </c>
      <c r="C72" s="38" t="n">
        <v>8</v>
      </c>
      <c r="D72" s="21" t="n">
        <v>887.04</v>
      </c>
      <c r="E72" s="22" t="n">
        <f aca="false">ROUND(D72*$E$4,)</f>
        <v>83825</v>
      </c>
      <c r="F72" s="23" t="n">
        <v>60086.4</v>
      </c>
      <c r="G72" s="22" t="n">
        <f aca="false">B72/125*20</f>
        <v>281.6</v>
      </c>
      <c r="H72" s="22" t="n">
        <f aca="false">C72*$H$4</f>
        <v>448</v>
      </c>
      <c r="I72" s="22" t="n">
        <f aca="false">F72*3%</f>
        <v>1802.592</v>
      </c>
      <c r="J72" s="22" t="n">
        <f aca="false">IFERROR($B72*J$74/($B$75),)</f>
        <v>301.67980802194</v>
      </c>
      <c r="K72" s="22" t="n">
        <f aca="false">IFERROR($B72*K$79/$B$80,)</f>
        <v>0</v>
      </c>
      <c r="L72" s="22" t="n">
        <f aca="false">IFERROR($B72*L$79/$B$80,)</f>
        <v>949.530371713509</v>
      </c>
      <c r="M72" s="22" t="n">
        <f aca="false">IFERROR($B72*M$79/$B$80,)</f>
        <v>0</v>
      </c>
      <c r="N72" s="22" t="n">
        <f aca="false">IFERROR($B72*N$79/$B$80,)</f>
        <v>31.2500226654578</v>
      </c>
      <c r="O72" s="22" t="n">
        <f aca="false">IFERROR($B72*O$79/$B$80,)</f>
        <v>77.2892112420671</v>
      </c>
      <c r="P72" s="22" t="n">
        <f aca="false">SUM(G72:O72)</f>
        <v>3891.94141364297</v>
      </c>
      <c r="Q72" s="24" t="n">
        <f aca="false">IFERROR(P72*100/F72,)</f>
        <v>6.47724179455413</v>
      </c>
      <c r="S72" s="26" t="n">
        <f aca="false">IFERROR($B72*S$79/$B$80,)</f>
        <v>0</v>
      </c>
      <c r="T72" s="22" t="n">
        <f aca="false">IFERROR($B72*T$79/$B$80,)</f>
        <v>563.238893925657</v>
      </c>
      <c r="U72" s="22" t="n">
        <f aca="false">SUM(S72:T72)</f>
        <v>563.238893925657</v>
      </c>
      <c r="V72" s="24" t="n">
        <f aca="false">IFERROR(U72*100/F72,)</f>
        <v>0.937381660285285</v>
      </c>
      <c r="X72" s="22" t="n">
        <f aca="false">E72-F72-P72+U72</f>
        <v>20409.8974802827</v>
      </c>
      <c r="Y72" s="24" t="n">
        <f aca="false">IFERROR(X72*100/F72,)</f>
        <v>33.9675824816975</v>
      </c>
    </row>
    <row r="73" customFormat="false" ht="12.75" hidden="false" customHeight="false" outlineLevel="0" collapsed="false">
      <c r="A73" s="19" t="s">
        <v>58</v>
      </c>
      <c r="B73" s="20" t="n">
        <v>1000</v>
      </c>
      <c r="C73" s="38" t="n">
        <v>10</v>
      </c>
      <c r="D73" s="21" t="n">
        <v>912</v>
      </c>
      <c r="E73" s="22" t="n">
        <f aca="false">ROUND(D73*$E$4,)</f>
        <v>86184</v>
      </c>
      <c r="F73" s="23" t="n">
        <v>49940</v>
      </c>
      <c r="G73" s="22" t="n">
        <f aca="false">B73/125*20</f>
        <v>160</v>
      </c>
      <c r="H73" s="22" t="n">
        <f aca="false">C73*$H$4</f>
        <v>560</v>
      </c>
      <c r="I73" s="22" t="n">
        <f aca="false">F73*3%</f>
        <v>1498.2</v>
      </c>
      <c r="J73" s="22" t="n">
        <f aca="false">IFERROR($B73*J$74/($B$75),)</f>
        <v>171.408981830648</v>
      </c>
      <c r="K73" s="22" t="n">
        <f aca="false">IFERROR($B73*K$79/$B$80,)</f>
        <v>0</v>
      </c>
      <c r="L73" s="22" t="n">
        <f aca="false">IFERROR($B73*L$79/$B$80,)</f>
        <v>539.505893019039</v>
      </c>
      <c r="M73" s="22" t="n">
        <f aca="false">IFERROR($B73*M$79/$B$80,)</f>
        <v>0</v>
      </c>
      <c r="N73" s="22" t="n">
        <f aca="false">IFERROR($B73*N$79/$B$80,)</f>
        <v>17.7556946962829</v>
      </c>
      <c r="O73" s="22" t="n">
        <f aca="false">IFERROR($B73*O$79/$B$80,)</f>
        <v>43.9143245693563</v>
      </c>
      <c r="P73" s="22" t="n">
        <f aca="false">SUM(G73:O73)</f>
        <v>2990.78489411533</v>
      </c>
      <c r="Q73" s="24" t="n">
        <f aca="false">IFERROR(P73*100/F73,)</f>
        <v>5.9887562957856</v>
      </c>
      <c r="S73" s="26" t="n">
        <f aca="false">IFERROR($B73*S$79/$B$80,)</f>
        <v>0</v>
      </c>
      <c r="T73" s="22" t="n">
        <f aca="false">IFERROR($B73*T$79/$B$80,)</f>
        <v>320.022098821396</v>
      </c>
      <c r="U73" s="22" t="n">
        <f aca="false">SUM(S73:T73)</f>
        <v>320.022098821396</v>
      </c>
      <c r="V73" s="24" t="n">
        <f aca="false">IFERROR(U73*100/F73,)</f>
        <v>0.640813173450934</v>
      </c>
      <c r="X73" s="22" t="n">
        <f aca="false">E73-F73-P73+U73</f>
        <v>33573.2372047061</v>
      </c>
      <c r="Y73" s="24" t="n">
        <f aca="false">IFERROR(X73*100/F73,)</f>
        <v>67.2271469857951</v>
      </c>
    </row>
    <row r="74" customFormat="false" ht="12.75" hidden="false" customHeight="false" outlineLevel="0" collapsed="false">
      <c r="A74" s="19"/>
      <c r="B74" s="20"/>
      <c r="C74" s="20"/>
      <c r="D74" s="21"/>
      <c r="E74" s="22"/>
      <c r="F74" s="23"/>
      <c r="G74" s="39"/>
      <c r="H74" s="39"/>
      <c r="I74" s="39"/>
      <c r="J74" s="37" t="n">
        <v>5000</v>
      </c>
      <c r="K74" s="22"/>
      <c r="L74" s="22"/>
      <c r="M74" s="22"/>
      <c r="N74" s="22"/>
      <c r="O74" s="22"/>
      <c r="P74" s="22"/>
      <c r="Q74" s="24"/>
      <c r="S74" s="26"/>
      <c r="T74" s="22"/>
      <c r="U74" s="22"/>
      <c r="V74" s="24"/>
      <c r="X74" s="22"/>
      <c r="Y74" s="24"/>
    </row>
    <row r="75" customFormat="false" ht="12.75" hidden="false" customHeight="false" outlineLevel="0" collapsed="false">
      <c r="A75" s="19"/>
      <c r="B75" s="40" t="n">
        <f aca="false">SUM(B61:B73)</f>
        <v>29170</v>
      </c>
      <c r="C75" s="40" t="n">
        <f aca="false">SUM(C61:C73)</f>
        <v>44</v>
      </c>
      <c r="D75" s="21"/>
      <c r="E75" s="22"/>
      <c r="F75" s="31" t="n">
        <f aca="false">SUM(F61:F73)</f>
        <v>366943.4</v>
      </c>
      <c r="G75" s="31" t="n">
        <f aca="false">SUM(G61:G73)</f>
        <v>4667.2</v>
      </c>
      <c r="H75" s="31" t="n">
        <f aca="false">SUM(H61:H73)</f>
        <v>2464</v>
      </c>
      <c r="I75" s="31" t="n">
        <f aca="false">SUM(I61:I73)</f>
        <v>11008.302</v>
      </c>
      <c r="J75" s="31" t="n">
        <f aca="false">SUM(J61:J73)</f>
        <v>5000</v>
      </c>
      <c r="K75" s="22"/>
      <c r="L75" s="22"/>
      <c r="M75" s="22"/>
      <c r="N75" s="22"/>
      <c r="O75" s="22"/>
      <c r="P75" s="22"/>
      <c r="Q75" s="24"/>
      <c r="S75" s="26"/>
      <c r="T75" s="22"/>
      <c r="U75" s="22"/>
      <c r="V75" s="24"/>
      <c r="X75" s="22"/>
      <c r="Y75" s="24"/>
    </row>
    <row r="76" customFormat="false" ht="12.75" hidden="true" customHeight="false" outlineLevel="0" collapsed="false">
      <c r="A76" s="19"/>
      <c r="B76" s="20"/>
      <c r="C76" s="19"/>
      <c r="D76" s="36"/>
      <c r="E76" s="22"/>
      <c r="F76" s="23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4"/>
      <c r="S76" s="26"/>
      <c r="T76" s="22"/>
      <c r="U76" s="22"/>
      <c r="V76" s="24"/>
      <c r="X76" s="22"/>
      <c r="Y76" s="24"/>
    </row>
    <row r="77" customFormat="false" ht="12.75" hidden="true" customHeight="false" outlineLevel="0" collapsed="false">
      <c r="A77" s="35"/>
      <c r="B77" s="20"/>
      <c r="C77" s="20"/>
      <c r="D77" s="21"/>
      <c r="E77" s="22" t="n">
        <f aca="false">ROUND(D77*$E$4,)</f>
        <v>0</v>
      </c>
      <c r="F77" s="23"/>
      <c r="G77" s="22"/>
      <c r="H77" s="22"/>
      <c r="I77" s="22"/>
      <c r="J77" s="41" t="n">
        <f aca="false">IFERROR($B77*J$79/($B$79+$B$53+$B$75),)</f>
        <v>0</v>
      </c>
      <c r="K77" s="22" t="n">
        <f aca="false">IFERROR($B77*K$79/$B$80,)</f>
        <v>0</v>
      </c>
      <c r="L77" s="22" t="n">
        <f aca="false">IFERROR($B77*L$79/$B$80,)</f>
        <v>0</v>
      </c>
      <c r="M77" s="22" t="n">
        <f aca="false">IFERROR($B77*M$79/$B$80,)</f>
        <v>0</v>
      </c>
      <c r="N77" s="22" t="n">
        <f aca="false">IFERROR($B77*N$79/$B$80,)</f>
        <v>0</v>
      </c>
      <c r="O77" s="22" t="n">
        <f aca="false">IFERROR($B77*O$79/$B$80,)</f>
        <v>0</v>
      </c>
      <c r="P77" s="22" t="n">
        <f aca="false">SUM(G77:O77)</f>
        <v>0</v>
      </c>
      <c r="Q77" s="24" t="n">
        <f aca="false">IFERROR(P77*100/F77,)</f>
        <v>0</v>
      </c>
      <c r="S77" s="26" t="n">
        <f aca="false">IFERROR($B77*S$79/$B$80,)</f>
        <v>0</v>
      </c>
      <c r="T77" s="22" t="n">
        <f aca="false">IFERROR($B77*T$79/$B$80,)</f>
        <v>0</v>
      </c>
      <c r="U77" s="22" t="n">
        <f aca="false">SUM(S77:T77)</f>
        <v>0</v>
      </c>
      <c r="V77" s="24" t="n">
        <f aca="false">IFERROR(U77*100/F77,)</f>
        <v>0</v>
      </c>
      <c r="X77" s="22" t="n">
        <f aca="false">E77-F77-P77+U77</f>
        <v>0</v>
      </c>
      <c r="Y77" s="24" t="n">
        <f aca="false">IFERROR(X77*100/F77,)</f>
        <v>0</v>
      </c>
    </row>
    <row r="78" customFormat="false" ht="12.75" hidden="true" customHeight="false" outlineLevel="0" collapsed="false">
      <c r="A78" s="42"/>
      <c r="B78" s="27"/>
      <c r="C78" s="27"/>
      <c r="D78" s="43"/>
      <c r="E78" s="29"/>
      <c r="F78" s="28"/>
      <c r="G78" s="29"/>
      <c r="H78" s="29"/>
      <c r="I78" s="29"/>
      <c r="J78" s="31" t="n">
        <f aca="false">J77</f>
        <v>0</v>
      </c>
      <c r="K78" s="29"/>
      <c r="L78" s="29"/>
      <c r="M78" s="29"/>
      <c r="N78" s="29"/>
      <c r="O78" s="29"/>
      <c r="P78" s="29"/>
      <c r="Q78" s="44"/>
      <c r="S78" s="45"/>
      <c r="T78" s="29"/>
      <c r="U78" s="29"/>
      <c r="V78" s="44"/>
      <c r="X78" s="29"/>
      <c r="Y78" s="44"/>
    </row>
    <row r="79" customFormat="false" ht="12.75" hidden="false" customHeight="false" outlineLevel="0" collapsed="false">
      <c r="A79" s="46"/>
      <c r="B79" s="40" t="n">
        <f aca="false">SUBTOTAL(9,B77:B77)</f>
        <v>0</v>
      </c>
      <c r="C79" s="40" t="n">
        <f aca="false">SUBTOTAL(9,C77:C77)</f>
        <v>0</v>
      </c>
      <c r="D79" s="47"/>
      <c r="E79" s="31"/>
      <c r="F79" s="31" t="n">
        <f aca="false">SUBTOTAL(9,F77:F77)</f>
        <v>0</v>
      </c>
      <c r="G79" s="31"/>
      <c r="H79" s="31"/>
      <c r="I79" s="31"/>
      <c r="J79" s="31"/>
      <c r="K79" s="48" t="n">
        <f aca="false">((0)*K4)</f>
        <v>0</v>
      </c>
      <c r="L79" s="49" t="n">
        <f aca="false">19015.8+3250+13400+2419</f>
        <v>38084.8</v>
      </c>
      <c r="M79" s="49"/>
      <c r="N79" s="49" t="n">
        <v>1253.41</v>
      </c>
      <c r="O79" s="49" t="n">
        <v>3100</v>
      </c>
      <c r="P79" s="31" t="n">
        <f aca="false">SUBTOTAL(9,P5:P77)</f>
        <v>91169.232</v>
      </c>
      <c r="Q79" s="50"/>
      <c r="S79" s="51" t="n">
        <f aca="false">0*E4</f>
        <v>0</v>
      </c>
      <c r="T79" s="49" t="n">
        <v>22591</v>
      </c>
      <c r="U79" s="31" t="n">
        <f aca="false">SUBTOTAL(9,U5:U77)</f>
        <v>22591</v>
      </c>
      <c r="V79" s="50"/>
      <c r="X79" s="31" t="n">
        <f aca="false">SUBTOTAL(9,X5:X77)</f>
        <v>513780.068</v>
      </c>
      <c r="Y79" s="50"/>
    </row>
    <row r="80" customFormat="false" ht="12.75" hidden="false" customHeight="false" outlineLevel="0" collapsed="false">
      <c r="B80" s="40" t="n">
        <f aca="false">B75+B59+B53</f>
        <v>70592</v>
      </c>
      <c r="C80" s="40" t="n">
        <f aca="false">C75+C59+C53</f>
        <v>421</v>
      </c>
      <c r="D80" s="47" t="n">
        <f aca="false">SUBTOTAL(9,D5:D77)</f>
        <v>20421.9</v>
      </c>
      <c r="E80" s="31" t="n">
        <f aca="false">SUBTOTAL(9,E5:E77)</f>
        <v>1929874</v>
      </c>
      <c r="F80" s="31" t="n">
        <f aca="false">F75+F53+F59</f>
        <v>1347514.7</v>
      </c>
      <c r="G80" s="31" t="n">
        <f aca="false">+G75+G53+G59</f>
        <v>11294.72</v>
      </c>
      <c r="H80" s="31" t="n">
        <f aca="false">H75+H53+H59</f>
        <v>6328</v>
      </c>
      <c r="I80" s="31" t="n">
        <f aca="false">I75+I53+I59</f>
        <v>11008.302</v>
      </c>
      <c r="J80" s="31" t="n">
        <f aca="false">J75+J59</f>
        <v>20100</v>
      </c>
      <c r="K80" s="31" t="n">
        <f aca="false">SUBTOTAL(9,K5:K77)</f>
        <v>0</v>
      </c>
      <c r="L80" s="31" t="n">
        <f aca="false">SUBTOTAL(9,L5:L77)</f>
        <v>38084.8</v>
      </c>
      <c r="M80" s="31" t="n">
        <f aca="false">SUBTOTAL(9,M5:M77)</f>
        <v>0</v>
      </c>
      <c r="N80" s="31" t="n">
        <f aca="false">SUBTOTAL(9,N5:N77)</f>
        <v>1253.41</v>
      </c>
      <c r="O80" s="31" t="n">
        <f aca="false">SUBTOTAL(9,O5:O77)</f>
        <v>3100</v>
      </c>
      <c r="P80" s="31" t="n">
        <f aca="false">SUM(G80:O80)</f>
        <v>91169.232</v>
      </c>
      <c r="Q80" s="50" t="n">
        <f aca="false">IFERROR(P80*100/F80,)</f>
        <v>6.76573190630128</v>
      </c>
      <c r="S80" s="52" t="n">
        <f aca="false">SUBTOTAL(9,S5:S77)</f>
        <v>0</v>
      </c>
      <c r="T80" s="31" t="n">
        <f aca="false">SUBTOTAL(9,T5:T77)</f>
        <v>22591</v>
      </c>
      <c r="U80" s="31" t="n">
        <f aca="false">SUM(S80:T80)</f>
        <v>22591</v>
      </c>
      <c r="V80" s="50" t="n">
        <f aca="false">IFERROR(U80*100/F80,)</f>
        <v>1.67649377034625</v>
      </c>
      <c r="X80" s="31" t="n">
        <f aca="false">E80-F80-P80+U80</f>
        <v>513781.068</v>
      </c>
      <c r="Y80" s="50" t="n">
        <f aca="false">IFERROR(X80*100/F80,)</f>
        <v>38.1280492153444</v>
      </c>
    </row>
    <row r="81" customFormat="false" ht="12.75" hidden="false" customHeight="false" outlineLevel="0" collapsed="false">
      <c r="S81" s="53"/>
      <c r="T81" s="53"/>
    </row>
    <row r="82" customFormat="false" ht="12.75" hidden="false" customHeight="false" outlineLevel="0" collapsed="false">
      <c r="P82" s="53"/>
    </row>
  </sheetData>
  <mergeCells count="18">
    <mergeCell ref="A2:A3"/>
    <mergeCell ref="B2:C2"/>
    <mergeCell ref="D2:E2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Q2"/>
    <mergeCell ref="S2:S3"/>
    <mergeCell ref="T2:T3"/>
    <mergeCell ref="U2:V2"/>
    <mergeCell ref="X2:Y2"/>
  </mergeCells>
  <conditionalFormatting sqref="Y56">
    <cfRule type="cellIs" priority="2" operator="lessThan" aboveAverage="0" equalAverage="0" bottom="0" percent="0" rank="0" text="" dxfId="0">
      <formula>0</formula>
    </cfRule>
  </conditionalFormatting>
  <conditionalFormatting sqref="Y23:Y42">
    <cfRule type="cellIs" priority="3" operator="lessThan" aboveAverage="0" equalAverage="0" bottom="0" percent="0" rank="0" text="" dxfId="1">
      <formula>0</formula>
    </cfRule>
  </conditionalFormatting>
  <conditionalFormatting sqref="Y7:Y22 Y43:Y51">
    <cfRule type="cellIs" priority="4" operator="lessThan" aboveAverage="0" equalAverage="0" bottom="0" percent="0" rank="0" text="" dxfId="2">
      <formula>0</formula>
    </cfRule>
  </conditionalFormatting>
  <conditionalFormatting sqref="Y55">
    <cfRule type="cellIs" priority="5" operator="lessThan" aboveAverage="0" equalAverage="0" bottom="0" percent="0" rank="0" text="" dxfId="3">
      <formula>0</formula>
    </cfRule>
  </conditionalFormatting>
  <conditionalFormatting sqref="Y63:Y73">
    <cfRule type="cellIs" priority="6" operator="lessThan" aboveAverage="0" equalAverage="0" bottom="0" percent="0" rank="0" text="" dxfId="4">
      <formula>0</formula>
    </cfRule>
  </conditionalFormatting>
  <conditionalFormatting sqref="Y61:Y62">
    <cfRule type="cellIs" priority="7" operator="lessThan" aboveAverage="0" equalAverage="0" bottom="0" percent="0" rank="0" text="" dxfId="5">
      <formula>0</formula>
    </cfRule>
  </conditionalFormatting>
  <conditionalFormatting sqref="Y6">
    <cfRule type="cellIs" priority="8" operator="lessThan" aboveAverage="0" equalAverage="0" bottom="0" percent="0" rank="0" text="" dxfId="6">
      <formula>0</formula>
    </cfRule>
  </conditionalFormatting>
  <conditionalFormatting sqref="Y5 Y52:Y54">
    <cfRule type="cellIs" priority="9" operator="lessThan" aboveAverage="0" equalAverage="0" bottom="0" percent="0" rank="0" text="" dxfId="7">
      <formula>0</formula>
    </cfRule>
  </conditionalFormatting>
  <conditionalFormatting sqref="Y77">
    <cfRule type="cellIs" priority="10" operator="lessThan" aboveAverage="0" equalAverage="0" bottom="0" percent="0" rank="0" text="" dxfId="8">
      <formula>0</formula>
    </cfRule>
  </conditionalFormatting>
  <conditionalFormatting sqref="Y57">
    <cfRule type="cellIs" priority="11" operator="lessThan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61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2008-09-30T09:18:06Z</dcterms:created>
  <dc:creator>Jaikvin</dc:creator>
  <dc:description/>
  <dc:language>en-US</dc:language>
  <cp:lastModifiedBy/>
  <cp:lastPrinted>2019-08-20T11:20:30Z</cp:lastPrinted>
  <dcterms:modified xsi:type="dcterms:W3CDTF">2026-06-02T19:15:08Z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