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Process to Software\Numbering\"/>
    </mc:Choice>
  </mc:AlternateContent>
  <bookViews>
    <workbookView xWindow="-105" yWindow="-105" windowWidth="19425" windowHeight="10545"/>
  </bookViews>
  <sheets>
    <sheet name="Purchase PP" sheetId="1" r:id="rId1"/>
    <sheet name="Purchase GRN" sheetId="2" r:id="rId2"/>
  </sheets>
  <definedNames>
    <definedName name="_xlnm._FilterDatabase" localSheetId="1" hidden="1">'Purchase GRN'!#REF!</definedName>
    <definedName name="_xlnm._FilterDatabase" localSheetId="0" hidden="1">'Purchase PP'!$B$3:$G$18</definedName>
  </definedNames>
  <calcPr calcId="152511"/>
</workbook>
</file>

<file path=xl/calcChain.xml><?xml version="1.0" encoding="utf-8"?>
<calcChain xmlns="http://schemas.openxmlformats.org/spreadsheetml/2006/main">
  <c r="H21" i="2" l="1"/>
  <c r="K20" i="2"/>
  <c r="I20" i="2"/>
  <c r="K19" i="2"/>
  <c r="I19" i="2"/>
  <c r="K18" i="2"/>
  <c r="I18" i="2"/>
  <c r="K17" i="2"/>
  <c r="I17" i="2"/>
  <c r="K16" i="2"/>
  <c r="I16" i="2"/>
  <c r="K15" i="2"/>
  <c r="I15" i="2"/>
  <c r="K14" i="2"/>
  <c r="I14" i="2"/>
  <c r="K13" i="2"/>
  <c r="I13" i="2"/>
  <c r="K12" i="2"/>
  <c r="I12" i="2"/>
  <c r="K11" i="2"/>
  <c r="I11" i="2"/>
  <c r="K10" i="2"/>
  <c r="I10" i="2"/>
  <c r="K9" i="2"/>
  <c r="I9" i="2"/>
  <c r="K8" i="2"/>
  <c r="I8" i="2"/>
  <c r="K7" i="2"/>
  <c r="I7" i="2"/>
  <c r="K6" i="2"/>
  <c r="K21" i="2" s="1"/>
  <c r="I6" i="2"/>
  <c r="I21" i="2" s="1"/>
  <c r="K5" i="2"/>
  <c r="I5" i="2"/>
  <c r="K4" i="2"/>
  <c r="I4" i="2"/>
  <c r="M7" i="1" l="1"/>
  <c r="M15" i="1"/>
  <c r="M14" i="1"/>
  <c r="M13" i="1"/>
  <c r="M6" i="1"/>
  <c r="M18" i="1"/>
  <c r="M12" i="1"/>
  <c r="M11" i="1"/>
  <c r="M10" i="1"/>
  <c r="M5" i="1"/>
  <c r="M4" i="1"/>
  <c r="M17" i="1"/>
  <c r="M16" i="1"/>
  <c r="M9" i="1"/>
  <c r="M8" i="1"/>
  <c r="J19" i="1" l="1"/>
  <c r="K14" i="1"/>
  <c r="K13" i="1"/>
  <c r="K18" i="1"/>
  <c r="K17" i="1"/>
  <c r="K16" i="1"/>
  <c r="K15" i="1"/>
  <c r="K8" i="1"/>
  <c r="K4" i="1"/>
  <c r="K11" i="1"/>
  <c r="K7" i="1"/>
  <c r="K12" i="1"/>
  <c r="K6" i="1"/>
  <c r="K10" i="1"/>
  <c r="K9" i="1"/>
  <c r="K5" i="1"/>
  <c r="M19" i="1" l="1"/>
  <c r="K19" i="1"/>
</calcChain>
</file>

<file path=xl/sharedStrings.xml><?xml version="1.0" encoding="utf-8"?>
<sst xmlns="http://schemas.openxmlformats.org/spreadsheetml/2006/main" count="138" uniqueCount="107">
  <si>
    <t>CODE</t>
  </si>
  <si>
    <t>DESCRIPTION</t>
  </si>
  <si>
    <t>PACKING</t>
  </si>
  <si>
    <t xml:space="preserve">UNIT </t>
  </si>
  <si>
    <t>BOX</t>
  </si>
  <si>
    <t>Bar Codes</t>
  </si>
  <si>
    <t>9319696015030</t>
  </si>
  <si>
    <t>9319696150106</t>
  </si>
  <si>
    <t>9319696015054</t>
  </si>
  <si>
    <t>9319696150649</t>
  </si>
  <si>
    <t xml:space="preserve">GD CODE </t>
  </si>
  <si>
    <t>SIZE</t>
  </si>
  <si>
    <t>LENGTH</t>
  </si>
  <si>
    <t>MM</t>
  </si>
  <si>
    <t>Quantity</t>
  </si>
  <si>
    <t>Pcs</t>
  </si>
  <si>
    <t>Box</t>
  </si>
  <si>
    <t>9319696150144</t>
  </si>
  <si>
    <t>9319696020027</t>
  </si>
  <si>
    <t>9319696020034</t>
  </si>
  <si>
    <t>9319696200139</t>
  </si>
  <si>
    <t>PP 1503 P/RISER M X M
80 x 15MM</t>
  </si>
  <si>
    <t>PP 1505 P/RISER M X M
125 x 15MM</t>
  </si>
  <si>
    <t>CUT 15 Flexi Cut Off Riser
15MM</t>
  </si>
  <si>
    <t>CUTMF 15 M/F Cut Off Riser
15MM</t>
  </si>
  <si>
    <t>PP 2002 P/RISER M X M
50 X 20MM</t>
  </si>
  <si>
    <t>PP 2003 P/RISER M X M
80 X 20MM</t>
  </si>
  <si>
    <t>FFC 20 F/F Couplings
20MM</t>
  </si>
  <si>
    <t>MFA 15 M/F Adaptors
15MM</t>
  </si>
  <si>
    <t>TOTAL</t>
  </si>
  <si>
    <t>PP 2006 P/RISER M X M
150 X 20MM</t>
  </si>
  <si>
    <t>9319696020065</t>
  </si>
  <si>
    <t>Total</t>
  </si>
  <si>
    <t>UNIT</t>
  </si>
  <si>
    <t>9313146000454</t>
  </si>
  <si>
    <t>PPA 1506 ARTIC. P/RISER 
150 X 15MM</t>
  </si>
  <si>
    <t>9319696215065</t>
  </si>
  <si>
    <t>PPA 1508 ARTIC. P/RISER
200 X 15MM</t>
  </si>
  <si>
    <t>9319696215089</t>
  </si>
  <si>
    <t>PPA 2008 ARTIC. P/RISER
200 X 20MM</t>
  </si>
  <si>
    <t>9319696220083</t>
  </si>
  <si>
    <t>PP 2504 P/RISER M X M
100 X 25MM</t>
  </si>
  <si>
    <t>9319696025046</t>
  </si>
  <si>
    <t>PP 2506 P/RISER M X M
150 X 25MM</t>
  </si>
  <si>
    <t>9391696025060</t>
  </si>
  <si>
    <t>1"</t>
  </si>
  <si>
    <t>HSN CODES</t>
  </si>
  <si>
    <t>PP1503</t>
  </si>
  <si>
    <t>PP1505</t>
  </si>
  <si>
    <t>PPA1506</t>
  </si>
  <si>
    <t>PPA1508</t>
  </si>
  <si>
    <t>CUT15</t>
  </si>
  <si>
    <t>CUTMF15</t>
  </si>
  <si>
    <t>PP2002</t>
  </si>
  <si>
    <t>PP2003</t>
  </si>
  <si>
    <t>PP2006</t>
  </si>
  <si>
    <t>PPA2008</t>
  </si>
  <si>
    <t>FFC20</t>
  </si>
  <si>
    <t>PP2504</t>
  </si>
  <si>
    <t>PP2506</t>
  </si>
  <si>
    <t>PP2506PH</t>
  </si>
  <si>
    <t>MFA15</t>
  </si>
  <si>
    <t>VALUE - 06.02.23</t>
  </si>
  <si>
    <t>90443200 P/RISER M X M
1" x 1" x 150 MM</t>
  </si>
  <si>
    <t>PO NO : 03455 DT 16.02.2026</t>
  </si>
  <si>
    <t>VALUE - 01.11.21</t>
  </si>
  <si>
    <t>GRE15</t>
  </si>
  <si>
    <t>15MM F/F ELBOW</t>
  </si>
  <si>
    <t>GRE20</t>
  </si>
  <si>
    <t>20MM F/F ELBOW</t>
  </si>
  <si>
    <t>GRE25</t>
  </si>
  <si>
    <t>25MM F/F ELBOW</t>
  </si>
  <si>
    <t>GRFTF-15</t>
  </si>
  <si>
    <t>15 mm GR F/M TANK FITTING</t>
  </si>
  <si>
    <t>9319696500208</t>
  </si>
  <si>
    <t>GRFTF-20</t>
  </si>
  <si>
    <t>20 mm GR F/M TANK FITTING</t>
  </si>
  <si>
    <t>9319696500307</t>
  </si>
  <si>
    <t>GRFTF-25</t>
  </si>
  <si>
    <t>25 mm GR F/M TANK FITTING</t>
  </si>
  <si>
    <t>9319696500406</t>
  </si>
  <si>
    <t>GRMHT15</t>
  </si>
  <si>
    <t>15MM MALE HOSE TAIL</t>
  </si>
  <si>
    <t>GRMHT20</t>
  </si>
  <si>
    <t>20MM MALE HOSE TAIL</t>
  </si>
  <si>
    <t>GRMHT25</t>
  </si>
  <si>
    <t>25MM MALE HOSE TAIL</t>
  </si>
  <si>
    <t>GRN15</t>
  </si>
  <si>
    <t>15MM NIPPLE</t>
  </si>
  <si>
    <t>GRN20</t>
  </si>
  <si>
    <t>20MM NIPPLE</t>
  </si>
  <si>
    <t>GRN25</t>
  </si>
  <si>
    <t>25MM NIPPLE</t>
  </si>
  <si>
    <t>GRRB2015</t>
  </si>
  <si>
    <t>20*15</t>
  </si>
  <si>
    <t>20 X 15MM RED. BUSH</t>
  </si>
  <si>
    <t>GRRB2515</t>
  </si>
  <si>
    <t>25*15</t>
  </si>
  <si>
    <t>25 X 15MM RED. BUSH</t>
  </si>
  <si>
    <t>GRRB2520</t>
  </si>
  <si>
    <t>25*20</t>
  </si>
  <si>
    <t>25 X 20MM RED. BUSH</t>
  </si>
  <si>
    <t>GRRB4025</t>
  </si>
  <si>
    <t>40*25</t>
  </si>
  <si>
    <t>40 X 25MM RED. BUSH</t>
  </si>
  <si>
    <t>GRS20</t>
  </si>
  <si>
    <t>20MM 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</si>
</sst>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&quot;₹&quot;\ #,##0.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57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 wrapText="1"/>
    </xf>
    <xf numFmtId="0" fontId="0" fillId="0" borderId="0" xfId="0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64" fontId="2" fillId="0" borderId="1" xfId="0" quotePrefix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2" xfId="0" quotePrefix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vertical="center"/>
    </xf>
    <xf numFmtId="165" fontId="0" fillId="0" borderId="1" xfId="0" applyNumberFormat="1" applyFill="1" applyBorder="1" applyAlignment="1">
      <alignment vertical="center"/>
    </xf>
    <xf numFmtId="165" fontId="1" fillId="0" borderId="1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shrinkToFit="1"/>
    </xf>
    <xf numFmtId="0" fontId="2" fillId="0" borderId="1" xfId="0" quotePrefix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4" fontId="0" fillId="0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M19"/>
  <sheetViews>
    <sheetView tabSelected="1" workbookViewId="0">
      <selection sqref="A1:M1"/>
    </sheetView>
  </sheetViews>
  <sheetFormatPr defaultColWidth="9.140625" defaultRowHeight="12.75" x14ac:dyDescent="0.2"/>
  <cols>
    <col min="1" max="1" width="13.42578125" style="4" bestFit="1" customWidth="1"/>
    <col min="2" max="2" width="11.28515625" style="4" bestFit="1" customWidth="1"/>
    <col min="3" max="3" width="5.140625" style="4" bestFit="1" customWidth="1"/>
    <col min="4" max="4" width="8.5703125" style="4" bestFit="1" customWidth="1"/>
    <col min="5" max="5" width="6" style="11" bestFit="1" customWidth="1"/>
    <col min="6" max="6" width="6.28515625" style="11" bestFit="1" customWidth="1"/>
    <col min="7" max="7" width="32.7109375" style="4" bestFit="1" customWidth="1"/>
    <col min="8" max="8" width="14.140625" style="4" bestFit="1" customWidth="1"/>
    <col min="9" max="9" width="14.140625" style="4" customWidth="1"/>
    <col min="10" max="10" width="7" style="4" bestFit="1" customWidth="1"/>
    <col min="11" max="11" width="7.28515625" style="4" bestFit="1" customWidth="1"/>
    <col min="12" max="12" width="9.140625" style="4"/>
    <col min="13" max="13" width="11.7109375" style="4" bestFit="1" customWidth="1"/>
    <col min="14" max="16384" width="9.140625" style="4"/>
  </cols>
  <sheetData>
    <row r="1" spans="1:13" x14ac:dyDescent="0.2">
      <c r="A1" s="34" t="s">
        <v>64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19.5" customHeight="1" x14ac:dyDescent="0.2">
      <c r="A2" s="16" t="s">
        <v>0</v>
      </c>
      <c r="B2" s="16" t="s">
        <v>10</v>
      </c>
      <c r="C2" s="19" t="s">
        <v>11</v>
      </c>
      <c r="D2" s="19" t="s">
        <v>12</v>
      </c>
      <c r="E2" s="31" t="s">
        <v>2</v>
      </c>
      <c r="F2" s="32"/>
      <c r="G2" s="16" t="s">
        <v>1</v>
      </c>
      <c r="H2" s="19" t="s">
        <v>5</v>
      </c>
      <c r="I2" s="19" t="s">
        <v>46</v>
      </c>
      <c r="J2" s="31" t="s">
        <v>14</v>
      </c>
      <c r="K2" s="32"/>
      <c r="L2" s="33" t="s">
        <v>62</v>
      </c>
      <c r="M2" s="33"/>
    </row>
    <row r="3" spans="1:13" ht="19.5" customHeight="1" x14ac:dyDescent="0.2">
      <c r="A3" s="6"/>
      <c r="B3" s="6"/>
      <c r="C3" s="19" t="s">
        <v>13</v>
      </c>
      <c r="D3" s="19" t="s">
        <v>13</v>
      </c>
      <c r="E3" s="19" t="s">
        <v>3</v>
      </c>
      <c r="F3" s="19" t="s">
        <v>4</v>
      </c>
      <c r="G3" s="1"/>
      <c r="H3" s="19"/>
      <c r="I3" s="19"/>
      <c r="J3" s="19" t="s">
        <v>15</v>
      </c>
      <c r="K3" s="19" t="s">
        <v>16</v>
      </c>
      <c r="L3" s="19" t="s">
        <v>33</v>
      </c>
      <c r="M3" s="19" t="s">
        <v>32</v>
      </c>
    </row>
    <row r="4" spans="1:13" ht="25.5" x14ac:dyDescent="0.2">
      <c r="A4" s="7" t="s">
        <v>51</v>
      </c>
      <c r="B4" s="7" t="s">
        <v>51</v>
      </c>
      <c r="C4" s="19">
        <v>15</v>
      </c>
      <c r="D4" s="19"/>
      <c r="E4" s="20">
        <v>50</v>
      </c>
      <c r="F4" s="20">
        <v>550</v>
      </c>
      <c r="G4" s="3" t="s">
        <v>23</v>
      </c>
      <c r="H4" s="24" t="s">
        <v>9</v>
      </c>
      <c r="I4" s="17">
        <v>3917.4</v>
      </c>
      <c r="J4" s="6">
        <v>3300</v>
      </c>
      <c r="K4" s="6">
        <f t="shared" ref="K4:K18" si="0">J4/F4</f>
        <v>6</v>
      </c>
      <c r="L4" s="29">
        <v>5.05</v>
      </c>
      <c r="M4" s="29">
        <f t="shared" ref="M4:M18" si="1">$J4*L4</f>
        <v>16665</v>
      </c>
    </row>
    <row r="5" spans="1:13" ht="25.5" x14ac:dyDescent="0.2">
      <c r="A5" s="7" t="s">
        <v>52</v>
      </c>
      <c r="B5" s="7" t="s">
        <v>52</v>
      </c>
      <c r="C5" s="19">
        <v>15</v>
      </c>
      <c r="D5" s="19"/>
      <c r="E5" s="20">
        <v>50</v>
      </c>
      <c r="F5" s="20">
        <v>1200</v>
      </c>
      <c r="G5" s="3" t="s">
        <v>24</v>
      </c>
      <c r="H5" s="24" t="s">
        <v>17</v>
      </c>
      <c r="I5" s="17">
        <v>3917.4</v>
      </c>
      <c r="J5" s="6">
        <v>9600</v>
      </c>
      <c r="K5" s="6">
        <f t="shared" si="0"/>
        <v>8</v>
      </c>
      <c r="L5" s="29">
        <v>2.5499999999999998</v>
      </c>
      <c r="M5" s="29">
        <f t="shared" si="1"/>
        <v>24480</v>
      </c>
    </row>
    <row r="6" spans="1:13" ht="25.5" x14ac:dyDescent="0.2">
      <c r="A6" s="7" t="s">
        <v>57</v>
      </c>
      <c r="B6" s="7" t="s">
        <v>57</v>
      </c>
      <c r="C6" s="19">
        <v>20</v>
      </c>
      <c r="D6" s="19"/>
      <c r="E6" s="20">
        <v>10</v>
      </c>
      <c r="F6" s="20">
        <v>800</v>
      </c>
      <c r="G6" s="2" t="s">
        <v>27</v>
      </c>
      <c r="H6" s="24" t="s">
        <v>20</v>
      </c>
      <c r="I6" s="17">
        <v>3917.4</v>
      </c>
      <c r="J6" s="6">
        <v>1600</v>
      </c>
      <c r="K6" s="6">
        <f t="shared" si="0"/>
        <v>2</v>
      </c>
      <c r="L6" s="28">
        <v>1.9</v>
      </c>
      <c r="M6" s="29">
        <f t="shared" si="1"/>
        <v>3040</v>
      </c>
    </row>
    <row r="7" spans="1:13" ht="25.5" x14ac:dyDescent="0.2">
      <c r="A7" s="7" t="s">
        <v>61</v>
      </c>
      <c r="B7" s="7" t="s">
        <v>61</v>
      </c>
      <c r="C7" s="19">
        <v>15</v>
      </c>
      <c r="D7" s="19"/>
      <c r="E7" s="20">
        <v>50</v>
      </c>
      <c r="F7" s="20">
        <v>1750</v>
      </c>
      <c r="G7" s="3" t="s">
        <v>28</v>
      </c>
      <c r="H7" s="24" t="s">
        <v>7</v>
      </c>
      <c r="I7" s="17">
        <v>3917.4</v>
      </c>
      <c r="J7" s="6">
        <v>1750</v>
      </c>
      <c r="K7" s="6">
        <f t="shared" si="0"/>
        <v>1</v>
      </c>
      <c r="L7" s="28">
        <v>1.7</v>
      </c>
      <c r="M7" s="29">
        <f t="shared" si="1"/>
        <v>2975</v>
      </c>
    </row>
    <row r="8" spans="1:13" ht="25.5" x14ac:dyDescent="0.2">
      <c r="A8" s="7" t="s">
        <v>47</v>
      </c>
      <c r="B8" s="7" t="s">
        <v>47</v>
      </c>
      <c r="C8" s="19">
        <v>15</v>
      </c>
      <c r="D8" s="19">
        <v>80</v>
      </c>
      <c r="E8" s="20">
        <v>50</v>
      </c>
      <c r="F8" s="20">
        <v>1100</v>
      </c>
      <c r="G8" s="3" t="s">
        <v>21</v>
      </c>
      <c r="H8" s="24" t="s">
        <v>6</v>
      </c>
      <c r="I8" s="17">
        <v>3917.4</v>
      </c>
      <c r="J8" s="6">
        <v>19800</v>
      </c>
      <c r="K8" s="6">
        <f t="shared" si="0"/>
        <v>18</v>
      </c>
      <c r="L8" s="28">
        <v>1.85</v>
      </c>
      <c r="M8" s="29">
        <f t="shared" si="1"/>
        <v>36630</v>
      </c>
    </row>
    <row r="9" spans="1:13" ht="25.5" x14ac:dyDescent="0.2">
      <c r="A9" s="7" t="s">
        <v>48</v>
      </c>
      <c r="B9" s="7" t="s">
        <v>48</v>
      </c>
      <c r="C9" s="19">
        <v>15</v>
      </c>
      <c r="D9" s="19">
        <v>125</v>
      </c>
      <c r="E9" s="20">
        <v>50</v>
      </c>
      <c r="F9" s="20">
        <v>800</v>
      </c>
      <c r="G9" s="3" t="s">
        <v>22</v>
      </c>
      <c r="H9" s="24" t="s">
        <v>8</v>
      </c>
      <c r="I9" s="17">
        <v>3917.4</v>
      </c>
      <c r="J9" s="6">
        <v>9600</v>
      </c>
      <c r="K9" s="6">
        <f t="shared" si="0"/>
        <v>12</v>
      </c>
      <c r="L9" s="28">
        <v>3.2</v>
      </c>
      <c r="M9" s="29">
        <f t="shared" si="1"/>
        <v>30720</v>
      </c>
    </row>
    <row r="10" spans="1:13" ht="25.5" x14ac:dyDescent="0.2">
      <c r="A10" s="7" t="s">
        <v>53</v>
      </c>
      <c r="B10" s="7" t="s">
        <v>53</v>
      </c>
      <c r="C10" s="19">
        <v>20</v>
      </c>
      <c r="D10" s="19">
        <v>50</v>
      </c>
      <c r="E10" s="20">
        <v>10</v>
      </c>
      <c r="F10" s="20">
        <v>1300</v>
      </c>
      <c r="G10" s="3" t="s">
        <v>25</v>
      </c>
      <c r="H10" s="24" t="s">
        <v>18</v>
      </c>
      <c r="I10" s="17">
        <v>3917.4</v>
      </c>
      <c r="J10" s="6">
        <v>2600</v>
      </c>
      <c r="K10" s="6">
        <f t="shared" si="0"/>
        <v>2</v>
      </c>
      <c r="L10" s="28">
        <v>2.2000000000000002</v>
      </c>
      <c r="M10" s="29">
        <f t="shared" si="1"/>
        <v>5720.0000000000009</v>
      </c>
    </row>
    <row r="11" spans="1:13" ht="25.5" x14ac:dyDescent="0.2">
      <c r="A11" s="7" t="s">
        <v>54</v>
      </c>
      <c r="B11" s="7" t="s">
        <v>54</v>
      </c>
      <c r="C11" s="19">
        <v>20</v>
      </c>
      <c r="D11" s="19">
        <v>80</v>
      </c>
      <c r="E11" s="20">
        <v>10</v>
      </c>
      <c r="F11" s="20">
        <v>800</v>
      </c>
      <c r="G11" s="3" t="s">
        <v>26</v>
      </c>
      <c r="H11" s="24" t="s">
        <v>19</v>
      </c>
      <c r="I11" s="17">
        <v>3917.4</v>
      </c>
      <c r="J11" s="6">
        <v>1600</v>
      </c>
      <c r="K11" s="6">
        <f t="shared" si="0"/>
        <v>2</v>
      </c>
      <c r="L11" s="28">
        <v>2.8</v>
      </c>
      <c r="M11" s="29">
        <f t="shared" si="1"/>
        <v>4480</v>
      </c>
    </row>
    <row r="12" spans="1:13" ht="25.5" x14ac:dyDescent="0.2">
      <c r="A12" s="7" t="s">
        <v>55</v>
      </c>
      <c r="B12" s="7" t="s">
        <v>55</v>
      </c>
      <c r="C12" s="19">
        <v>20</v>
      </c>
      <c r="D12" s="19">
        <v>150</v>
      </c>
      <c r="E12" s="20">
        <v>10</v>
      </c>
      <c r="F12" s="20">
        <v>450</v>
      </c>
      <c r="G12" s="3" t="s">
        <v>30</v>
      </c>
      <c r="H12" s="24" t="s">
        <v>31</v>
      </c>
      <c r="I12" s="17">
        <v>3917.4</v>
      </c>
      <c r="J12" s="6">
        <v>1800</v>
      </c>
      <c r="K12" s="6">
        <f t="shared" si="0"/>
        <v>4</v>
      </c>
      <c r="L12" s="28">
        <v>5.55</v>
      </c>
      <c r="M12" s="29">
        <f t="shared" si="1"/>
        <v>9990</v>
      </c>
    </row>
    <row r="13" spans="1:13" ht="25.5" x14ac:dyDescent="0.2">
      <c r="A13" s="12" t="s">
        <v>58</v>
      </c>
      <c r="B13" s="12" t="s">
        <v>58</v>
      </c>
      <c r="C13" s="18">
        <v>25</v>
      </c>
      <c r="D13" s="18">
        <v>100</v>
      </c>
      <c r="E13" s="22">
        <v>10</v>
      </c>
      <c r="F13" s="22">
        <v>400</v>
      </c>
      <c r="G13" s="14" t="s">
        <v>41</v>
      </c>
      <c r="H13" s="25" t="s">
        <v>42</v>
      </c>
      <c r="I13" s="17">
        <v>3917.4</v>
      </c>
      <c r="J13" s="6">
        <v>800</v>
      </c>
      <c r="K13" s="6">
        <f t="shared" si="0"/>
        <v>2</v>
      </c>
      <c r="L13" s="28">
        <v>6.45</v>
      </c>
      <c r="M13" s="29">
        <f t="shared" si="1"/>
        <v>5160</v>
      </c>
    </row>
    <row r="14" spans="1:13" ht="25.5" x14ac:dyDescent="0.2">
      <c r="A14" s="12" t="s">
        <v>59</v>
      </c>
      <c r="B14" s="12" t="s">
        <v>59</v>
      </c>
      <c r="C14" s="18">
        <v>25</v>
      </c>
      <c r="D14" s="18">
        <v>150</v>
      </c>
      <c r="E14" s="20">
        <v>10</v>
      </c>
      <c r="F14" s="20">
        <v>300</v>
      </c>
      <c r="G14" s="14" t="s">
        <v>43</v>
      </c>
      <c r="H14" s="26" t="s">
        <v>44</v>
      </c>
      <c r="I14" s="17">
        <v>3917.4</v>
      </c>
      <c r="J14" s="6">
        <v>300</v>
      </c>
      <c r="K14" s="6">
        <f t="shared" si="0"/>
        <v>1</v>
      </c>
      <c r="L14" s="28">
        <v>7.4</v>
      </c>
      <c r="M14" s="29">
        <f t="shared" si="1"/>
        <v>2220</v>
      </c>
    </row>
    <row r="15" spans="1:13" ht="25.5" x14ac:dyDescent="0.2">
      <c r="A15" s="1">
        <v>90443200</v>
      </c>
      <c r="B15" s="1" t="s">
        <v>60</v>
      </c>
      <c r="C15" s="19" t="s">
        <v>45</v>
      </c>
      <c r="D15" s="19">
        <v>150</v>
      </c>
      <c r="E15" s="20">
        <v>10</v>
      </c>
      <c r="F15" s="20">
        <v>300</v>
      </c>
      <c r="G15" s="3" t="s">
        <v>63</v>
      </c>
      <c r="H15" s="27" t="s">
        <v>34</v>
      </c>
      <c r="I15" s="17">
        <v>3917.4</v>
      </c>
      <c r="J15" s="6">
        <v>900</v>
      </c>
      <c r="K15" s="6">
        <f t="shared" si="0"/>
        <v>3</v>
      </c>
      <c r="L15" s="28">
        <v>6.95</v>
      </c>
      <c r="M15" s="29">
        <f t="shared" si="1"/>
        <v>6255</v>
      </c>
    </row>
    <row r="16" spans="1:13" ht="25.5" x14ac:dyDescent="0.2">
      <c r="A16" s="12" t="s">
        <v>49</v>
      </c>
      <c r="B16" s="12" t="s">
        <v>49</v>
      </c>
      <c r="C16" s="18">
        <v>15</v>
      </c>
      <c r="D16" s="18">
        <v>150</v>
      </c>
      <c r="E16" s="23">
        <v>10</v>
      </c>
      <c r="F16" s="21">
        <v>130</v>
      </c>
      <c r="G16" s="13" t="s">
        <v>35</v>
      </c>
      <c r="H16" s="26" t="s">
        <v>36</v>
      </c>
      <c r="I16" s="17">
        <v>3917.4</v>
      </c>
      <c r="J16" s="6">
        <v>1950</v>
      </c>
      <c r="K16" s="6">
        <f t="shared" si="0"/>
        <v>15</v>
      </c>
      <c r="L16" s="28">
        <v>8.8000000000000007</v>
      </c>
      <c r="M16" s="29">
        <f t="shared" si="1"/>
        <v>17160</v>
      </c>
    </row>
    <row r="17" spans="1:13" ht="25.5" x14ac:dyDescent="0.2">
      <c r="A17" s="12" t="s">
        <v>50</v>
      </c>
      <c r="B17" s="12" t="s">
        <v>50</v>
      </c>
      <c r="C17" s="18">
        <v>15</v>
      </c>
      <c r="D17" s="18">
        <v>200</v>
      </c>
      <c r="E17" s="21">
        <v>10</v>
      </c>
      <c r="F17" s="21">
        <v>110</v>
      </c>
      <c r="G17" s="13" t="s">
        <v>37</v>
      </c>
      <c r="H17" s="26" t="s">
        <v>38</v>
      </c>
      <c r="I17" s="17">
        <v>3917.4</v>
      </c>
      <c r="J17" s="6">
        <v>550</v>
      </c>
      <c r="K17" s="6">
        <f t="shared" si="0"/>
        <v>5</v>
      </c>
      <c r="L17" s="28">
        <v>9.35</v>
      </c>
      <c r="M17" s="29">
        <f t="shared" si="1"/>
        <v>5142.5</v>
      </c>
    </row>
    <row r="18" spans="1:13" ht="25.5" x14ac:dyDescent="0.2">
      <c r="A18" s="12" t="s">
        <v>56</v>
      </c>
      <c r="B18" s="12" t="s">
        <v>56</v>
      </c>
      <c r="C18" s="18">
        <v>20</v>
      </c>
      <c r="D18" s="18">
        <v>200</v>
      </c>
      <c r="E18" s="21">
        <v>5</v>
      </c>
      <c r="F18" s="21">
        <v>75</v>
      </c>
      <c r="G18" s="13" t="s">
        <v>39</v>
      </c>
      <c r="H18" s="26" t="s">
        <v>40</v>
      </c>
      <c r="I18" s="17">
        <v>3917.4</v>
      </c>
      <c r="J18" s="6">
        <v>300</v>
      </c>
      <c r="K18" s="6">
        <f t="shared" si="0"/>
        <v>4</v>
      </c>
      <c r="L18" s="28">
        <v>16.649999999999999</v>
      </c>
      <c r="M18" s="29">
        <f t="shared" si="1"/>
        <v>4995</v>
      </c>
    </row>
    <row r="19" spans="1:13" x14ac:dyDescent="0.2">
      <c r="A19" s="8"/>
      <c r="B19" s="8"/>
      <c r="C19" s="15"/>
      <c r="D19" s="15"/>
      <c r="E19" s="9"/>
      <c r="F19" s="9"/>
      <c r="G19" s="10"/>
      <c r="H19" s="5" t="s">
        <v>29</v>
      </c>
      <c r="I19" s="5"/>
      <c r="J19" s="5">
        <f>SUBTOTAL(9,J4:J18)</f>
        <v>56450</v>
      </c>
      <c r="K19" s="5">
        <f>SUBTOTAL(9,K4:K18)</f>
        <v>85</v>
      </c>
      <c r="L19" s="30"/>
      <c r="M19" s="30">
        <f>SUBTOTAL(9,M4:M18)</f>
        <v>175632.5</v>
      </c>
    </row>
  </sheetData>
  <sortState ref="B5:AJ47">
    <sortCondition ref="B5"/>
  </sortState>
  <mergeCells count="4">
    <mergeCell ref="E2:F2"/>
    <mergeCell ref="J2:K2"/>
    <mergeCell ref="L2:M2"/>
    <mergeCell ref="A1:M1"/>
  </mergeCells>
  <phoneticPr fontId="0" type="noConversion"/>
  <pageMargins left="0.5" right="0.5" top="0.5" bottom="0.5" header="0" footer="0"/>
  <pageSetup paperSize="9"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O21"/>
  <sheetViews>
    <sheetView workbookViewId="0">
      <selection sqref="A1:K1"/>
    </sheetView>
  </sheetViews>
  <sheetFormatPr defaultColWidth="9.140625" defaultRowHeight="12.75" x14ac:dyDescent="0.2"/>
  <cols>
    <col min="1" max="1" width="11.28515625" style="61" bestFit="1" customWidth="1"/>
    <col min="2" max="2" width="5.140625" style="61" bestFit="1" customWidth="1"/>
    <col min="3" max="3" width="6" style="62" bestFit="1" customWidth="1"/>
    <col min="4" max="4" width="6.28515625" style="62" bestFit="1" customWidth="1"/>
    <col min="5" max="5" width="32.7109375" style="61" bestFit="1" customWidth="1"/>
    <col min="6" max="6" width="14.140625" style="61" bestFit="1" customWidth="1"/>
    <col min="7" max="7" width="14.140625" style="61" customWidth="1"/>
    <col min="8" max="8" width="9.140625" style="61"/>
    <col min="9" max="9" width="9.28515625" style="61" bestFit="1" customWidth="1"/>
    <col min="10" max="10" width="10" style="61" bestFit="1" customWidth="1"/>
    <col min="11" max="11" width="12.28515625" style="61" bestFit="1" customWidth="1"/>
    <col min="12" max="16384" width="9.140625" style="4"/>
  </cols>
  <sheetData>
    <row r="1" spans="1:15" x14ac:dyDescent="0.2">
      <c r="A1" s="35" t="s">
        <v>64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5" ht="20.25" customHeight="1" x14ac:dyDescent="0.2">
      <c r="A2" s="18" t="s">
        <v>10</v>
      </c>
      <c r="B2" s="18" t="s">
        <v>11</v>
      </c>
      <c r="C2" s="36" t="s">
        <v>2</v>
      </c>
      <c r="D2" s="37"/>
      <c r="E2" s="18" t="s">
        <v>1</v>
      </c>
      <c r="F2" s="18" t="s">
        <v>5</v>
      </c>
      <c r="G2" s="18" t="s">
        <v>46</v>
      </c>
      <c r="H2" s="38" t="s">
        <v>14</v>
      </c>
      <c r="I2" s="38"/>
      <c r="J2" s="38" t="s">
        <v>65</v>
      </c>
      <c r="K2" s="38"/>
    </row>
    <row r="3" spans="1:15" ht="20.25" customHeight="1" x14ac:dyDescent="0.2">
      <c r="A3" s="39"/>
      <c r="B3" s="18" t="s">
        <v>13</v>
      </c>
      <c r="C3" s="18" t="s">
        <v>3</v>
      </c>
      <c r="D3" s="18" t="s">
        <v>4</v>
      </c>
      <c r="E3" s="40"/>
      <c r="F3" s="18"/>
      <c r="G3" s="18"/>
      <c r="H3" s="19" t="s">
        <v>15</v>
      </c>
      <c r="I3" s="19" t="s">
        <v>16</v>
      </c>
      <c r="J3" s="18" t="s">
        <v>33</v>
      </c>
      <c r="K3" s="18" t="s">
        <v>32</v>
      </c>
    </row>
    <row r="4" spans="1:15" x14ac:dyDescent="0.2">
      <c r="A4" s="41" t="s">
        <v>66</v>
      </c>
      <c r="B4" s="42">
        <v>15</v>
      </c>
      <c r="C4" s="21">
        <v>10</v>
      </c>
      <c r="D4" s="22">
        <v>800</v>
      </c>
      <c r="E4" s="13" t="s">
        <v>67</v>
      </c>
      <c r="F4" s="43">
        <v>9319696300150</v>
      </c>
      <c r="G4" s="44">
        <v>3917.4</v>
      </c>
      <c r="H4" s="39">
        <v>4800</v>
      </c>
      <c r="I4" s="39">
        <f t="shared" ref="I4:I20" si="0">H4/D4</f>
        <v>6</v>
      </c>
      <c r="J4" s="45">
        <v>9</v>
      </c>
      <c r="K4" s="46">
        <f t="shared" ref="K4:K20" si="1">$H4*J4</f>
        <v>43200</v>
      </c>
    </row>
    <row r="5" spans="1:15" x14ac:dyDescent="0.2">
      <c r="A5" s="41" t="s">
        <v>68</v>
      </c>
      <c r="B5" s="42">
        <v>20</v>
      </c>
      <c r="C5" s="21">
        <v>10</v>
      </c>
      <c r="D5" s="21">
        <v>550</v>
      </c>
      <c r="E5" s="13" t="s">
        <v>69</v>
      </c>
      <c r="F5" s="43">
        <v>9319696300204</v>
      </c>
      <c r="G5" s="44">
        <v>3917.4</v>
      </c>
      <c r="H5" s="39">
        <v>4400</v>
      </c>
      <c r="I5" s="39">
        <f t="shared" si="0"/>
        <v>8</v>
      </c>
      <c r="J5" s="45">
        <v>15.5</v>
      </c>
      <c r="K5" s="46">
        <f t="shared" si="1"/>
        <v>68200</v>
      </c>
    </row>
    <row r="6" spans="1:15" x14ac:dyDescent="0.2">
      <c r="A6" s="41" t="s">
        <v>70</v>
      </c>
      <c r="B6" s="42">
        <v>25</v>
      </c>
      <c r="C6" s="21">
        <v>10</v>
      </c>
      <c r="D6" s="21">
        <v>300</v>
      </c>
      <c r="E6" s="13" t="s">
        <v>71</v>
      </c>
      <c r="F6" s="43">
        <v>9319696300259</v>
      </c>
      <c r="G6" s="44">
        <v>3917.4</v>
      </c>
      <c r="H6" s="39">
        <v>1800</v>
      </c>
      <c r="I6" s="39">
        <f t="shared" si="0"/>
        <v>6</v>
      </c>
      <c r="J6" s="45">
        <v>23.95</v>
      </c>
      <c r="K6" s="46">
        <f t="shared" si="1"/>
        <v>43110</v>
      </c>
    </row>
    <row r="7" spans="1:15" x14ac:dyDescent="0.2">
      <c r="A7" s="41" t="s">
        <v>72</v>
      </c>
      <c r="B7" s="42">
        <v>15</v>
      </c>
      <c r="C7" s="21">
        <v>5</v>
      </c>
      <c r="D7" s="22">
        <v>200</v>
      </c>
      <c r="E7" s="47" t="s">
        <v>73</v>
      </c>
      <c r="F7" s="48" t="s">
        <v>74</v>
      </c>
      <c r="G7" s="44">
        <v>3917.4</v>
      </c>
      <c r="H7" s="39">
        <v>2000</v>
      </c>
      <c r="I7" s="39">
        <f t="shared" si="0"/>
        <v>10</v>
      </c>
      <c r="J7" s="28">
        <v>18.850000000000001</v>
      </c>
      <c r="K7" s="46">
        <f t="shared" si="1"/>
        <v>37700</v>
      </c>
    </row>
    <row r="8" spans="1:15" x14ac:dyDescent="0.2">
      <c r="A8" s="41" t="s">
        <v>75</v>
      </c>
      <c r="B8" s="42">
        <v>20</v>
      </c>
      <c r="C8" s="20">
        <v>5</v>
      </c>
      <c r="D8" s="20">
        <v>150</v>
      </c>
      <c r="E8" s="47" t="s">
        <v>76</v>
      </c>
      <c r="F8" s="48" t="s">
        <v>77</v>
      </c>
      <c r="G8" s="44">
        <v>3917.4</v>
      </c>
      <c r="H8" s="39">
        <v>2100</v>
      </c>
      <c r="I8" s="6">
        <f t="shared" si="0"/>
        <v>14</v>
      </c>
      <c r="J8" s="28">
        <v>25.15</v>
      </c>
      <c r="K8" s="46">
        <f t="shared" si="1"/>
        <v>52815</v>
      </c>
    </row>
    <row r="9" spans="1:15" x14ac:dyDescent="0.2">
      <c r="A9" s="41" t="s">
        <v>78</v>
      </c>
      <c r="B9" s="42">
        <v>25</v>
      </c>
      <c r="C9" s="20">
        <v>5</v>
      </c>
      <c r="D9" s="20">
        <v>125</v>
      </c>
      <c r="E9" s="47" t="s">
        <v>79</v>
      </c>
      <c r="F9" s="48" t="s">
        <v>80</v>
      </c>
      <c r="G9" s="44">
        <v>3917.4</v>
      </c>
      <c r="H9" s="39">
        <v>2000</v>
      </c>
      <c r="I9" s="6">
        <f t="shared" si="0"/>
        <v>16</v>
      </c>
      <c r="J9" s="28">
        <v>35.200000000000003</v>
      </c>
      <c r="K9" s="46">
        <f t="shared" si="1"/>
        <v>70400</v>
      </c>
    </row>
    <row r="10" spans="1:15" x14ac:dyDescent="0.2">
      <c r="A10" s="41" t="s">
        <v>81</v>
      </c>
      <c r="B10" s="42">
        <v>15</v>
      </c>
      <c r="C10" s="21">
        <v>10</v>
      </c>
      <c r="D10" s="21">
        <v>1500</v>
      </c>
      <c r="E10" s="14" t="s">
        <v>82</v>
      </c>
      <c r="F10" s="43">
        <v>9319696120154</v>
      </c>
      <c r="G10" s="44">
        <v>3917.4</v>
      </c>
      <c r="H10" s="39">
        <v>3000</v>
      </c>
      <c r="I10" s="39">
        <f t="shared" si="0"/>
        <v>2</v>
      </c>
      <c r="J10" s="45">
        <v>5.5</v>
      </c>
      <c r="K10" s="46">
        <f t="shared" si="1"/>
        <v>16500</v>
      </c>
    </row>
    <row r="11" spans="1:15" x14ac:dyDescent="0.2">
      <c r="A11" s="41" t="s">
        <v>83</v>
      </c>
      <c r="B11" s="42">
        <v>20</v>
      </c>
      <c r="C11" s="21">
        <v>10</v>
      </c>
      <c r="D11" s="21">
        <v>780</v>
      </c>
      <c r="E11" s="13" t="s">
        <v>84</v>
      </c>
      <c r="F11" s="43">
        <v>9319696120208</v>
      </c>
      <c r="G11" s="44">
        <v>3917.4</v>
      </c>
      <c r="H11" s="39">
        <v>1560</v>
      </c>
      <c r="I11" s="39">
        <f t="shared" si="0"/>
        <v>2</v>
      </c>
      <c r="J11" s="45">
        <v>8</v>
      </c>
      <c r="K11" s="46">
        <f t="shared" si="1"/>
        <v>12480</v>
      </c>
    </row>
    <row r="12" spans="1:15" x14ac:dyDescent="0.2">
      <c r="A12" s="41" t="s">
        <v>85</v>
      </c>
      <c r="B12" s="42">
        <v>25</v>
      </c>
      <c r="C12" s="21">
        <v>10</v>
      </c>
      <c r="D12" s="21">
        <v>550</v>
      </c>
      <c r="E12" s="13" t="s">
        <v>86</v>
      </c>
      <c r="F12" s="43">
        <v>9319696120253</v>
      </c>
      <c r="G12" s="44">
        <v>3917.4</v>
      </c>
      <c r="H12" s="39">
        <v>2200</v>
      </c>
      <c r="I12" s="39">
        <f t="shared" si="0"/>
        <v>4</v>
      </c>
      <c r="J12" s="45">
        <v>9.9499999999999993</v>
      </c>
      <c r="K12" s="46">
        <f t="shared" si="1"/>
        <v>21890</v>
      </c>
    </row>
    <row r="13" spans="1:15" x14ac:dyDescent="0.2">
      <c r="A13" s="49" t="s">
        <v>87</v>
      </c>
      <c r="B13" s="50">
        <v>15</v>
      </c>
      <c r="C13" s="20">
        <v>10</v>
      </c>
      <c r="D13" s="20">
        <v>1900</v>
      </c>
      <c r="E13" s="3" t="s">
        <v>88</v>
      </c>
      <c r="F13" s="51">
        <v>9319696400157</v>
      </c>
      <c r="G13" s="52">
        <v>3917.4</v>
      </c>
      <c r="H13" s="6">
        <v>19000</v>
      </c>
      <c r="I13" s="6">
        <f t="shared" si="0"/>
        <v>10</v>
      </c>
      <c r="J13" s="28">
        <v>5.5</v>
      </c>
      <c r="K13" s="29">
        <f t="shared" si="1"/>
        <v>104500</v>
      </c>
      <c r="N13" s="53"/>
      <c r="O13" s="54"/>
    </row>
    <row r="14" spans="1:15" x14ac:dyDescent="0.2">
      <c r="A14" s="49" t="s">
        <v>89</v>
      </c>
      <c r="B14" s="50">
        <v>20</v>
      </c>
      <c r="C14" s="20">
        <v>10</v>
      </c>
      <c r="D14" s="20">
        <v>890</v>
      </c>
      <c r="E14" s="3" t="s">
        <v>90</v>
      </c>
      <c r="F14" s="51">
        <v>9319696400201</v>
      </c>
      <c r="G14" s="52">
        <v>3917.4</v>
      </c>
      <c r="H14" s="6">
        <v>8010</v>
      </c>
      <c r="I14" s="6">
        <f t="shared" si="0"/>
        <v>9</v>
      </c>
      <c r="J14" s="28">
        <v>6.5</v>
      </c>
      <c r="K14" s="29">
        <f t="shared" si="1"/>
        <v>52065</v>
      </c>
      <c r="N14" s="53"/>
      <c r="O14" s="54"/>
    </row>
    <row r="15" spans="1:15" x14ac:dyDescent="0.2">
      <c r="A15" s="49" t="s">
        <v>91</v>
      </c>
      <c r="B15" s="50">
        <v>25</v>
      </c>
      <c r="C15" s="20">
        <v>10</v>
      </c>
      <c r="D15" s="20">
        <v>600</v>
      </c>
      <c r="E15" s="3" t="s">
        <v>92</v>
      </c>
      <c r="F15" s="51">
        <v>9319696400256</v>
      </c>
      <c r="G15" s="52">
        <v>3917.4</v>
      </c>
      <c r="H15" s="6">
        <v>7200</v>
      </c>
      <c r="I15" s="6">
        <f t="shared" si="0"/>
        <v>12</v>
      </c>
      <c r="J15" s="28">
        <v>10</v>
      </c>
      <c r="K15" s="29">
        <f t="shared" si="1"/>
        <v>72000</v>
      </c>
      <c r="N15" s="53"/>
      <c r="O15" s="54"/>
    </row>
    <row r="16" spans="1:15" x14ac:dyDescent="0.2">
      <c r="A16" s="41" t="s">
        <v>93</v>
      </c>
      <c r="B16" s="42" t="s">
        <v>94</v>
      </c>
      <c r="C16" s="21">
        <v>10</v>
      </c>
      <c r="D16" s="21">
        <v>2000</v>
      </c>
      <c r="E16" s="13" t="s">
        <v>95</v>
      </c>
      <c r="F16" s="43">
        <v>9319696720156</v>
      </c>
      <c r="G16" s="44">
        <v>3917.4</v>
      </c>
      <c r="H16" s="39">
        <v>8000</v>
      </c>
      <c r="I16" s="39">
        <f t="shared" si="0"/>
        <v>4</v>
      </c>
      <c r="J16" s="45">
        <v>6</v>
      </c>
      <c r="K16" s="46">
        <f t="shared" si="1"/>
        <v>48000</v>
      </c>
    </row>
    <row r="17" spans="1:11" x14ac:dyDescent="0.2">
      <c r="A17" s="41" t="s">
        <v>96</v>
      </c>
      <c r="B17" s="42" t="s">
        <v>97</v>
      </c>
      <c r="C17" s="21">
        <v>10</v>
      </c>
      <c r="D17" s="21">
        <v>1200</v>
      </c>
      <c r="E17" s="13" t="s">
        <v>98</v>
      </c>
      <c r="F17" s="43">
        <v>9319696725151</v>
      </c>
      <c r="G17" s="44">
        <v>3917.4</v>
      </c>
      <c r="H17" s="39">
        <v>2400</v>
      </c>
      <c r="I17" s="39">
        <f t="shared" si="0"/>
        <v>2</v>
      </c>
      <c r="J17" s="45">
        <v>9.9499999999999993</v>
      </c>
      <c r="K17" s="46">
        <f t="shared" si="1"/>
        <v>23880</v>
      </c>
    </row>
    <row r="18" spans="1:11" x14ac:dyDescent="0.2">
      <c r="A18" s="41" t="s">
        <v>99</v>
      </c>
      <c r="B18" s="42" t="s">
        <v>100</v>
      </c>
      <c r="C18" s="21">
        <v>10</v>
      </c>
      <c r="D18" s="21">
        <v>1100</v>
      </c>
      <c r="E18" s="13" t="s">
        <v>101</v>
      </c>
      <c r="F18" s="43">
        <v>9319696725205</v>
      </c>
      <c r="G18" s="44">
        <v>3917.4</v>
      </c>
      <c r="H18" s="39">
        <v>4400</v>
      </c>
      <c r="I18" s="39">
        <f t="shared" si="0"/>
        <v>4</v>
      </c>
      <c r="J18" s="45">
        <v>9</v>
      </c>
      <c r="K18" s="46">
        <f t="shared" si="1"/>
        <v>39600</v>
      </c>
    </row>
    <row r="19" spans="1:11" x14ac:dyDescent="0.2">
      <c r="A19" s="41" t="s">
        <v>102</v>
      </c>
      <c r="B19" s="42" t="s">
        <v>103</v>
      </c>
      <c r="C19" s="21">
        <v>10</v>
      </c>
      <c r="D19" s="21">
        <v>500</v>
      </c>
      <c r="E19" s="13" t="s">
        <v>104</v>
      </c>
      <c r="F19" s="43">
        <v>9319696740253</v>
      </c>
      <c r="G19" s="44">
        <v>3917.4</v>
      </c>
      <c r="H19" s="39">
        <v>2000</v>
      </c>
      <c r="I19" s="39">
        <f t="shared" si="0"/>
        <v>4</v>
      </c>
      <c r="J19" s="46">
        <v>15.95</v>
      </c>
      <c r="K19" s="46">
        <f t="shared" si="1"/>
        <v>31900</v>
      </c>
    </row>
    <row r="20" spans="1:11" x14ac:dyDescent="0.2">
      <c r="A20" s="41" t="s">
        <v>105</v>
      </c>
      <c r="B20" s="20">
        <v>20</v>
      </c>
      <c r="C20" s="21">
        <v>10</v>
      </c>
      <c r="D20" s="21">
        <v>750</v>
      </c>
      <c r="E20" s="14" t="s">
        <v>106</v>
      </c>
      <c r="F20" s="43">
        <v>9319696502004</v>
      </c>
      <c r="G20" s="44">
        <v>3917.4</v>
      </c>
      <c r="H20" s="39">
        <v>9000</v>
      </c>
      <c r="I20" s="39">
        <f t="shared" si="0"/>
        <v>12</v>
      </c>
      <c r="J20" s="46">
        <v>11.85</v>
      </c>
      <c r="K20" s="46">
        <f t="shared" si="1"/>
        <v>106650</v>
      </c>
    </row>
    <row r="21" spans="1:11" x14ac:dyDescent="0.2">
      <c r="A21" s="55"/>
      <c r="B21" s="56"/>
      <c r="C21" s="57"/>
      <c r="D21" s="57"/>
      <c r="E21" s="58"/>
      <c r="F21" s="59" t="s">
        <v>29</v>
      </c>
      <c r="G21" s="59"/>
      <c r="H21" s="59">
        <f>SUBTOTAL(9,H4:H20)</f>
        <v>83870</v>
      </c>
      <c r="I21" s="59">
        <f>SUBTOTAL(9,I4:I20)</f>
        <v>125</v>
      </c>
      <c r="J21" s="60"/>
      <c r="K21" s="60">
        <f>SUBTOTAL(9,K4:K20)</f>
        <v>844890</v>
      </c>
    </row>
  </sheetData>
  <mergeCells count="4">
    <mergeCell ref="A1:K1"/>
    <mergeCell ref="C2:D2"/>
    <mergeCell ref="H2:I2"/>
    <mergeCell ref="J2:K2"/>
  </mergeCells>
  <pageMargins left="0.51181102362204722" right="0.51181102362204722" top="0.51181102362204722" bottom="0.51181102362204722" header="0" footer="0"/>
  <pageSetup paperSize="9" scale="4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PP</vt:lpstr>
      <vt:lpstr>Purchase GRN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lastPrinted>2021-08-10T05:25:17Z</cp:lastPrinted>
  <dcterms:created xsi:type="dcterms:W3CDTF">2008-10-02T09:29:29Z</dcterms:created>
  <dcterms:modified xsi:type="dcterms:W3CDTF">2026-05-29T10:43:06Z</dcterms:modified>
</cp:coreProperties>
</file>