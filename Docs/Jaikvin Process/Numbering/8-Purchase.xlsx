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305"/>
  </bookViews>
  <sheets>
    <sheet name="Purchase" sheetId="6" r:id="rId1"/>
  </sheets>
  <definedNames>
    <definedName name="_xlnm._FilterDatabase" localSheetId="0" hidden="1">Purchase!$A$3:$P$56</definedName>
  </definedNames>
  <calcPr calcId="162913"/>
</workbook>
</file>

<file path=xl/calcChain.xml><?xml version="1.0" encoding="utf-8"?>
<calcChain xmlns="http://schemas.openxmlformats.org/spreadsheetml/2006/main">
  <c r="M57" i="6" l="1"/>
  <c r="P56" i="6"/>
  <c r="N56" i="6"/>
  <c r="P55" i="6"/>
  <c r="N55" i="6"/>
  <c r="P54" i="6"/>
  <c r="N54" i="6"/>
  <c r="P53" i="6"/>
  <c r="N53" i="6"/>
  <c r="P52" i="6"/>
  <c r="N52" i="6"/>
  <c r="P50" i="6"/>
  <c r="N50" i="6"/>
  <c r="P49" i="6"/>
  <c r="N49" i="6"/>
  <c r="P48" i="6"/>
  <c r="N48" i="6"/>
  <c r="P47" i="6"/>
  <c r="N47" i="6"/>
  <c r="P46" i="6"/>
  <c r="N46" i="6"/>
  <c r="P45" i="6"/>
  <c r="N45" i="6"/>
  <c r="P44" i="6"/>
  <c r="N44" i="6"/>
  <c r="P42" i="6"/>
  <c r="N42" i="6"/>
  <c r="P41" i="6"/>
  <c r="N41" i="6"/>
  <c r="P40" i="6"/>
  <c r="N40" i="6"/>
  <c r="P39" i="6"/>
  <c r="N39" i="6"/>
  <c r="P37" i="6"/>
  <c r="N37" i="6"/>
  <c r="P36" i="6"/>
  <c r="N36" i="6"/>
  <c r="P35" i="6"/>
  <c r="N35" i="6"/>
  <c r="P34" i="6"/>
  <c r="N34" i="6"/>
  <c r="P33" i="6"/>
  <c r="N33" i="6"/>
  <c r="P32" i="6"/>
  <c r="N32" i="6"/>
  <c r="P31" i="6"/>
  <c r="N31" i="6"/>
  <c r="P30" i="6"/>
  <c r="N30" i="6"/>
  <c r="P28" i="6"/>
  <c r="N28" i="6"/>
  <c r="P27" i="6"/>
  <c r="N27" i="6"/>
  <c r="P26" i="6"/>
  <c r="N26" i="6"/>
  <c r="P25" i="6"/>
  <c r="N25" i="6"/>
  <c r="P24" i="6"/>
  <c r="N24" i="6"/>
  <c r="P23" i="6"/>
  <c r="N23" i="6"/>
  <c r="P22" i="6"/>
  <c r="N22" i="6"/>
  <c r="P21" i="6"/>
  <c r="N21" i="6"/>
  <c r="P20" i="6"/>
  <c r="N20" i="6"/>
  <c r="P18" i="6"/>
  <c r="N18" i="6"/>
  <c r="P17" i="6"/>
  <c r="N17" i="6"/>
  <c r="P16" i="6"/>
  <c r="N16" i="6"/>
  <c r="P15" i="6"/>
  <c r="N15" i="6"/>
  <c r="P14" i="6"/>
  <c r="N14" i="6"/>
  <c r="P13" i="6"/>
  <c r="N13" i="6"/>
  <c r="P11" i="6"/>
  <c r="N11" i="6"/>
  <c r="P10" i="6"/>
  <c r="N10" i="6"/>
  <c r="P9" i="6"/>
  <c r="N9" i="6"/>
  <c r="P8" i="6"/>
  <c r="N8" i="6"/>
  <c r="P7" i="6"/>
  <c r="N7" i="6"/>
  <c r="P6" i="6"/>
  <c r="N6" i="6"/>
  <c r="P5" i="6"/>
  <c r="N5" i="6"/>
  <c r="P4" i="6"/>
  <c r="N4" i="6"/>
  <c r="N57" i="6" l="1"/>
  <c r="P57" i="6"/>
  <c r="P58" i="6" l="1"/>
  <c r="P59" i="6" s="1"/>
</calcChain>
</file>

<file path=xl/sharedStrings.xml><?xml version="1.0" encoding="utf-8"?>
<sst xmlns="http://schemas.openxmlformats.org/spreadsheetml/2006/main" count="373" uniqueCount="265">
  <si>
    <t xml:space="preserve">CODE </t>
  </si>
  <si>
    <t>LENGTH</t>
  </si>
  <si>
    <t>DESCRIPTION</t>
  </si>
  <si>
    <t xml:space="preserve">PACKING </t>
  </si>
  <si>
    <t>UNIT</t>
  </si>
  <si>
    <t>BAR CODES</t>
  </si>
  <si>
    <t>9319696015481</t>
  </si>
  <si>
    <t>9319696015368</t>
  </si>
  <si>
    <t>9313146000386</t>
  </si>
  <si>
    <t>9319696015245</t>
  </si>
  <si>
    <t>9313146000379</t>
  </si>
  <si>
    <t>9319696015184</t>
  </si>
  <si>
    <t>9313146000362</t>
  </si>
  <si>
    <t>9313146000430</t>
  </si>
  <si>
    <t>9319696020249</t>
  </si>
  <si>
    <t>9319696020188</t>
  </si>
  <si>
    <t>9313146000416</t>
  </si>
  <si>
    <t>9313146000492</t>
  </si>
  <si>
    <t>9319696025244</t>
  </si>
  <si>
    <t>9313146000485</t>
  </si>
  <si>
    <t>9319696025183</t>
  </si>
  <si>
    <t>9313146000478</t>
  </si>
  <si>
    <t>32 MM (1.1/4")</t>
  </si>
  <si>
    <t>40 MM (1.1/2")</t>
  </si>
  <si>
    <t>50 MM (2")</t>
  </si>
  <si>
    <t>9319696032068</t>
  </si>
  <si>
    <t>9319696032181</t>
  </si>
  <si>
    <t>9319696040186</t>
  </si>
  <si>
    <t>9319696050062</t>
  </si>
  <si>
    <t>9319696050185</t>
  </si>
  <si>
    <t>9319696252428</t>
  </si>
  <si>
    <t>BOX</t>
  </si>
  <si>
    <t>MM</t>
  </si>
  <si>
    <t xml:space="preserve">SIZE </t>
  </si>
  <si>
    <t>9319696032303</t>
  </si>
  <si>
    <t>9319696253623</t>
  </si>
  <si>
    <t>PP PIPES M/F THREADED</t>
  </si>
  <si>
    <t>PJ2T15-1220</t>
  </si>
  <si>
    <t>PJ2T15-915</t>
  </si>
  <si>
    <t>PJ2T15-610</t>
  </si>
  <si>
    <t>PJ2T15-457</t>
  </si>
  <si>
    <t>PJ2T20-760</t>
  </si>
  <si>
    <t>PJ2T20-610</t>
  </si>
  <si>
    <t>PJ2T20-457</t>
  </si>
  <si>
    <t>PJ2T25-1800</t>
  </si>
  <si>
    <t>PJ2T25-760</t>
  </si>
  <si>
    <t>PJ2T25-610</t>
  </si>
  <si>
    <t>PJ2T25-457</t>
  </si>
  <si>
    <t>PJ2T32-150</t>
  </si>
  <si>
    <t>PJ2T32-450</t>
  </si>
  <si>
    <t>PJ2T32-600</t>
  </si>
  <si>
    <t>PJ2T32-750</t>
  </si>
  <si>
    <t>PJ2T32-900</t>
  </si>
  <si>
    <t>PJ2T40-150</t>
  </si>
  <si>
    <t>PJ2T40-450</t>
  </si>
  <si>
    <t>PJ2T50-150</t>
  </si>
  <si>
    <t>PJ2T50-300</t>
  </si>
  <si>
    <t>PJ2T50-450</t>
  </si>
  <si>
    <t>PJ2T50-1200</t>
  </si>
  <si>
    <t>PJMF25-600</t>
  </si>
  <si>
    <t>PJMF25-900</t>
  </si>
  <si>
    <t xml:space="preserve">PJ2T40-200 </t>
  </si>
  <si>
    <t>9319696040087</t>
  </si>
  <si>
    <t>TOTAL</t>
  </si>
  <si>
    <t>OSWIN CODE</t>
  </si>
  <si>
    <t>QUANTITY</t>
  </si>
  <si>
    <t>PCS</t>
  </si>
  <si>
    <t>9313146197505</t>
  </si>
  <si>
    <t>9313146197536</t>
  </si>
  <si>
    <t>PE 1548 P/RISER M X M
1220 X 15MM</t>
  </si>
  <si>
    <t>PE 1536 P/RISER M X M
915 X 15MM</t>
  </si>
  <si>
    <t>PE 2024 P/RISER M X M
610 X 20MM</t>
  </si>
  <si>
    <t>PE 2018 P/RISER M X M
457 X 20MM</t>
  </si>
  <si>
    <t>PE 2524 P/RISER M X M
610 X 25MM</t>
  </si>
  <si>
    <t>PE2518 P/RISER M X M
457 X 25MM</t>
  </si>
  <si>
    <t>PE 3206 P/RISER M X M
150 X 32MM</t>
  </si>
  <si>
    <t>PE 3218 P/RISER M X M
450 X 32MM</t>
  </si>
  <si>
    <t>PE 3230 P/RISER M X M
750 X 32MM</t>
  </si>
  <si>
    <t>PE 4008 P/RISER M X M
200 X 40MM</t>
  </si>
  <si>
    <t>PE 4018 P/RISER M X M
450 X 40MM</t>
  </si>
  <si>
    <t>PE 5006 P/RISER M X M
150 X 50MM</t>
  </si>
  <si>
    <t>PE 5018 P/RISER M X M
450 X 50MM</t>
  </si>
  <si>
    <t>PMF 2524 P/RISER M X F
600 X 25 X 20MM</t>
  </si>
  <si>
    <t>PMF 2536 P/RISER M X F
900 X 25 X 20MM</t>
  </si>
  <si>
    <t>PP1524 P/RISER M X M 
610 X 15MM</t>
  </si>
  <si>
    <t>PP1518 P/RISER M X M 
457 X 15MM</t>
  </si>
  <si>
    <t>PE 2515 P/RISER M X M
375 X 25MM</t>
  </si>
  <si>
    <t>PJ2T25-375</t>
  </si>
  <si>
    <t>9319696025152</t>
  </si>
  <si>
    <t>90446400 P/RISER M X M
1-1/4" x 1-1/4" x 450MM</t>
  </si>
  <si>
    <t>9313146000607</t>
  </si>
  <si>
    <t>90446600 P/RISER M X M
1-1/4" x 1-1/4" x 600MM</t>
  </si>
  <si>
    <t>9313146000614</t>
  </si>
  <si>
    <t>90447400 P/RISER M X M
1-1/2" x 1-1/2" x 450MM</t>
  </si>
  <si>
    <t>9313146197567</t>
  </si>
  <si>
    <t xml:space="preserve">15 MM (1/2") </t>
  </si>
  <si>
    <t xml:space="preserve">20MM(3/4") </t>
  </si>
  <si>
    <t>25mm(1")</t>
  </si>
  <si>
    <t>1/2"</t>
  </si>
  <si>
    <t>3/4"</t>
  </si>
  <si>
    <t>1"</t>
  </si>
  <si>
    <t>1-1/4"</t>
  </si>
  <si>
    <t>1-1/2"</t>
  </si>
  <si>
    <t>2"</t>
  </si>
  <si>
    <t>PJMF25-750</t>
  </si>
  <si>
    <t>9313146197444</t>
  </si>
  <si>
    <t>90446700 P/RISER M X M
1-1/4" x 1-1/4" x 900MM</t>
  </si>
  <si>
    <t>9313146199127</t>
  </si>
  <si>
    <t>PJ2T20-240</t>
  </si>
  <si>
    <t>PJ2T25-270</t>
  </si>
  <si>
    <t>9313146199141</t>
  </si>
  <si>
    <t>MM / IN</t>
  </si>
  <si>
    <t>9313146000591</t>
  </si>
  <si>
    <t>9313146313646</t>
  </si>
  <si>
    <t>9313146351068</t>
  </si>
  <si>
    <t>90445600 P/RISER M X F
1" X 3/4" X 600MM</t>
  </si>
  <si>
    <t>90445700 P/RISER M X F
1" X 3/4" X 750MM</t>
  </si>
  <si>
    <t>HSN CODE</t>
  </si>
  <si>
    <t>PJ2T20-100</t>
  </si>
  <si>
    <t>9313146357947</t>
  </si>
  <si>
    <t>PJ2T32-1800</t>
  </si>
  <si>
    <t>90446800 P/RISER M X M
1-1/4" x 1-1/4" x 1800MM</t>
  </si>
  <si>
    <t>9313146359422</t>
  </si>
  <si>
    <t>90447200 P/RISER M X M
1-1/2" x 1-1/2" x 150MM</t>
  </si>
  <si>
    <t>9313146357862</t>
  </si>
  <si>
    <t>90446200 P/RISER M X M
1-1/4" x 1-1/4" x 150MM</t>
  </si>
  <si>
    <t>9313146357763</t>
  </si>
  <si>
    <t>PP 2004 P/RISER M X M
100 X 20MM</t>
  </si>
  <si>
    <t>9319696020041</t>
  </si>
  <si>
    <t>PJ2T25-200</t>
  </si>
  <si>
    <t>PP 2508 P/RISER M X M
200 X 25MM</t>
  </si>
  <si>
    <t>9319696025084</t>
  </si>
  <si>
    <t>90445800 P/RISER M X F
1" X 3/4" X 900MM</t>
  </si>
  <si>
    <t>9313146358043</t>
  </si>
  <si>
    <t>9313146336928</t>
  </si>
  <si>
    <t>PE1548</t>
  </si>
  <si>
    <t>PE1536</t>
  </si>
  <si>
    <t>PP1524</t>
  </si>
  <si>
    <t>PP1518</t>
  </si>
  <si>
    <t>PE2024</t>
  </si>
  <si>
    <t>PE2018</t>
  </si>
  <si>
    <t>PP2004</t>
  </si>
  <si>
    <t>PE2524</t>
  </si>
  <si>
    <t>PE2518</t>
  </si>
  <si>
    <t>PE2515</t>
  </si>
  <si>
    <t>PP2508</t>
  </si>
  <si>
    <t>PE3206</t>
  </si>
  <si>
    <t>PE3218</t>
  </si>
  <si>
    <t>PE3230</t>
  </si>
  <si>
    <t>PE4008</t>
  </si>
  <si>
    <t>PE4018</t>
  </si>
  <si>
    <t>PE5006</t>
  </si>
  <si>
    <t>PE5018</t>
  </si>
  <si>
    <t>PMF2524</t>
  </si>
  <si>
    <t>PMF2536</t>
  </si>
  <si>
    <t>PP1509</t>
  </si>
  <si>
    <t>PJ2T15-225</t>
  </si>
  <si>
    <t>PP 1509 P/RISER M X M 
225 X 15MM</t>
  </si>
  <si>
    <t>9319696015092</t>
  </si>
  <si>
    <t>90441600 P/RISER M X M
1/2" X 1/2" X 600MM</t>
  </si>
  <si>
    <t>90447000 SPACER METER 
3/4" X 3/4" X 240MM</t>
  </si>
  <si>
    <t>90442400 P/RISER M X M
3/4" X 3/4" X 450MM</t>
  </si>
  <si>
    <t>90442700 P/RISER M X M
3/4" X 3/4" X 750MM</t>
  </si>
  <si>
    <t>90448000 SPACER METER 
1" X 1" X 270MM</t>
  </si>
  <si>
    <t>90443400 P/RISER M X M
1" X 1" X 450MM</t>
  </si>
  <si>
    <t>90443600 P/RISER M X M 
1" X 1" X 600MM</t>
  </si>
  <si>
    <t>90443700 P/RISER M X M
1" X 1" X 750MM</t>
  </si>
  <si>
    <t>90443900 P/RISER M X M
1" X 1" X 1800MM</t>
  </si>
  <si>
    <t>90448200 P/RISER M X M
2" X 2" X 150MM</t>
  </si>
  <si>
    <t>90448300 P/RISER M X M
2" X 2" X 300MM</t>
  </si>
  <si>
    <t>90448400 P/RISER M X M
2" X 2" X 450MM</t>
  </si>
  <si>
    <t>PJ2T50-1800</t>
  </si>
  <si>
    <t>9313146357985</t>
  </si>
  <si>
    <t>90448800 P/RISER M X M
2" X 2" X 1200MM</t>
  </si>
  <si>
    <t>90448820 P/RISER M X M
2" X 2" X 1800MM</t>
  </si>
  <si>
    <t>90441400 P/RISER M X M
1/2" X 1/2" X 450MM</t>
  </si>
  <si>
    <t>90441800 P/RISER M X M
1/2" X 1/2" X 900MM</t>
  </si>
  <si>
    <t>15.04.2026</t>
  </si>
  <si>
    <t>PO NO.</t>
  </si>
  <si>
    <t>PO NO. 03455 DT.04.11.2025, 03539 DT.08.01.2026, 03583 DT.12.02.2026, 03616 DT. 04.03.2026, 03658 DT. 02.04.2026</t>
  </si>
  <si>
    <t>SR. NO.</t>
  </si>
  <si>
    <t>03539</t>
  </si>
  <si>
    <t>03583</t>
  </si>
  <si>
    <t>03455</t>
  </si>
  <si>
    <t>03616</t>
  </si>
  <si>
    <t>03658</t>
  </si>
  <si>
    <t>2052-2064</t>
  </si>
  <si>
    <t>2104-2113</t>
  </si>
  <si>
    <t>2114-2120</t>
  </si>
  <si>
    <t>2121-2121</t>
  </si>
  <si>
    <t>2122-2122</t>
  </si>
  <si>
    <t>2139-2142</t>
  </si>
  <si>
    <t>2159-2168</t>
  </si>
  <si>
    <t>2169-2173</t>
  </si>
  <si>
    <t>2178-2182</t>
  </si>
  <si>
    <t>2183-2192</t>
  </si>
  <si>
    <t>2232-2241</t>
  </si>
  <si>
    <t>2242-2251</t>
  </si>
  <si>
    <t>2252-2255</t>
  </si>
  <si>
    <t>2258-2258</t>
  </si>
  <si>
    <t>2259-2259</t>
  </si>
  <si>
    <t>2260-2260</t>
  </si>
  <si>
    <t>2263-2263</t>
  </si>
  <si>
    <t>2264-2265</t>
  </si>
  <si>
    <t>2266-2267</t>
  </si>
  <si>
    <t>2268-2268</t>
  </si>
  <si>
    <t>2269-2269</t>
  </si>
  <si>
    <t>2270-2270</t>
  </si>
  <si>
    <t>2271-2272</t>
  </si>
  <si>
    <t>2273-2273</t>
  </si>
  <si>
    <t>2274-2274</t>
  </si>
  <si>
    <t>2275-2275</t>
  </si>
  <si>
    <t>2276-2277</t>
  </si>
  <si>
    <t>2278-2279</t>
  </si>
  <si>
    <t>2280-2281</t>
  </si>
  <si>
    <t>2282-2284</t>
  </si>
  <si>
    <t>2285-2286</t>
  </si>
  <si>
    <t>2297-2300</t>
  </si>
  <si>
    <t>2301-2304</t>
  </si>
  <si>
    <t>2305-2308</t>
  </si>
  <si>
    <t>03539, 03583</t>
  </si>
  <si>
    <t>2001-2015</t>
  </si>
  <si>
    <t>03455, 03539, 03583</t>
  </si>
  <si>
    <t>2016-2051</t>
  </si>
  <si>
    <t>2065-2087</t>
  </si>
  <si>
    <t>2088-2103</t>
  </si>
  <si>
    <t>2123-2138</t>
  </si>
  <si>
    <t>03583, 03616</t>
  </si>
  <si>
    <t>2143-2158</t>
  </si>
  <si>
    <t>2174-2177</t>
  </si>
  <si>
    <t>2193-2215</t>
  </si>
  <si>
    <t>2216-2223</t>
  </si>
  <si>
    <t>2224-2231</t>
  </si>
  <si>
    <t>2256-2257</t>
  </si>
  <si>
    <t>2261-2262</t>
  </si>
  <si>
    <t>2287-2296</t>
  </si>
  <si>
    <t>GD CODE</t>
  </si>
  <si>
    <t>PP1518PH</t>
  </si>
  <si>
    <t>PP1524PH</t>
  </si>
  <si>
    <t>PE1536PH</t>
  </si>
  <si>
    <t>PP2010PH</t>
  </si>
  <si>
    <t>PE2018PH</t>
  </si>
  <si>
    <t>PE2030PH</t>
  </si>
  <si>
    <t>PP2511PH</t>
  </si>
  <si>
    <t>PE2518PH</t>
  </si>
  <si>
    <t>PE2524PH</t>
  </si>
  <si>
    <t>PE2530PH</t>
  </si>
  <si>
    <t>PE2572PH</t>
  </si>
  <si>
    <t>PE3206PH</t>
  </si>
  <si>
    <t>PE3218PH</t>
  </si>
  <si>
    <t>PE3224PH</t>
  </si>
  <si>
    <t>PE3236PH</t>
  </si>
  <si>
    <t>PE3272PH</t>
  </si>
  <si>
    <t>PE4006PH</t>
  </si>
  <si>
    <t>PE4018PH</t>
  </si>
  <si>
    <t>PE5006PH</t>
  </si>
  <si>
    <t>PE5012PH</t>
  </si>
  <si>
    <t>PE5018PH</t>
  </si>
  <si>
    <t>PE5048PH</t>
  </si>
  <si>
    <t>PE5072PH</t>
  </si>
  <si>
    <t>PMF2524PH</t>
  </si>
  <si>
    <t>PMF2530PH</t>
  </si>
  <si>
    <t>PMF2536PH</t>
  </si>
  <si>
    <t>IGST @ 18%</t>
  </si>
  <si>
    <t>INV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</si>
</sst>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&quot;₹&quot;\ #,##0.00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indexed="1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quotePrefix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65" fontId="2" fillId="0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2" fillId="0" borderId="8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0" xfId="0" applyFont="1"/>
    <xf numFmtId="165" fontId="7" fillId="0" borderId="1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tabSelected="1" workbookViewId="0">
      <selection sqref="A1:P1"/>
    </sheetView>
  </sheetViews>
  <sheetFormatPr defaultColWidth="9.140625" defaultRowHeight="12.75" x14ac:dyDescent="0.2"/>
  <cols>
    <col min="1" max="1" width="9.140625" style="4"/>
    <col min="2" max="2" width="9.140625" style="23"/>
    <col min="3" max="3" width="13.42578125" style="4" bestFit="1" customWidth="1"/>
    <col min="4" max="4" width="12.5703125" style="4" customWidth="1"/>
    <col min="5" max="5" width="14.5703125" customWidth="1"/>
    <col min="6" max="6" width="7.7109375" style="4" bestFit="1" customWidth="1"/>
    <col min="7" max="7" width="8.5703125" style="4" bestFit="1" customWidth="1"/>
    <col min="8" max="8" width="6" style="4" bestFit="1" customWidth="1"/>
    <col min="9" max="9" width="6.140625" style="4" bestFit="1" customWidth="1"/>
    <col min="10" max="10" width="25.140625" style="4" customWidth="1"/>
    <col min="11" max="12" width="14.28515625" style="4" customWidth="1"/>
    <col min="13" max="14" width="9.140625" style="4" customWidth="1"/>
    <col min="15" max="15" width="11.140625" style="4" customWidth="1"/>
    <col min="16" max="16" width="13.42578125" style="4" bestFit="1" customWidth="1"/>
    <col min="17" max="16384" width="9.140625" style="4"/>
  </cols>
  <sheetData>
    <row r="1" spans="1:16" x14ac:dyDescent="0.2">
      <c r="A1" s="57" t="s">
        <v>179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2.75" customHeight="1" x14ac:dyDescent="0.2">
      <c r="A2" s="63" t="s">
        <v>180</v>
      </c>
      <c r="B2" s="63" t="s">
        <v>178</v>
      </c>
      <c r="C2" s="27" t="s">
        <v>0</v>
      </c>
      <c r="D2" s="1" t="s">
        <v>236</v>
      </c>
      <c r="E2" s="28" t="s">
        <v>64</v>
      </c>
      <c r="F2" s="30" t="s">
        <v>33</v>
      </c>
      <c r="G2" s="30" t="s">
        <v>1</v>
      </c>
      <c r="H2" s="58" t="s">
        <v>3</v>
      </c>
      <c r="I2" s="59"/>
      <c r="J2" s="60" t="s">
        <v>2</v>
      </c>
      <c r="K2" s="60" t="s">
        <v>5</v>
      </c>
      <c r="L2" s="60" t="s">
        <v>117</v>
      </c>
      <c r="M2" s="58" t="s">
        <v>65</v>
      </c>
      <c r="N2" s="59"/>
      <c r="O2" s="62" t="s">
        <v>177</v>
      </c>
      <c r="P2" s="62"/>
    </row>
    <row r="3" spans="1:16" x14ac:dyDescent="0.2">
      <c r="A3" s="63"/>
      <c r="B3" s="63"/>
      <c r="C3" s="13" t="s">
        <v>95</v>
      </c>
      <c r="D3" s="25" t="s">
        <v>95</v>
      </c>
      <c r="E3" s="25" t="s">
        <v>95</v>
      </c>
      <c r="F3" s="30" t="s">
        <v>111</v>
      </c>
      <c r="G3" s="30" t="s">
        <v>32</v>
      </c>
      <c r="H3" s="30" t="s">
        <v>4</v>
      </c>
      <c r="I3" s="30" t="s">
        <v>31</v>
      </c>
      <c r="J3" s="61"/>
      <c r="K3" s="61"/>
      <c r="L3" s="61"/>
      <c r="M3" s="30" t="s">
        <v>66</v>
      </c>
      <c r="N3" s="30" t="s">
        <v>31</v>
      </c>
      <c r="O3" s="30" t="s">
        <v>4</v>
      </c>
      <c r="P3" s="30" t="s">
        <v>63</v>
      </c>
    </row>
    <row r="4" spans="1:16" s="29" customFormat="1" ht="25.5" x14ac:dyDescent="0.2">
      <c r="A4" s="46" t="s">
        <v>221</v>
      </c>
      <c r="B4" s="42" t="s">
        <v>220</v>
      </c>
      <c r="C4" s="36" t="s">
        <v>155</v>
      </c>
      <c r="D4" s="37" t="s">
        <v>155</v>
      </c>
      <c r="E4" s="37" t="s">
        <v>156</v>
      </c>
      <c r="F4" s="38">
        <v>15</v>
      </c>
      <c r="G4" s="38">
        <v>225</v>
      </c>
      <c r="H4" s="38">
        <v>10</v>
      </c>
      <c r="I4" s="38">
        <v>400</v>
      </c>
      <c r="J4" s="39" t="s">
        <v>157</v>
      </c>
      <c r="K4" s="40" t="s">
        <v>158</v>
      </c>
      <c r="L4" s="41">
        <v>3917.22</v>
      </c>
      <c r="M4" s="46">
        <v>6000</v>
      </c>
      <c r="N4" s="46">
        <f t="shared" ref="N4:N11" si="0">$M4/$I4</f>
        <v>15</v>
      </c>
      <c r="O4" s="47">
        <v>9.5</v>
      </c>
      <c r="P4" s="47">
        <f t="shared" ref="P4:P11" si="1">O4*$M4</f>
        <v>57000</v>
      </c>
    </row>
    <row r="5" spans="1:16" ht="38.25" x14ac:dyDescent="0.2">
      <c r="A5" s="22" t="s">
        <v>223</v>
      </c>
      <c r="B5" s="43" t="s">
        <v>222</v>
      </c>
      <c r="C5" s="31" t="s">
        <v>138</v>
      </c>
      <c r="D5" s="2" t="s">
        <v>138</v>
      </c>
      <c r="E5" s="2" t="s">
        <v>40</v>
      </c>
      <c r="F5" s="16">
        <v>15</v>
      </c>
      <c r="G5" s="16">
        <v>457</v>
      </c>
      <c r="H5" s="16">
        <v>10</v>
      </c>
      <c r="I5" s="16">
        <v>200</v>
      </c>
      <c r="J5" s="3" t="s">
        <v>85</v>
      </c>
      <c r="K5" s="19" t="s">
        <v>11</v>
      </c>
      <c r="L5" s="20">
        <v>3917.22</v>
      </c>
      <c r="M5" s="22">
        <v>7200</v>
      </c>
      <c r="N5" s="22">
        <f t="shared" si="0"/>
        <v>36</v>
      </c>
      <c r="O5" s="24">
        <v>16.739999999999998</v>
      </c>
      <c r="P5" s="24">
        <f t="shared" si="1"/>
        <v>120527.99999999999</v>
      </c>
    </row>
    <row r="6" spans="1:16" ht="25.5" x14ac:dyDescent="0.2">
      <c r="A6" s="22" t="s">
        <v>186</v>
      </c>
      <c r="B6" s="42" t="s">
        <v>182</v>
      </c>
      <c r="C6" s="32">
        <v>90441400</v>
      </c>
      <c r="D6" s="26" t="s">
        <v>237</v>
      </c>
      <c r="E6" s="26" t="s">
        <v>40</v>
      </c>
      <c r="F6" s="16" t="s">
        <v>98</v>
      </c>
      <c r="G6" s="16">
        <v>450</v>
      </c>
      <c r="H6" s="16">
        <v>10</v>
      </c>
      <c r="I6" s="16">
        <v>200</v>
      </c>
      <c r="J6" s="3" t="s">
        <v>175</v>
      </c>
      <c r="K6" s="19" t="s">
        <v>12</v>
      </c>
      <c r="L6" s="20">
        <v>3917.22</v>
      </c>
      <c r="M6" s="22">
        <v>2600</v>
      </c>
      <c r="N6" s="22">
        <f t="shared" si="0"/>
        <v>13</v>
      </c>
      <c r="O6" s="24">
        <v>16.739999999999998</v>
      </c>
      <c r="P6" s="24">
        <f t="shared" si="1"/>
        <v>43523.999999999993</v>
      </c>
    </row>
    <row r="7" spans="1:16" ht="25.5" x14ac:dyDescent="0.2">
      <c r="A7" s="22" t="s">
        <v>224</v>
      </c>
      <c r="B7" s="42" t="s">
        <v>220</v>
      </c>
      <c r="C7" s="31" t="s">
        <v>137</v>
      </c>
      <c r="D7" s="2" t="s">
        <v>137</v>
      </c>
      <c r="E7" s="2" t="s">
        <v>39</v>
      </c>
      <c r="F7" s="16">
        <v>15</v>
      </c>
      <c r="G7" s="16">
        <v>610</v>
      </c>
      <c r="H7" s="16">
        <v>10</v>
      </c>
      <c r="I7" s="16">
        <v>100</v>
      </c>
      <c r="J7" s="3" t="s">
        <v>84</v>
      </c>
      <c r="K7" s="19" t="s">
        <v>9</v>
      </c>
      <c r="L7" s="20">
        <v>3917.22</v>
      </c>
      <c r="M7" s="22">
        <v>2300</v>
      </c>
      <c r="N7" s="22">
        <f t="shared" si="0"/>
        <v>23</v>
      </c>
      <c r="O7" s="24">
        <v>21.06</v>
      </c>
      <c r="P7" s="24">
        <f t="shared" si="1"/>
        <v>48438</v>
      </c>
    </row>
    <row r="8" spans="1:16" ht="25.5" x14ac:dyDescent="0.2">
      <c r="A8" s="22" t="s">
        <v>225</v>
      </c>
      <c r="B8" s="42" t="s">
        <v>220</v>
      </c>
      <c r="C8" s="32">
        <v>90441600</v>
      </c>
      <c r="D8" s="26" t="s">
        <v>238</v>
      </c>
      <c r="E8" s="26" t="s">
        <v>39</v>
      </c>
      <c r="F8" s="16" t="s">
        <v>98</v>
      </c>
      <c r="G8" s="16">
        <v>600</v>
      </c>
      <c r="H8" s="16">
        <v>10</v>
      </c>
      <c r="I8" s="16">
        <v>100</v>
      </c>
      <c r="J8" s="3" t="s">
        <v>159</v>
      </c>
      <c r="K8" s="19" t="s">
        <v>10</v>
      </c>
      <c r="L8" s="20">
        <v>3917.22</v>
      </c>
      <c r="M8" s="22">
        <v>1600</v>
      </c>
      <c r="N8" s="22">
        <f t="shared" si="0"/>
        <v>16</v>
      </c>
      <c r="O8" s="24">
        <v>21.06</v>
      </c>
      <c r="P8" s="24">
        <f t="shared" si="1"/>
        <v>33696</v>
      </c>
    </row>
    <row r="9" spans="1:16" ht="25.5" x14ac:dyDescent="0.2">
      <c r="A9" s="22" t="s">
        <v>187</v>
      </c>
      <c r="B9" s="42" t="s">
        <v>182</v>
      </c>
      <c r="C9" s="31" t="s">
        <v>136</v>
      </c>
      <c r="D9" s="2" t="s">
        <v>136</v>
      </c>
      <c r="E9" s="2" t="s">
        <v>38</v>
      </c>
      <c r="F9" s="16">
        <v>15</v>
      </c>
      <c r="G9" s="16">
        <v>915</v>
      </c>
      <c r="H9" s="16">
        <v>10</v>
      </c>
      <c r="I9" s="16">
        <v>100</v>
      </c>
      <c r="J9" s="3" t="s">
        <v>70</v>
      </c>
      <c r="K9" s="19" t="s">
        <v>7</v>
      </c>
      <c r="L9" s="20">
        <v>3917.22</v>
      </c>
      <c r="M9" s="22">
        <v>1000</v>
      </c>
      <c r="N9" s="22">
        <f t="shared" si="0"/>
        <v>10</v>
      </c>
      <c r="O9" s="24">
        <v>28.44</v>
      </c>
      <c r="P9" s="24">
        <f t="shared" si="1"/>
        <v>28440</v>
      </c>
    </row>
    <row r="10" spans="1:16" ht="25.5" x14ac:dyDescent="0.2">
      <c r="A10" s="22" t="s">
        <v>188</v>
      </c>
      <c r="B10" s="42" t="s">
        <v>182</v>
      </c>
      <c r="C10" s="33">
        <v>90441800</v>
      </c>
      <c r="D10" s="3" t="s">
        <v>239</v>
      </c>
      <c r="E10" s="3" t="s">
        <v>38</v>
      </c>
      <c r="F10" s="16" t="s">
        <v>98</v>
      </c>
      <c r="G10" s="16">
        <v>900</v>
      </c>
      <c r="H10" s="16">
        <v>10</v>
      </c>
      <c r="I10" s="16">
        <v>100</v>
      </c>
      <c r="J10" s="3" t="s">
        <v>176</v>
      </c>
      <c r="K10" s="21" t="s">
        <v>8</v>
      </c>
      <c r="L10" s="20">
        <v>3917.22</v>
      </c>
      <c r="M10" s="22">
        <v>700</v>
      </c>
      <c r="N10" s="22">
        <f t="shared" si="0"/>
        <v>7</v>
      </c>
      <c r="O10" s="24">
        <v>28.44</v>
      </c>
      <c r="P10" s="24">
        <f t="shared" si="1"/>
        <v>19908</v>
      </c>
    </row>
    <row r="11" spans="1:16" ht="25.5" x14ac:dyDescent="0.2">
      <c r="A11" s="22" t="s">
        <v>189</v>
      </c>
      <c r="B11" s="42" t="s">
        <v>181</v>
      </c>
      <c r="C11" s="31" t="s">
        <v>135</v>
      </c>
      <c r="D11" s="2" t="s">
        <v>135</v>
      </c>
      <c r="E11" s="2" t="s">
        <v>37</v>
      </c>
      <c r="F11" s="16">
        <v>15</v>
      </c>
      <c r="G11" s="16">
        <v>1220</v>
      </c>
      <c r="H11" s="16">
        <v>10</v>
      </c>
      <c r="I11" s="16">
        <v>50</v>
      </c>
      <c r="J11" s="3" t="s">
        <v>69</v>
      </c>
      <c r="K11" s="19" t="s">
        <v>6</v>
      </c>
      <c r="L11" s="20">
        <v>3917.22</v>
      </c>
      <c r="M11" s="22">
        <v>50</v>
      </c>
      <c r="N11" s="22">
        <f t="shared" si="0"/>
        <v>1</v>
      </c>
      <c r="O11" s="24">
        <v>38.159999999999997</v>
      </c>
      <c r="P11" s="24">
        <f t="shared" si="1"/>
        <v>1907.9999999999998</v>
      </c>
    </row>
    <row r="12" spans="1:16" ht="15" x14ac:dyDescent="0.2">
      <c r="A12" s="22"/>
      <c r="B12" s="48"/>
      <c r="C12" s="34" t="s">
        <v>96</v>
      </c>
      <c r="D12" s="6" t="s">
        <v>96</v>
      </c>
      <c r="E12" s="6" t="s">
        <v>96</v>
      </c>
      <c r="F12" s="17"/>
      <c r="G12" s="16"/>
      <c r="H12" s="16"/>
      <c r="I12" s="16"/>
      <c r="J12" s="49"/>
      <c r="K12" s="16"/>
      <c r="L12" s="16"/>
      <c r="M12" s="22"/>
      <c r="N12" s="22"/>
      <c r="O12" s="24"/>
      <c r="P12" s="24"/>
    </row>
    <row r="13" spans="1:16" ht="25.5" x14ac:dyDescent="0.2">
      <c r="A13" s="22" t="s">
        <v>190</v>
      </c>
      <c r="B13" s="42" t="s">
        <v>181</v>
      </c>
      <c r="C13" s="31" t="s">
        <v>141</v>
      </c>
      <c r="D13" s="44" t="s">
        <v>141</v>
      </c>
      <c r="E13" s="2" t="s">
        <v>118</v>
      </c>
      <c r="F13" s="16">
        <v>20</v>
      </c>
      <c r="G13" s="16">
        <v>100</v>
      </c>
      <c r="H13" s="16">
        <v>10</v>
      </c>
      <c r="I13" s="16">
        <v>500</v>
      </c>
      <c r="J13" s="3" t="s">
        <v>127</v>
      </c>
      <c r="K13" s="21" t="s">
        <v>128</v>
      </c>
      <c r="L13" s="20">
        <v>3917.22</v>
      </c>
      <c r="M13" s="22">
        <v>500</v>
      </c>
      <c r="N13" s="22">
        <f t="shared" ref="N13:N18" si="2">$M13/$I13</f>
        <v>1</v>
      </c>
      <c r="O13" s="24">
        <v>8.5500000000000007</v>
      </c>
      <c r="P13" s="24">
        <f t="shared" ref="P13:P18" si="3">O13*$M13</f>
        <v>4275</v>
      </c>
    </row>
    <row r="14" spans="1:16" ht="25.5" x14ac:dyDescent="0.2">
      <c r="A14" s="22" t="s">
        <v>226</v>
      </c>
      <c r="B14" s="42" t="s">
        <v>220</v>
      </c>
      <c r="C14" s="32">
        <v>90447000</v>
      </c>
      <c r="D14" s="26" t="s">
        <v>240</v>
      </c>
      <c r="E14" s="26" t="s">
        <v>108</v>
      </c>
      <c r="F14" s="16" t="s">
        <v>99</v>
      </c>
      <c r="G14" s="16">
        <v>240</v>
      </c>
      <c r="H14" s="16">
        <v>10</v>
      </c>
      <c r="I14" s="16">
        <v>250</v>
      </c>
      <c r="J14" s="3" t="s">
        <v>160</v>
      </c>
      <c r="K14" s="21" t="s">
        <v>107</v>
      </c>
      <c r="L14" s="20">
        <v>3917.22</v>
      </c>
      <c r="M14" s="22">
        <v>4000</v>
      </c>
      <c r="N14" s="22">
        <f t="shared" si="2"/>
        <v>16</v>
      </c>
      <c r="O14" s="24">
        <v>15.3</v>
      </c>
      <c r="P14" s="24">
        <f t="shared" si="3"/>
        <v>61200</v>
      </c>
    </row>
    <row r="15" spans="1:16" ht="25.5" x14ac:dyDescent="0.2">
      <c r="A15" s="22" t="s">
        <v>191</v>
      </c>
      <c r="B15" s="42" t="s">
        <v>182</v>
      </c>
      <c r="C15" s="31" t="s">
        <v>140</v>
      </c>
      <c r="D15" s="2" t="s">
        <v>140</v>
      </c>
      <c r="E15" s="2" t="s">
        <v>43</v>
      </c>
      <c r="F15" s="16">
        <v>20</v>
      </c>
      <c r="G15" s="16">
        <v>457</v>
      </c>
      <c r="H15" s="16">
        <v>10</v>
      </c>
      <c r="I15" s="16">
        <v>100</v>
      </c>
      <c r="J15" s="3" t="s">
        <v>72</v>
      </c>
      <c r="K15" s="19" t="s">
        <v>15</v>
      </c>
      <c r="L15" s="20">
        <v>3917.22</v>
      </c>
      <c r="M15" s="22">
        <v>400</v>
      </c>
      <c r="N15" s="22">
        <f t="shared" si="2"/>
        <v>4</v>
      </c>
      <c r="O15" s="24">
        <v>24.84</v>
      </c>
      <c r="P15" s="24">
        <f t="shared" si="3"/>
        <v>9936</v>
      </c>
    </row>
    <row r="16" spans="1:16" ht="25.5" x14ac:dyDescent="0.2">
      <c r="A16" s="22" t="s">
        <v>228</v>
      </c>
      <c r="B16" s="42" t="s">
        <v>227</v>
      </c>
      <c r="C16" s="32">
        <v>90442400</v>
      </c>
      <c r="D16" s="26" t="s">
        <v>241</v>
      </c>
      <c r="E16" s="26" t="s">
        <v>43</v>
      </c>
      <c r="F16" s="16" t="s">
        <v>99</v>
      </c>
      <c r="G16" s="16">
        <v>450</v>
      </c>
      <c r="H16" s="16">
        <v>10</v>
      </c>
      <c r="I16" s="16">
        <v>100</v>
      </c>
      <c r="J16" s="3" t="s">
        <v>161</v>
      </c>
      <c r="K16" s="21" t="s">
        <v>16</v>
      </c>
      <c r="L16" s="20">
        <v>3917.22</v>
      </c>
      <c r="M16" s="22">
        <v>1600</v>
      </c>
      <c r="N16" s="22">
        <f t="shared" si="2"/>
        <v>16</v>
      </c>
      <c r="O16" s="24">
        <v>24.84</v>
      </c>
      <c r="P16" s="24">
        <f t="shared" si="3"/>
        <v>39744</v>
      </c>
    </row>
    <row r="17" spans="1:16" ht="25.5" x14ac:dyDescent="0.2">
      <c r="A17" s="22" t="s">
        <v>192</v>
      </c>
      <c r="B17" s="43" t="s">
        <v>184</v>
      </c>
      <c r="C17" s="31" t="s">
        <v>139</v>
      </c>
      <c r="D17" s="2" t="s">
        <v>139</v>
      </c>
      <c r="E17" s="2" t="s">
        <v>42</v>
      </c>
      <c r="F17" s="16">
        <v>20</v>
      </c>
      <c r="G17" s="16">
        <v>610</v>
      </c>
      <c r="H17" s="16">
        <v>10</v>
      </c>
      <c r="I17" s="16">
        <v>100</v>
      </c>
      <c r="J17" s="3" t="s">
        <v>71</v>
      </c>
      <c r="K17" s="19" t="s">
        <v>14</v>
      </c>
      <c r="L17" s="20">
        <v>3917.22</v>
      </c>
      <c r="M17" s="22">
        <v>1000</v>
      </c>
      <c r="N17" s="22">
        <f t="shared" si="2"/>
        <v>10</v>
      </c>
      <c r="O17" s="24">
        <v>31.5</v>
      </c>
      <c r="P17" s="24">
        <f t="shared" si="3"/>
        <v>31500</v>
      </c>
    </row>
    <row r="18" spans="1:16" ht="25.5" x14ac:dyDescent="0.2">
      <c r="A18" s="22" t="s">
        <v>193</v>
      </c>
      <c r="B18" s="43" t="s">
        <v>185</v>
      </c>
      <c r="C18" s="32">
        <v>90442700</v>
      </c>
      <c r="D18" s="26" t="s">
        <v>242</v>
      </c>
      <c r="E18" s="26" t="s">
        <v>41</v>
      </c>
      <c r="F18" s="16" t="s">
        <v>99</v>
      </c>
      <c r="G18" s="16">
        <v>750</v>
      </c>
      <c r="H18" s="16">
        <v>10</v>
      </c>
      <c r="I18" s="16">
        <v>100</v>
      </c>
      <c r="J18" s="3" t="s">
        <v>162</v>
      </c>
      <c r="K18" s="21" t="s">
        <v>13</v>
      </c>
      <c r="L18" s="20">
        <v>3917.22</v>
      </c>
      <c r="M18" s="22">
        <v>500</v>
      </c>
      <c r="N18" s="22">
        <f t="shared" si="2"/>
        <v>5</v>
      </c>
      <c r="O18" s="24">
        <v>38.61</v>
      </c>
      <c r="P18" s="24">
        <f t="shared" si="3"/>
        <v>19305</v>
      </c>
    </row>
    <row r="19" spans="1:16" ht="15" x14ac:dyDescent="0.2">
      <c r="A19" s="22"/>
      <c r="B19" s="48"/>
      <c r="C19" s="34" t="s">
        <v>97</v>
      </c>
      <c r="D19" s="6" t="s">
        <v>97</v>
      </c>
      <c r="E19" s="6" t="s">
        <v>97</v>
      </c>
      <c r="F19" s="17"/>
      <c r="G19" s="18"/>
      <c r="H19" s="30"/>
      <c r="I19" s="30"/>
      <c r="J19" s="7"/>
      <c r="K19" s="30"/>
      <c r="L19" s="30"/>
      <c r="M19" s="22"/>
      <c r="N19" s="22"/>
      <c r="O19" s="24"/>
      <c r="P19" s="24"/>
    </row>
    <row r="20" spans="1:16" ht="25.5" x14ac:dyDescent="0.2">
      <c r="A20" s="22" t="s">
        <v>229</v>
      </c>
      <c r="B20" s="42" t="s">
        <v>220</v>
      </c>
      <c r="C20" s="31" t="s">
        <v>145</v>
      </c>
      <c r="D20" s="44" t="s">
        <v>145</v>
      </c>
      <c r="E20" s="2" t="s">
        <v>129</v>
      </c>
      <c r="F20" s="16">
        <v>25</v>
      </c>
      <c r="G20" s="16">
        <v>200</v>
      </c>
      <c r="H20" s="16">
        <v>10</v>
      </c>
      <c r="I20" s="16">
        <v>150</v>
      </c>
      <c r="J20" s="3" t="s">
        <v>130</v>
      </c>
      <c r="K20" s="21" t="s">
        <v>131</v>
      </c>
      <c r="L20" s="20">
        <v>3917.22</v>
      </c>
      <c r="M20" s="22">
        <v>600</v>
      </c>
      <c r="N20" s="22">
        <f t="shared" ref="N20:N28" si="4">$M20/$I20</f>
        <v>4</v>
      </c>
      <c r="O20" s="24">
        <v>16.11</v>
      </c>
      <c r="P20" s="24">
        <f t="shared" ref="P20:P28" si="5">O20*$M20</f>
        <v>9666</v>
      </c>
    </row>
    <row r="21" spans="1:16" ht="25.5" x14ac:dyDescent="0.2">
      <c r="A21" s="22" t="s">
        <v>194</v>
      </c>
      <c r="B21" s="42" t="s">
        <v>182</v>
      </c>
      <c r="C21" s="32">
        <v>90448000</v>
      </c>
      <c r="D21" s="26" t="s">
        <v>243</v>
      </c>
      <c r="E21" s="26" t="s">
        <v>109</v>
      </c>
      <c r="F21" s="16" t="s">
        <v>100</v>
      </c>
      <c r="G21" s="16">
        <v>270</v>
      </c>
      <c r="H21" s="16">
        <v>10</v>
      </c>
      <c r="I21" s="16">
        <v>100</v>
      </c>
      <c r="J21" s="3" t="s">
        <v>163</v>
      </c>
      <c r="K21" s="21" t="s">
        <v>110</v>
      </c>
      <c r="L21" s="20">
        <v>3917.22</v>
      </c>
      <c r="M21" s="22">
        <v>500</v>
      </c>
      <c r="N21" s="22">
        <f t="shared" si="4"/>
        <v>5</v>
      </c>
      <c r="O21" s="24">
        <v>20.61</v>
      </c>
      <c r="P21" s="24">
        <f t="shared" si="5"/>
        <v>10305</v>
      </c>
    </row>
    <row r="22" spans="1:16" ht="25.5" x14ac:dyDescent="0.2">
      <c r="A22" s="22" t="s">
        <v>195</v>
      </c>
      <c r="B22" s="42" t="s">
        <v>182</v>
      </c>
      <c r="C22" s="31" t="s">
        <v>144</v>
      </c>
      <c r="D22" s="2" t="s">
        <v>144</v>
      </c>
      <c r="E22" s="2" t="s">
        <v>87</v>
      </c>
      <c r="F22" s="16">
        <v>25</v>
      </c>
      <c r="G22" s="16">
        <v>375</v>
      </c>
      <c r="H22" s="16">
        <v>10</v>
      </c>
      <c r="I22" s="16">
        <v>100</v>
      </c>
      <c r="J22" s="3" t="s">
        <v>86</v>
      </c>
      <c r="K22" s="21" t="s">
        <v>88</v>
      </c>
      <c r="L22" s="20">
        <v>3917.22</v>
      </c>
      <c r="M22" s="22">
        <v>1000</v>
      </c>
      <c r="N22" s="22">
        <f t="shared" si="4"/>
        <v>10</v>
      </c>
      <c r="O22" s="24">
        <v>26.64</v>
      </c>
      <c r="P22" s="24">
        <f t="shared" si="5"/>
        <v>26640</v>
      </c>
    </row>
    <row r="23" spans="1:16" ht="25.5" x14ac:dyDescent="0.2">
      <c r="A23" s="22" t="s">
        <v>230</v>
      </c>
      <c r="B23" s="42" t="s">
        <v>227</v>
      </c>
      <c r="C23" s="31" t="s">
        <v>143</v>
      </c>
      <c r="D23" s="2" t="s">
        <v>143</v>
      </c>
      <c r="E23" s="2" t="s">
        <v>47</v>
      </c>
      <c r="F23" s="16">
        <v>25</v>
      </c>
      <c r="G23" s="16">
        <v>457</v>
      </c>
      <c r="H23" s="16">
        <v>10</v>
      </c>
      <c r="I23" s="16">
        <v>100</v>
      </c>
      <c r="J23" s="3" t="s">
        <v>74</v>
      </c>
      <c r="K23" s="21" t="s">
        <v>20</v>
      </c>
      <c r="L23" s="20">
        <v>3917.22</v>
      </c>
      <c r="M23" s="22">
        <v>2300</v>
      </c>
      <c r="N23" s="22">
        <f t="shared" si="4"/>
        <v>23</v>
      </c>
      <c r="O23" s="24">
        <v>31.5</v>
      </c>
      <c r="P23" s="24">
        <f t="shared" si="5"/>
        <v>72450</v>
      </c>
    </row>
    <row r="24" spans="1:16" ht="25.5" x14ac:dyDescent="0.2">
      <c r="A24" s="22" t="s">
        <v>231</v>
      </c>
      <c r="B24" s="42" t="s">
        <v>227</v>
      </c>
      <c r="C24" s="32">
        <v>90443400</v>
      </c>
      <c r="D24" s="26" t="s">
        <v>244</v>
      </c>
      <c r="E24" s="26" t="s">
        <v>47</v>
      </c>
      <c r="F24" s="16" t="s">
        <v>100</v>
      </c>
      <c r="G24" s="16">
        <v>450</v>
      </c>
      <c r="H24" s="16">
        <v>10</v>
      </c>
      <c r="I24" s="16">
        <v>100</v>
      </c>
      <c r="J24" s="3" t="s">
        <v>164</v>
      </c>
      <c r="K24" s="21" t="s">
        <v>21</v>
      </c>
      <c r="L24" s="20">
        <v>3917.22</v>
      </c>
      <c r="M24" s="22">
        <v>800</v>
      </c>
      <c r="N24" s="22">
        <f t="shared" si="4"/>
        <v>8</v>
      </c>
      <c r="O24" s="24">
        <v>31.5</v>
      </c>
      <c r="P24" s="24">
        <f t="shared" si="5"/>
        <v>25200</v>
      </c>
    </row>
    <row r="25" spans="1:16" ht="25.5" x14ac:dyDescent="0.2">
      <c r="A25" s="22" t="s">
        <v>232</v>
      </c>
      <c r="B25" s="42" t="s">
        <v>220</v>
      </c>
      <c r="C25" s="31" t="s">
        <v>142</v>
      </c>
      <c r="D25" s="2" t="s">
        <v>142</v>
      </c>
      <c r="E25" s="2" t="s">
        <v>46</v>
      </c>
      <c r="F25" s="16">
        <v>25</v>
      </c>
      <c r="G25" s="16">
        <v>610</v>
      </c>
      <c r="H25" s="16">
        <v>10</v>
      </c>
      <c r="I25" s="16">
        <v>50</v>
      </c>
      <c r="J25" s="3" t="s">
        <v>73</v>
      </c>
      <c r="K25" s="21" t="s">
        <v>18</v>
      </c>
      <c r="L25" s="20">
        <v>3917.22</v>
      </c>
      <c r="M25" s="22">
        <v>400</v>
      </c>
      <c r="N25" s="22">
        <f t="shared" si="4"/>
        <v>8</v>
      </c>
      <c r="O25" s="24">
        <v>40.86</v>
      </c>
      <c r="P25" s="24">
        <f t="shared" si="5"/>
        <v>16344</v>
      </c>
    </row>
    <row r="26" spans="1:16" ht="25.5" x14ac:dyDescent="0.2">
      <c r="A26" s="22" t="s">
        <v>196</v>
      </c>
      <c r="B26" s="42" t="s">
        <v>182</v>
      </c>
      <c r="C26" s="32">
        <v>90443600</v>
      </c>
      <c r="D26" s="26" t="s">
        <v>245</v>
      </c>
      <c r="E26" s="26" t="s">
        <v>46</v>
      </c>
      <c r="F26" s="16" t="s">
        <v>100</v>
      </c>
      <c r="G26" s="16">
        <v>600</v>
      </c>
      <c r="H26" s="16">
        <v>10</v>
      </c>
      <c r="I26" s="16">
        <v>50</v>
      </c>
      <c r="J26" s="3" t="s">
        <v>165</v>
      </c>
      <c r="K26" s="21" t="s">
        <v>19</v>
      </c>
      <c r="L26" s="20">
        <v>3917.22</v>
      </c>
      <c r="M26" s="22">
        <v>500</v>
      </c>
      <c r="N26" s="22">
        <f t="shared" si="4"/>
        <v>10</v>
      </c>
      <c r="O26" s="50">
        <v>40.86</v>
      </c>
      <c r="P26" s="24">
        <f t="shared" si="5"/>
        <v>20430</v>
      </c>
    </row>
    <row r="27" spans="1:16" ht="25.5" x14ac:dyDescent="0.2">
      <c r="A27" s="22" t="s">
        <v>197</v>
      </c>
      <c r="B27" s="42" t="s">
        <v>182</v>
      </c>
      <c r="C27" s="32">
        <v>90443700</v>
      </c>
      <c r="D27" s="26" t="s">
        <v>246</v>
      </c>
      <c r="E27" s="26" t="s">
        <v>45</v>
      </c>
      <c r="F27" s="16" t="s">
        <v>100</v>
      </c>
      <c r="G27" s="16">
        <v>750</v>
      </c>
      <c r="H27" s="16">
        <v>10</v>
      </c>
      <c r="I27" s="16">
        <v>50</v>
      </c>
      <c r="J27" s="3" t="s">
        <v>166</v>
      </c>
      <c r="K27" s="21" t="s">
        <v>17</v>
      </c>
      <c r="L27" s="20">
        <v>3917.22</v>
      </c>
      <c r="M27" s="22">
        <v>500</v>
      </c>
      <c r="N27" s="22">
        <f t="shared" si="4"/>
        <v>10</v>
      </c>
      <c r="O27" s="24">
        <v>49.95</v>
      </c>
      <c r="P27" s="24">
        <f t="shared" si="5"/>
        <v>24975</v>
      </c>
    </row>
    <row r="28" spans="1:16" ht="25.5" customHeight="1" x14ac:dyDescent="0.2">
      <c r="A28" s="22" t="s">
        <v>198</v>
      </c>
      <c r="B28" s="42" t="s">
        <v>182</v>
      </c>
      <c r="C28" s="32">
        <v>90443900</v>
      </c>
      <c r="D28" s="26" t="s">
        <v>247</v>
      </c>
      <c r="E28" s="26" t="s">
        <v>44</v>
      </c>
      <c r="F28" s="16" t="s">
        <v>100</v>
      </c>
      <c r="G28" s="16">
        <v>1800</v>
      </c>
      <c r="H28" s="16">
        <v>10</v>
      </c>
      <c r="I28" s="16">
        <v>50</v>
      </c>
      <c r="J28" s="3" t="s">
        <v>167</v>
      </c>
      <c r="K28" s="19" t="s">
        <v>105</v>
      </c>
      <c r="L28" s="20">
        <v>3917.22</v>
      </c>
      <c r="M28" s="22">
        <v>200</v>
      </c>
      <c r="N28" s="22">
        <f t="shared" si="4"/>
        <v>4</v>
      </c>
      <c r="O28" s="24">
        <v>112.5</v>
      </c>
      <c r="P28" s="24">
        <f t="shared" si="5"/>
        <v>22500</v>
      </c>
    </row>
    <row r="29" spans="1:16" x14ac:dyDescent="0.2">
      <c r="A29" s="22"/>
      <c r="B29" s="48"/>
      <c r="C29" s="35" t="s">
        <v>22</v>
      </c>
      <c r="D29" s="14" t="s">
        <v>22</v>
      </c>
      <c r="E29" s="14" t="s">
        <v>22</v>
      </c>
      <c r="F29" s="45"/>
      <c r="G29" s="30"/>
      <c r="H29" s="16"/>
      <c r="I29" s="16"/>
      <c r="J29" s="22"/>
      <c r="K29" s="16"/>
      <c r="L29" s="16"/>
      <c r="M29" s="22"/>
      <c r="N29" s="22"/>
      <c r="O29" s="24"/>
      <c r="P29" s="24"/>
    </row>
    <row r="30" spans="1:16" ht="25.5" x14ac:dyDescent="0.2">
      <c r="A30" s="22" t="s">
        <v>233</v>
      </c>
      <c r="B30" s="42" t="s">
        <v>220</v>
      </c>
      <c r="C30" s="31" t="s">
        <v>146</v>
      </c>
      <c r="D30" s="2" t="s">
        <v>146</v>
      </c>
      <c r="E30" s="2" t="s">
        <v>48</v>
      </c>
      <c r="F30" s="16">
        <v>32</v>
      </c>
      <c r="G30" s="16">
        <v>150</v>
      </c>
      <c r="H30" s="16">
        <v>10</v>
      </c>
      <c r="I30" s="16">
        <v>300</v>
      </c>
      <c r="J30" s="3" t="s">
        <v>75</v>
      </c>
      <c r="K30" s="19" t="s">
        <v>25</v>
      </c>
      <c r="L30" s="20">
        <v>3917.22</v>
      </c>
      <c r="M30" s="22">
        <v>600</v>
      </c>
      <c r="N30" s="22">
        <f t="shared" ref="N30:N37" si="6">$M30/$I30</f>
        <v>2</v>
      </c>
      <c r="O30" s="24">
        <v>18.63</v>
      </c>
      <c r="P30" s="24">
        <f t="shared" ref="P30:P37" si="7">O30*$M30</f>
        <v>11178</v>
      </c>
    </row>
    <row r="31" spans="1:16" ht="25.5" x14ac:dyDescent="0.2">
      <c r="A31" s="22" t="s">
        <v>199</v>
      </c>
      <c r="B31" s="42" t="s">
        <v>182</v>
      </c>
      <c r="C31" s="32">
        <v>90446200</v>
      </c>
      <c r="D31" s="26" t="s">
        <v>248</v>
      </c>
      <c r="E31" s="26" t="s">
        <v>48</v>
      </c>
      <c r="F31" s="16" t="s">
        <v>101</v>
      </c>
      <c r="G31" s="16">
        <v>150</v>
      </c>
      <c r="H31" s="16">
        <v>10</v>
      </c>
      <c r="I31" s="16">
        <v>300</v>
      </c>
      <c r="J31" s="3" t="s">
        <v>125</v>
      </c>
      <c r="K31" s="19" t="s">
        <v>126</v>
      </c>
      <c r="L31" s="20">
        <v>3917.22</v>
      </c>
      <c r="M31" s="22">
        <v>300</v>
      </c>
      <c r="N31" s="22">
        <f t="shared" si="6"/>
        <v>1</v>
      </c>
      <c r="O31" s="24">
        <v>18.63</v>
      </c>
      <c r="P31" s="24">
        <f t="shared" si="7"/>
        <v>5589</v>
      </c>
    </row>
    <row r="32" spans="1:16" ht="25.5" x14ac:dyDescent="0.2">
      <c r="A32" s="22" t="s">
        <v>200</v>
      </c>
      <c r="B32" s="42" t="s">
        <v>182</v>
      </c>
      <c r="C32" s="31" t="s">
        <v>147</v>
      </c>
      <c r="D32" s="2" t="s">
        <v>147</v>
      </c>
      <c r="E32" s="2" t="s">
        <v>49</v>
      </c>
      <c r="F32" s="16">
        <v>32</v>
      </c>
      <c r="G32" s="16">
        <v>450</v>
      </c>
      <c r="H32" s="16">
        <v>10</v>
      </c>
      <c r="I32" s="16">
        <v>100</v>
      </c>
      <c r="J32" s="3" t="s">
        <v>76</v>
      </c>
      <c r="K32" s="19" t="s">
        <v>26</v>
      </c>
      <c r="L32" s="20">
        <v>3917.22</v>
      </c>
      <c r="M32" s="22">
        <v>100</v>
      </c>
      <c r="N32" s="22">
        <f t="shared" si="6"/>
        <v>1</v>
      </c>
      <c r="O32" s="24">
        <v>42.48</v>
      </c>
      <c r="P32" s="24">
        <f t="shared" si="7"/>
        <v>4248</v>
      </c>
    </row>
    <row r="33" spans="1:16" s="10" customFormat="1" ht="25.5" x14ac:dyDescent="0.2">
      <c r="A33" s="22" t="s">
        <v>201</v>
      </c>
      <c r="B33" s="42" t="s">
        <v>182</v>
      </c>
      <c r="C33" s="32">
        <v>90446400</v>
      </c>
      <c r="D33" s="26" t="s">
        <v>249</v>
      </c>
      <c r="E33" s="26" t="s">
        <v>49</v>
      </c>
      <c r="F33" s="16" t="s">
        <v>101</v>
      </c>
      <c r="G33" s="16">
        <v>450</v>
      </c>
      <c r="H33" s="16">
        <v>10</v>
      </c>
      <c r="I33" s="16">
        <v>100</v>
      </c>
      <c r="J33" s="3" t="s">
        <v>89</v>
      </c>
      <c r="K33" s="19" t="s">
        <v>90</v>
      </c>
      <c r="L33" s="20">
        <v>3917.22</v>
      </c>
      <c r="M33" s="22">
        <v>100</v>
      </c>
      <c r="N33" s="22">
        <f t="shared" si="6"/>
        <v>1</v>
      </c>
      <c r="O33" s="24">
        <v>42.48</v>
      </c>
      <c r="P33" s="24">
        <f t="shared" si="7"/>
        <v>4248</v>
      </c>
    </row>
    <row r="34" spans="1:16" s="10" customFormat="1" ht="25.5" x14ac:dyDescent="0.2">
      <c r="A34" s="22" t="s">
        <v>234</v>
      </c>
      <c r="B34" s="42" t="s">
        <v>227</v>
      </c>
      <c r="C34" s="32">
        <v>90446600</v>
      </c>
      <c r="D34" s="26" t="s">
        <v>250</v>
      </c>
      <c r="E34" s="26" t="s">
        <v>50</v>
      </c>
      <c r="F34" s="16" t="s">
        <v>101</v>
      </c>
      <c r="G34" s="16">
        <v>600</v>
      </c>
      <c r="H34" s="16">
        <v>10</v>
      </c>
      <c r="I34" s="16">
        <v>100</v>
      </c>
      <c r="J34" s="3" t="s">
        <v>91</v>
      </c>
      <c r="K34" s="19" t="s">
        <v>92</v>
      </c>
      <c r="L34" s="20">
        <v>3917.22</v>
      </c>
      <c r="M34" s="22">
        <v>200</v>
      </c>
      <c r="N34" s="22">
        <f t="shared" si="6"/>
        <v>2</v>
      </c>
      <c r="O34" s="24">
        <v>54.45</v>
      </c>
      <c r="P34" s="24">
        <f t="shared" si="7"/>
        <v>10890</v>
      </c>
    </row>
    <row r="35" spans="1:16" ht="25.5" x14ac:dyDescent="0.2">
      <c r="A35" s="22" t="s">
        <v>202</v>
      </c>
      <c r="B35" s="42" t="s">
        <v>182</v>
      </c>
      <c r="C35" s="31" t="s">
        <v>148</v>
      </c>
      <c r="D35" s="2" t="s">
        <v>148</v>
      </c>
      <c r="E35" s="2" t="s">
        <v>51</v>
      </c>
      <c r="F35" s="16">
        <v>32</v>
      </c>
      <c r="G35" s="16">
        <v>750</v>
      </c>
      <c r="H35" s="16">
        <v>10</v>
      </c>
      <c r="I35" s="16">
        <v>60</v>
      </c>
      <c r="J35" s="3" t="s">
        <v>77</v>
      </c>
      <c r="K35" s="19" t="s">
        <v>34</v>
      </c>
      <c r="L35" s="20">
        <v>3917.22</v>
      </c>
      <c r="M35" s="22">
        <v>60</v>
      </c>
      <c r="N35" s="22">
        <f t="shared" si="6"/>
        <v>1</v>
      </c>
      <c r="O35" s="24">
        <v>66.33</v>
      </c>
      <c r="P35" s="24">
        <f t="shared" si="7"/>
        <v>3979.7999999999997</v>
      </c>
    </row>
    <row r="36" spans="1:16" ht="25.5" x14ac:dyDescent="0.2">
      <c r="A36" s="22" t="s">
        <v>203</v>
      </c>
      <c r="B36" s="43" t="s">
        <v>184</v>
      </c>
      <c r="C36" s="32">
        <v>90446700</v>
      </c>
      <c r="D36" s="26" t="s">
        <v>251</v>
      </c>
      <c r="E36" s="26" t="s">
        <v>52</v>
      </c>
      <c r="F36" s="16" t="s">
        <v>101</v>
      </c>
      <c r="G36" s="16">
        <v>900</v>
      </c>
      <c r="H36" s="16">
        <v>10</v>
      </c>
      <c r="I36" s="16">
        <v>50</v>
      </c>
      <c r="J36" s="3" t="s">
        <v>106</v>
      </c>
      <c r="K36" s="19" t="s">
        <v>122</v>
      </c>
      <c r="L36" s="20">
        <v>3917.22</v>
      </c>
      <c r="M36" s="22">
        <v>100</v>
      </c>
      <c r="N36" s="22">
        <f t="shared" si="6"/>
        <v>2</v>
      </c>
      <c r="O36" s="24">
        <v>78.209999999999994</v>
      </c>
      <c r="P36" s="24">
        <f t="shared" si="7"/>
        <v>7820.9999999999991</v>
      </c>
    </row>
    <row r="37" spans="1:16" ht="25.5" x14ac:dyDescent="0.2">
      <c r="A37" s="22" t="s">
        <v>204</v>
      </c>
      <c r="B37" s="42" t="s">
        <v>182</v>
      </c>
      <c r="C37" s="32">
        <v>90446800</v>
      </c>
      <c r="D37" s="26" t="s">
        <v>252</v>
      </c>
      <c r="E37" s="26" t="s">
        <v>120</v>
      </c>
      <c r="F37" s="16" t="s">
        <v>101</v>
      </c>
      <c r="G37" s="16">
        <v>1800</v>
      </c>
      <c r="H37" s="16">
        <v>5</v>
      </c>
      <c r="I37" s="16">
        <v>25</v>
      </c>
      <c r="J37" s="3" t="s">
        <v>121</v>
      </c>
      <c r="K37" s="19" t="s">
        <v>134</v>
      </c>
      <c r="L37" s="20">
        <v>3917.22</v>
      </c>
      <c r="M37" s="22">
        <v>50</v>
      </c>
      <c r="N37" s="22">
        <f t="shared" si="6"/>
        <v>2</v>
      </c>
      <c r="O37" s="24">
        <v>127.01</v>
      </c>
      <c r="P37" s="24">
        <f t="shared" si="7"/>
        <v>6350.5</v>
      </c>
    </row>
    <row r="38" spans="1:16" x14ac:dyDescent="0.2">
      <c r="A38" s="22"/>
      <c r="B38" s="48"/>
      <c r="C38" s="35" t="s">
        <v>23</v>
      </c>
      <c r="D38" s="14" t="s">
        <v>23</v>
      </c>
      <c r="E38" s="14" t="s">
        <v>23</v>
      </c>
      <c r="F38" s="45"/>
      <c r="G38" s="30"/>
      <c r="H38" s="16"/>
      <c r="I38" s="16"/>
      <c r="J38" s="1"/>
      <c r="K38" s="30"/>
      <c r="L38" s="30"/>
      <c r="M38" s="22"/>
      <c r="N38" s="22"/>
      <c r="O38" s="24"/>
      <c r="P38" s="24"/>
    </row>
    <row r="39" spans="1:16" ht="25.5" x14ac:dyDescent="0.2">
      <c r="A39" s="22" t="s">
        <v>205</v>
      </c>
      <c r="B39" s="43" t="s">
        <v>184</v>
      </c>
      <c r="C39" s="32">
        <v>90447200</v>
      </c>
      <c r="D39" s="26" t="s">
        <v>253</v>
      </c>
      <c r="E39" s="26" t="s">
        <v>53</v>
      </c>
      <c r="F39" s="16" t="s">
        <v>102</v>
      </c>
      <c r="G39" s="16">
        <v>150</v>
      </c>
      <c r="H39" s="16">
        <v>10</v>
      </c>
      <c r="I39" s="16">
        <v>300</v>
      </c>
      <c r="J39" s="3" t="s">
        <v>123</v>
      </c>
      <c r="K39" s="19" t="s">
        <v>124</v>
      </c>
      <c r="L39" s="20">
        <v>3917.22</v>
      </c>
      <c r="M39" s="22">
        <v>300</v>
      </c>
      <c r="N39" s="22">
        <f t="shared" ref="N39:N42" si="8">$M39/$I39</f>
        <v>1</v>
      </c>
      <c r="O39" s="50">
        <v>23.4</v>
      </c>
      <c r="P39" s="24">
        <f t="shared" ref="P39:P42" si="9">O39*$M39</f>
        <v>7020</v>
      </c>
    </row>
    <row r="40" spans="1:16" ht="25.5" x14ac:dyDescent="0.2">
      <c r="A40" s="22" t="s">
        <v>206</v>
      </c>
      <c r="B40" s="43" t="s">
        <v>183</v>
      </c>
      <c r="C40" s="31" t="s">
        <v>149</v>
      </c>
      <c r="D40" s="2" t="s">
        <v>149</v>
      </c>
      <c r="E40" s="2" t="s">
        <v>61</v>
      </c>
      <c r="F40" s="16">
        <v>40</v>
      </c>
      <c r="G40" s="16">
        <v>200</v>
      </c>
      <c r="H40" s="16">
        <v>10</v>
      </c>
      <c r="I40" s="16">
        <v>150</v>
      </c>
      <c r="J40" s="3" t="s">
        <v>78</v>
      </c>
      <c r="K40" s="19" t="s">
        <v>62</v>
      </c>
      <c r="L40" s="20">
        <v>3917.22</v>
      </c>
      <c r="M40" s="22">
        <v>150</v>
      </c>
      <c r="N40" s="22">
        <f t="shared" si="8"/>
        <v>1</v>
      </c>
      <c r="O40" s="24">
        <v>29.34</v>
      </c>
      <c r="P40" s="24">
        <f t="shared" si="9"/>
        <v>4401</v>
      </c>
    </row>
    <row r="41" spans="1:16" ht="25.5" x14ac:dyDescent="0.2">
      <c r="A41" s="22" t="s">
        <v>207</v>
      </c>
      <c r="B41" s="42" t="s">
        <v>182</v>
      </c>
      <c r="C41" s="31" t="s">
        <v>150</v>
      </c>
      <c r="D41" s="2" t="s">
        <v>150</v>
      </c>
      <c r="E41" s="2" t="s">
        <v>54</v>
      </c>
      <c r="F41" s="16">
        <v>40</v>
      </c>
      <c r="G41" s="16">
        <v>450</v>
      </c>
      <c r="H41" s="16">
        <v>10</v>
      </c>
      <c r="I41" s="16">
        <v>100</v>
      </c>
      <c r="J41" s="3" t="s">
        <v>79</v>
      </c>
      <c r="K41" s="19" t="s">
        <v>27</v>
      </c>
      <c r="L41" s="20">
        <v>3917.22</v>
      </c>
      <c r="M41" s="22">
        <v>100</v>
      </c>
      <c r="N41" s="22">
        <f t="shared" si="8"/>
        <v>1</v>
      </c>
      <c r="O41" s="24">
        <v>57.6</v>
      </c>
      <c r="P41" s="24">
        <f t="shared" si="9"/>
        <v>5760</v>
      </c>
    </row>
    <row r="42" spans="1:16" s="10" customFormat="1" ht="25.5" x14ac:dyDescent="0.2">
      <c r="A42" s="22" t="s">
        <v>208</v>
      </c>
      <c r="B42" s="42" t="s">
        <v>182</v>
      </c>
      <c r="C42" s="32">
        <v>90447400</v>
      </c>
      <c r="D42" s="26" t="s">
        <v>254</v>
      </c>
      <c r="E42" s="26" t="s">
        <v>54</v>
      </c>
      <c r="F42" s="16" t="s">
        <v>102</v>
      </c>
      <c r="G42" s="16">
        <v>450</v>
      </c>
      <c r="H42" s="16">
        <v>10</v>
      </c>
      <c r="I42" s="16">
        <v>100</v>
      </c>
      <c r="J42" s="3" t="s">
        <v>93</v>
      </c>
      <c r="K42" s="19" t="s">
        <v>94</v>
      </c>
      <c r="L42" s="20">
        <v>3917.22</v>
      </c>
      <c r="M42" s="22">
        <v>200</v>
      </c>
      <c r="N42" s="22">
        <f t="shared" si="8"/>
        <v>2</v>
      </c>
      <c r="O42" s="24">
        <v>57.6</v>
      </c>
      <c r="P42" s="24">
        <f t="shared" si="9"/>
        <v>11520</v>
      </c>
    </row>
    <row r="43" spans="1:16" x14ac:dyDescent="0.2">
      <c r="A43" s="22"/>
      <c r="B43" s="48"/>
      <c r="C43" s="8" t="s">
        <v>24</v>
      </c>
      <c r="D43" s="5" t="s">
        <v>24</v>
      </c>
      <c r="E43" s="5" t="s">
        <v>24</v>
      </c>
      <c r="F43" s="16"/>
      <c r="G43" s="16"/>
      <c r="H43" s="16"/>
      <c r="I43" s="16"/>
      <c r="J43" s="1"/>
      <c r="K43" s="30"/>
      <c r="L43" s="30"/>
      <c r="M43" s="22"/>
      <c r="N43" s="22"/>
      <c r="O43" s="24"/>
      <c r="P43" s="24"/>
    </row>
    <row r="44" spans="1:16" ht="25.5" x14ac:dyDescent="0.2">
      <c r="A44" s="22" t="s">
        <v>209</v>
      </c>
      <c r="B44" s="42" t="s">
        <v>182</v>
      </c>
      <c r="C44" s="31" t="s">
        <v>151</v>
      </c>
      <c r="D44" s="2" t="s">
        <v>151</v>
      </c>
      <c r="E44" s="2" t="s">
        <v>55</v>
      </c>
      <c r="F44" s="16">
        <v>50</v>
      </c>
      <c r="G44" s="16">
        <v>150</v>
      </c>
      <c r="H44" s="16">
        <v>10</v>
      </c>
      <c r="I44" s="16">
        <v>150</v>
      </c>
      <c r="J44" s="3" t="s">
        <v>80</v>
      </c>
      <c r="K44" s="19" t="s">
        <v>28</v>
      </c>
      <c r="L44" s="20">
        <v>3917.22</v>
      </c>
      <c r="M44" s="22">
        <v>150</v>
      </c>
      <c r="N44" s="22">
        <f t="shared" ref="N44:N50" si="10">$M44/$I44</f>
        <v>1</v>
      </c>
      <c r="O44" s="24">
        <v>28.62</v>
      </c>
      <c r="P44" s="24">
        <f t="shared" ref="P44:P50" si="11">O44*$M44</f>
        <v>4293</v>
      </c>
    </row>
    <row r="45" spans="1:16" ht="25.5" x14ac:dyDescent="0.2">
      <c r="A45" s="22" t="s">
        <v>210</v>
      </c>
      <c r="B45" s="42" t="s">
        <v>182</v>
      </c>
      <c r="C45" s="32">
        <v>90448200</v>
      </c>
      <c r="D45" s="26" t="s">
        <v>255</v>
      </c>
      <c r="E45" s="26" t="s">
        <v>55</v>
      </c>
      <c r="F45" s="16" t="s">
        <v>103</v>
      </c>
      <c r="G45" s="16">
        <v>150</v>
      </c>
      <c r="H45" s="16">
        <v>10</v>
      </c>
      <c r="I45" s="16">
        <v>150</v>
      </c>
      <c r="J45" s="3" t="s">
        <v>168</v>
      </c>
      <c r="K45" s="19" t="s">
        <v>119</v>
      </c>
      <c r="L45" s="20">
        <v>3917.22</v>
      </c>
      <c r="M45" s="22">
        <v>150</v>
      </c>
      <c r="N45" s="22">
        <f t="shared" si="10"/>
        <v>1</v>
      </c>
      <c r="O45" s="24">
        <v>28.62</v>
      </c>
      <c r="P45" s="24">
        <f t="shared" si="11"/>
        <v>4293</v>
      </c>
    </row>
    <row r="46" spans="1:16" ht="25.5" x14ac:dyDescent="0.2">
      <c r="A46" s="22" t="s">
        <v>211</v>
      </c>
      <c r="B46" s="42" t="s">
        <v>182</v>
      </c>
      <c r="C46" s="32">
        <v>90448300</v>
      </c>
      <c r="D46" s="26" t="s">
        <v>256</v>
      </c>
      <c r="E46" s="26" t="s">
        <v>56</v>
      </c>
      <c r="F46" s="16" t="s">
        <v>103</v>
      </c>
      <c r="G46" s="16">
        <v>300</v>
      </c>
      <c r="H46" s="16">
        <v>10</v>
      </c>
      <c r="I46" s="16">
        <v>75</v>
      </c>
      <c r="J46" s="3" t="s">
        <v>169</v>
      </c>
      <c r="K46" s="19" t="s">
        <v>67</v>
      </c>
      <c r="L46" s="20">
        <v>3917.22</v>
      </c>
      <c r="M46" s="22">
        <v>75</v>
      </c>
      <c r="N46" s="22">
        <f t="shared" si="10"/>
        <v>1</v>
      </c>
      <c r="O46" s="24">
        <v>50.4</v>
      </c>
      <c r="P46" s="24">
        <f t="shared" si="11"/>
        <v>3780</v>
      </c>
    </row>
    <row r="47" spans="1:16" ht="25.5" x14ac:dyDescent="0.2">
      <c r="A47" s="22" t="s">
        <v>212</v>
      </c>
      <c r="B47" s="42" t="s">
        <v>182</v>
      </c>
      <c r="C47" s="31" t="s">
        <v>152</v>
      </c>
      <c r="D47" s="2" t="s">
        <v>152</v>
      </c>
      <c r="E47" s="2" t="s">
        <v>57</v>
      </c>
      <c r="F47" s="16">
        <v>50</v>
      </c>
      <c r="G47" s="16">
        <v>450</v>
      </c>
      <c r="H47" s="16">
        <v>10</v>
      </c>
      <c r="I47" s="16">
        <v>50</v>
      </c>
      <c r="J47" s="3" t="s">
        <v>81</v>
      </c>
      <c r="K47" s="19" t="s">
        <v>29</v>
      </c>
      <c r="L47" s="20">
        <v>3917.22</v>
      </c>
      <c r="M47" s="22">
        <v>100</v>
      </c>
      <c r="N47" s="22">
        <f t="shared" si="10"/>
        <v>2</v>
      </c>
      <c r="O47" s="24">
        <v>72.45</v>
      </c>
      <c r="P47" s="24">
        <f t="shared" si="11"/>
        <v>7245</v>
      </c>
    </row>
    <row r="48" spans="1:16" ht="25.5" x14ac:dyDescent="0.2">
      <c r="A48" s="22" t="s">
        <v>213</v>
      </c>
      <c r="B48" s="42" t="s">
        <v>182</v>
      </c>
      <c r="C48" s="32">
        <v>90448400</v>
      </c>
      <c r="D48" s="26" t="s">
        <v>257</v>
      </c>
      <c r="E48" s="26" t="s">
        <v>57</v>
      </c>
      <c r="F48" s="16" t="s">
        <v>103</v>
      </c>
      <c r="G48" s="16">
        <v>450</v>
      </c>
      <c r="H48" s="16">
        <v>10</v>
      </c>
      <c r="I48" s="16">
        <v>50</v>
      </c>
      <c r="J48" s="3" t="s">
        <v>170</v>
      </c>
      <c r="K48" s="19" t="s">
        <v>68</v>
      </c>
      <c r="L48" s="20">
        <v>3917.22</v>
      </c>
      <c r="M48" s="22">
        <v>100</v>
      </c>
      <c r="N48" s="22">
        <f t="shared" si="10"/>
        <v>2</v>
      </c>
      <c r="O48" s="24">
        <v>72.45</v>
      </c>
      <c r="P48" s="24">
        <f t="shared" si="11"/>
        <v>7245</v>
      </c>
    </row>
    <row r="49" spans="1:16" ht="25.5" x14ac:dyDescent="0.2">
      <c r="A49" s="22" t="s">
        <v>214</v>
      </c>
      <c r="B49" s="43" t="s">
        <v>185</v>
      </c>
      <c r="C49" s="32">
        <v>90448800</v>
      </c>
      <c r="D49" s="26" t="s">
        <v>258</v>
      </c>
      <c r="E49" s="26" t="s">
        <v>58</v>
      </c>
      <c r="F49" s="16" t="s">
        <v>103</v>
      </c>
      <c r="G49" s="16">
        <v>1200</v>
      </c>
      <c r="H49" s="16">
        <v>5</v>
      </c>
      <c r="I49" s="16">
        <v>25</v>
      </c>
      <c r="J49" s="3" t="s">
        <v>173</v>
      </c>
      <c r="K49" s="19" t="s">
        <v>113</v>
      </c>
      <c r="L49" s="20">
        <v>3917.22</v>
      </c>
      <c r="M49" s="22">
        <v>50</v>
      </c>
      <c r="N49" s="22">
        <f t="shared" si="10"/>
        <v>2</v>
      </c>
      <c r="O49" s="24">
        <v>181.8</v>
      </c>
      <c r="P49" s="24">
        <f t="shared" si="11"/>
        <v>9090</v>
      </c>
    </row>
    <row r="50" spans="1:16" ht="25.5" x14ac:dyDescent="0.2">
      <c r="A50" s="22" t="s">
        <v>215</v>
      </c>
      <c r="B50" s="43" t="s">
        <v>185</v>
      </c>
      <c r="C50" s="32">
        <v>90448820</v>
      </c>
      <c r="D50" s="26" t="s">
        <v>259</v>
      </c>
      <c r="E50" s="26" t="s">
        <v>171</v>
      </c>
      <c r="F50" s="16" t="s">
        <v>103</v>
      </c>
      <c r="G50" s="16">
        <v>1800</v>
      </c>
      <c r="H50" s="16">
        <v>5</v>
      </c>
      <c r="I50" s="16">
        <v>20</v>
      </c>
      <c r="J50" s="3" t="s">
        <v>174</v>
      </c>
      <c r="K50" s="19" t="s">
        <v>172</v>
      </c>
      <c r="L50" s="20">
        <v>3917.22</v>
      </c>
      <c r="M50" s="22">
        <v>60</v>
      </c>
      <c r="N50" s="22">
        <f t="shared" si="10"/>
        <v>3</v>
      </c>
      <c r="O50" s="24">
        <v>272.7</v>
      </c>
      <c r="P50" s="24">
        <f t="shared" si="11"/>
        <v>16362</v>
      </c>
    </row>
    <row r="51" spans="1:16" x14ac:dyDescent="0.2">
      <c r="A51" s="22"/>
      <c r="B51" s="48"/>
      <c r="C51" s="9" t="s">
        <v>36</v>
      </c>
      <c r="D51" s="1"/>
      <c r="E51" s="1"/>
      <c r="F51" s="45"/>
      <c r="G51" s="16"/>
      <c r="H51" s="16"/>
      <c r="I51" s="16"/>
      <c r="J51" s="26"/>
      <c r="K51" s="19"/>
      <c r="L51" s="19"/>
      <c r="M51" s="22"/>
      <c r="N51" s="22"/>
      <c r="O51" s="24"/>
      <c r="P51" s="24"/>
    </row>
    <row r="52" spans="1:16" ht="25.5" x14ac:dyDescent="0.2">
      <c r="A52" s="22" t="s">
        <v>216</v>
      </c>
      <c r="B52" s="42" t="s">
        <v>182</v>
      </c>
      <c r="C52" s="31" t="s">
        <v>153</v>
      </c>
      <c r="D52" s="2" t="s">
        <v>153</v>
      </c>
      <c r="E52" s="2" t="s">
        <v>59</v>
      </c>
      <c r="F52" s="16">
        <v>25</v>
      </c>
      <c r="G52" s="16">
        <v>600</v>
      </c>
      <c r="H52" s="16">
        <v>10</v>
      </c>
      <c r="I52" s="16">
        <v>50</v>
      </c>
      <c r="J52" s="3" t="s">
        <v>82</v>
      </c>
      <c r="K52" s="19" t="s">
        <v>30</v>
      </c>
      <c r="L52" s="20">
        <v>3917.22</v>
      </c>
      <c r="M52" s="22">
        <v>100</v>
      </c>
      <c r="N52" s="22">
        <f t="shared" ref="N52:N56" si="12">$M52/$I52</f>
        <v>2</v>
      </c>
      <c r="O52" s="24">
        <v>42.93</v>
      </c>
      <c r="P52" s="24">
        <f t="shared" ref="P52:P56" si="13">O52*$M52</f>
        <v>4293</v>
      </c>
    </row>
    <row r="53" spans="1:16" ht="25.5" x14ac:dyDescent="0.2">
      <c r="A53" s="22" t="s">
        <v>235</v>
      </c>
      <c r="B53" s="43" t="s">
        <v>220</v>
      </c>
      <c r="C53" s="32">
        <v>90445600</v>
      </c>
      <c r="D53" s="26" t="s">
        <v>260</v>
      </c>
      <c r="E53" s="26" t="s">
        <v>59</v>
      </c>
      <c r="F53" s="16" t="s">
        <v>100</v>
      </c>
      <c r="G53" s="16">
        <v>600</v>
      </c>
      <c r="H53" s="16">
        <v>10</v>
      </c>
      <c r="I53" s="16">
        <v>50</v>
      </c>
      <c r="J53" s="3" t="s">
        <v>115</v>
      </c>
      <c r="K53" s="19" t="s">
        <v>112</v>
      </c>
      <c r="L53" s="20">
        <v>3917.22</v>
      </c>
      <c r="M53" s="22">
        <v>500</v>
      </c>
      <c r="N53" s="22">
        <f t="shared" si="12"/>
        <v>10</v>
      </c>
      <c r="O53" s="24">
        <v>42.93</v>
      </c>
      <c r="P53" s="24">
        <f t="shared" si="13"/>
        <v>21465</v>
      </c>
    </row>
    <row r="54" spans="1:16" ht="25.5" x14ac:dyDescent="0.2">
      <c r="A54" s="22" t="s">
        <v>217</v>
      </c>
      <c r="B54" s="42" t="s">
        <v>182</v>
      </c>
      <c r="C54" s="32">
        <v>90445700</v>
      </c>
      <c r="D54" s="26" t="s">
        <v>261</v>
      </c>
      <c r="E54" s="26" t="s">
        <v>104</v>
      </c>
      <c r="F54" s="16" t="s">
        <v>100</v>
      </c>
      <c r="G54" s="16">
        <v>750</v>
      </c>
      <c r="H54" s="16">
        <v>10</v>
      </c>
      <c r="I54" s="16">
        <v>50</v>
      </c>
      <c r="J54" s="3" t="s">
        <v>116</v>
      </c>
      <c r="K54" s="19" t="s">
        <v>114</v>
      </c>
      <c r="L54" s="20">
        <v>3917.22</v>
      </c>
      <c r="M54" s="22">
        <v>200</v>
      </c>
      <c r="N54" s="22">
        <f t="shared" si="12"/>
        <v>4</v>
      </c>
      <c r="O54" s="24">
        <v>52.02</v>
      </c>
      <c r="P54" s="24">
        <f t="shared" si="13"/>
        <v>10404</v>
      </c>
    </row>
    <row r="55" spans="1:16" ht="25.5" x14ac:dyDescent="0.2">
      <c r="A55" s="22" t="s">
        <v>218</v>
      </c>
      <c r="B55" s="42" t="s">
        <v>182</v>
      </c>
      <c r="C55" s="31" t="s">
        <v>154</v>
      </c>
      <c r="D55" s="2" t="s">
        <v>154</v>
      </c>
      <c r="E55" s="2" t="s">
        <v>60</v>
      </c>
      <c r="F55" s="16">
        <v>25</v>
      </c>
      <c r="G55" s="16">
        <v>900</v>
      </c>
      <c r="H55" s="16">
        <v>10</v>
      </c>
      <c r="I55" s="16">
        <v>50</v>
      </c>
      <c r="J55" s="3" t="s">
        <v>83</v>
      </c>
      <c r="K55" s="19" t="s">
        <v>35</v>
      </c>
      <c r="L55" s="20">
        <v>3917.22</v>
      </c>
      <c r="M55" s="22">
        <v>200</v>
      </c>
      <c r="N55" s="22">
        <f t="shared" si="12"/>
        <v>4</v>
      </c>
      <c r="O55" s="24">
        <v>61.02</v>
      </c>
      <c r="P55" s="24">
        <f t="shared" si="13"/>
        <v>12204</v>
      </c>
    </row>
    <row r="56" spans="1:16" ht="25.5" x14ac:dyDescent="0.2">
      <c r="A56" s="22" t="s">
        <v>219</v>
      </c>
      <c r="B56" s="42" t="s">
        <v>182</v>
      </c>
      <c r="C56" s="32">
        <v>90445800</v>
      </c>
      <c r="D56" s="26" t="s">
        <v>262</v>
      </c>
      <c r="E56" s="26" t="s">
        <v>60</v>
      </c>
      <c r="F56" s="16" t="s">
        <v>100</v>
      </c>
      <c r="G56" s="16">
        <v>900</v>
      </c>
      <c r="H56" s="16">
        <v>10</v>
      </c>
      <c r="I56" s="16">
        <v>50</v>
      </c>
      <c r="J56" s="3" t="s">
        <v>132</v>
      </c>
      <c r="K56" s="19" t="s">
        <v>133</v>
      </c>
      <c r="L56" s="20">
        <v>3917.22</v>
      </c>
      <c r="M56" s="22">
        <v>200</v>
      </c>
      <c r="N56" s="22">
        <f t="shared" si="12"/>
        <v>4</v>
      </c>
      <c r="O56" s="24">
        <v>61.02</v>
      </c>
      <c r="P56" s="24">
        <f t="shared" si="13"/>
        <v>12204</v>
      </c>
    </row>
    <row r="57" spans="1:16" x14ac:dyDescent="0.2">
      <c r="A57" s="10"/>
      <c r="B57" s="51"/>
      <c r="C57" s="12"/>
      <c r="D57" s="52"/>
      <c r="E57" s="11"/>
      <c r="F57" s="53"/>
      <c r="G57" s="53"/>
      <c r="H57" s="53"/>
      <c r="I57" s="53"/>
      <c r="J57" s="54"/>
      <c r="K57" s="30" t="s">
        <v>63</v>
      </c>
      <c r="L57" s="30"/>
      <c r="M57" s="1">
        <f>SUBTOTAL(9,M4:M56)</f>
        <v>40395</v>
      </c>
      <c r="N57" s="1">
        <f>SUBTOTAL(9,N4:N56)</f>
        <v>308</v>
      </c>
      <c r="O57" s="24"/>
      <c r="P57" s="15">
        <f>SUBTOTAL(9,P4:P56)</f>
        <v>943795.3</v>
      </c>
    </row>
    <row r="58" spans="1:16" ht="15" x14ac:dyDescent="0.2">
      <c r="A58" s="10"/>
      <c r="B58" s="51"/>
      <c r="C58" s="10"/>
      <c r="D58" s="10"/>
      <c r="E58" s="55"/>
      <c r="F58" s="10"/>
      <c r="G58" s="10"/>
      <c r="H58" s="10"/>
      <c r="I58" s="10"/>
      <c r="J58" s="10"/>
      <c r="K58" s="10"/>
      <c r="L58" s="10"/>
      <c r="M58" s="10"/>
      <c r="N58" s="10"/>
      <c r="O58" s="56" t="s">
        <v>263</v>
      </c>
      <c r="P58" s="15">
        <f>ROUND(P57*18%,)</f>
        <v>169883</v>
      </c>
    </row>
    <row r="59" spans="1:16" ht="15" x14ac:dyDescent="0.2">
      <c r="A59" s="10"/>
      <c r="B59" s="51"/>
      <c r="C59" s="10"/>
      <c r="D59" s="10"/>
      <c r="E59" s="55"/>
      <c r="F59" s="10"/>
      <c r="G59" s="10"/>
      <c r="H59" s="10"/>
      <c r="I59" s="10"/>
      <c r="J59" s="10"/>
      <c r="K59" s="10"/>
      <c r="L59" s="10"/>
      <c r="M59" s="10"/>
      <c r="N59" s="10"/>
      <c r="O59" s="56" t="s">
        <v>264</v>
      </c>
      <c r="P59" s="15">
        <f>SUM(P57:P58)</f>
        <v>1113678.3</v>
      </c>
    </row>
  </sheetData>
  <mergeCells count="9">
    <mergeCell ref="A1:P1"/>
    <mergeCell ref="H2:I2"/>
    <mergeCell ref="J2:J3"/>
    <mergeCell ref="K2:K3"/>
    <mergeCell ref="L2:L3"/>
    <mergeCell ref="M2:N2"/>
    <mergeCell ref="O2:P2"/>
    <mergeCell ref="A2:A3"/>
    <mergeCell ref="B2:B3"/>
  </mergeCells>
  <pageMargins left="0.39370078740157499" right="0.39370078740157499" top="0.39370078740157499" bottom="0.39370078740157499" header="0" footer="0"/>
  <pageSetup paperSize="9" scale="40" fitToHeight="0" orientation="landscape" horizontalDpi="4294967295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2020-08-01T04:34:25Z</cp:lastPrinted>
  <dcterms:created xsi:type="dcterms:W3CDTF">2008-09-30T09:18:06Z</dcterms:created>
  <dcterms:modified xsi:type="dcterms:W3CDTF">2026-05-29T10:24:08Z</dcterms:modified>
</cp:coreProperties>
</file>