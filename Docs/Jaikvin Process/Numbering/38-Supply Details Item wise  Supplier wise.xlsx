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 - Jaikvin Global jaikvinglobal\Jaikvin Global\Process to Software\Numbering\"/>
    </mc:Choice>
  </mc:AlternateContent>
  <bookViews>
    <workbookView xWindow="240" yWindow="375" windowWidth="14955" windowHeight="7935" firstSheet="18" activeTab="21"/>
  </bookViews>
  <sheets>
    <sheet name="Moulded-2005" sheetId="5" r:id="rId1"/>
    <sheet name="Moulded-2006" sheetId="6" r:id="rId2"/>
    <sheet name="Moulded-2007" sheetId="7" r:id="rId3"/>
    <sheet name="Moulded-2008" sheetId="8" r:id="rId4"/>
    <sheet name="Moulded-2009" sheetId="9" r:id="rId5"/>
    <sheet name="Moulded-2010" sheetId="10" r:id="rId6"/>
    <sheet name="Moulded-2011" sheetId="11" r:id="rId7"/>
    <sheet name="Moulded-2012" sheetId="12" r:id="rId8"/>
    <sheet name="Moulded-2013" sheetId="13" r:id="rId9"/>
    <sheet name="Moulded-2014" sheetId="14" r:id="rId10"/>
    <sheet name="Moulded-2015" sheetId="15" r:id="rId11"/>
    <sheet name="Moulded-2016" sheetId="16" r:id="rId12"/>
    <sheet name="Moulded-2017" sheetId="17" r:id="rId13"/>
    <sheet name="Moulded-2018" sheetId="18" r:id="rId14"/>
    <sheet name="Moulded-2019" sheetId="19" r:id="rId15"/>
    <sheet name="Moulded-2020" sheetId="20" r:id="rId16"/>
    <sheet name="Moulded-2021" sheetId="21" r:id="rId17"/>
    <sheet name="Moulded-2022 " sheetId="22" r:id="rId18"/>
    <sheet name="Moulded-2023" sheetId="23" r:id="rId19"/>
    <sheet name="Moulded-2024" sheetId="24" r:id="rId20"/>
    <sheet name="Moulded-2024-25" sheetId="25" r:id="rId21"/>
    <sheet name="Moulded-2025-26" sheetId="26" r:id="rId22"/>
    <sheet name="Moulded" sheetId="4" r:id="rId23"/>
  </sheets>
  <definedNames>
    <definedName name="_xlnm._FilterDatabase" localSheetId="22" hidden="1">Moulded!$B$1:$B$83</definedName>
    <definedName name="_xlnm._FilterDatabase" localSheetId="0" hidden="1">'Moulded-2005'!$B$3:$B$35</definedName>
    <definedName name="_xlnm._FilterDatabase" localSheetId="1" hidden="1">'Moulded-2006'!$B$3:$B$35</definedName>
    <definedName name="_xlnm._FilterDatabase" localSheetId="2" hidden="1">'Moulded-2007'!$B$3:$B$35</definedName>
    <definedName name="_xlnm._FilterDatabase" localSheetId="3" hidden="1">'Moulded-2008'!$B$3:$B$34</definedName>
    <definedName name="_xlnm._FilterDatabase" localSheetId="4" hidden="1">'Moulded-2009'!$B$3:$B$34</definedName>
    <definedName name="_xlnm._FilterDatabase" localSheetId="5" hidden="1">'Moulded-2010'!$B$3:$B$34</definedName>
    <definedName name="_xlnm._FilterDatabase" localSheetId="6" hidden="1">'Moulded-2011'!$B$4:$B$36</definedName>
    <definedName name="_xlnm._FilterDatabase" localSheetId="7" hidden="1">'Moulded-2012'!$B$4:$B$37</definedName>
    <definedName name="_xlnm._FilterDatabase" localSheetId="8" hidden="1">'Moulded-2013'!$B$4:$B$36</definedName>
    <definedName name="_xlnm._FilterDatabase" localSheetId="9" hidden="1">'Moulded-2014'!$B$4:$B$46</definedName>
    <definedName name="_xlnm._FilterDatabase" localSheetId="10" hidden="1">'Moulded-2015'!$B$4:$B$44</definedName>
    <definedName name="_xlnm._FilterDatabase" localSheetId="11" hidden="1">'Moulded-2016'!$B$4:$B$43</definedName>
    <definedName name="_xlnm._FilterDatabase" localSheetId="12" hidden="1">'Moulded-2017'!$B$4:$B$48</definedName>
    <definedName name="_xlnm._FilterDatabase" localSheetId="13" hidden="1">'Moulded-2018'!$B$4:$B$49</definedName>
    <definedName name="_xlnm._FilterDatabase" localSheetId="14" hidden="1">'Moulded-2019'!$B$4:$B$49</definedName>
    <definedName name="_xlnm._FilterDatabase" localSheetId="15" hidden="1">'Moulded-2020'!$B$4:$B$53</definedName>
    <definedName name="_xlnm._FilterDatabase" localSheetId="16" hidden="1">'Moulded-2021'!$B$4:$B$53</definedName>
    <definedName name="_xlnm._FilterDatabase" localSheetId="17" hidden="1">'Moulded-2022 '!$B$4:$B$53</definedName>
    <definedName name="_xlnm._FilterDatabase" localSheetId="18" hidden="1">'Moulded-2023'!$B$4:$B$55</definedName>
    <definedName name="_xlnm._FilterDatabase" localSheetId="19" hidden="1">'Moulded-2024'!$B$4:$B$54</definedName>
    <definedName name="_xlnm._FilterDatabase" localSheetId="20" hidden="1">'Moulded-2024-25'!$C$4:$Q$65</definedName>
    <definedName name="_xlnm._FilterDatabase" localSheetId="21" hidden="1">'Moulded-2025-26'!$B$4:$B$55</definedName>
    <definedName name="_xlnm.Print_Area" localSheetId="9">'Moulded-2014'!$A$1:$Q$49</definedName>
    <definedName name="_xlnm.Print_Area" localSheetId="10">'Moulded-2015'!$A$1:$R$49</definedName>
    <definedName name="_xlnm.Print_Area" localSheetId="11">'Moulded-2016'!$A$1:$W$46</definedName>
    <definedName name="_xlnm.Print_Area" localSheetId="12">'Moulded-2017'!$A$1:$AD$60</definedName>
    <definedName name="_xlnm.Print_Area" localSheetId="13">'Moulded-2018'!$A$1:$T$55</definedName>
    <definedName name="_xlnm.Print_Area" localSheetId="14">'Moulded-2019'!$A$1:$W$55</definedName>
    <definedName name="_xlnm.Print_Area" localSheetId="15">'Moulded-2020'!$A$1:$R$60</definedName>
    <definedName name="_xlnm.Print_Area" localSheetId="16">'Moulded-2021'!$A$1:$AB$59</definedName>
    <definedName name="_xlnm.Print_Area" localSheetId="17">'Moulded-2022 '!$A$1:$Q$62</definedName>
    <definedName name="_xlnm.Print_Area" localSheetId="18">'Moulded-2023'!$A$1:$AA$68</definedName>
    <definedName name="_xlnm.Print_Area" localSheetId="19">'Moulded-2024'!$A$1:$Q$67</definedName>
    <definedName name="_xlnm.Print_Area" localSheetId="20">'Moulded-2024-25'!$A$1:$R$68</definedName>
    <definedName name="_xlnm.Print_Area" localSheetId="21">'Moulded-2025-26'!$A$1:$AE$71</definedName>
  </definedNames>
  <calcPr calcId="162913"/>
</workbook>
</file>

<file path=xl/calcChain.xml><?xml version="1.0" encoding="utf-8"?>
<calcChain xmlns="http://schemas.openxmlformats.org/spreadsheetml/2006/main">
  <c r="AD67" i="26" l="1"/>
  <c r="AE67" i="26" s="1"/>
  <c r="AA70" i="26" l="1"/>
  <c r="X70" i="26" l="1"/>
  <c r="Y70" i="26"/>
  <c r="W70" i="26" l="1"/>
  <c r="AD61" i="26" l="1"/>
  <c r="AE61" i="26" s="1"/>
  <c r="AD59" i="26"/>
  <c r="AE59" i="26" s="1"/>
  <c r="V70" i="26"/>
  <c r="Z70" i="26" l="1"/>
  <c r="U70" i="26"/>
  <c r="P70" i="26" l="1"/>
  <c r="Q70" i="26"/>
  <c r="R70" i="26"/>
  <c r="S70" i="26"/>
  <c r="T70" i="26"/>
  <c r="N37" i="11" l="1"/>
  <c r="L39" i="11" l="1"/>
  <c r="F39" i="11"/>
  <c r="S7" i="12" l="1"/>
  <c r="Z38" i="23" l="1"/>
  <c r="AD36" i="26" l="1"/>
  <c r="I26" i="4"/>
  <c r="AE36" i="26" l="1"/>
  <c r="K38" i="4"/>
  <c r="I38" i="4" s="1"/>
  <c r="AB70" i="26" l="1"/>
  <c r="M70" i="26" l="1"/>
  <c r="J70" i="26" l="1"/>
  <c r="I70" i="26"/>
  <c r="AE72" i="26" l="1"/>
  <c r="AC70" i="26"/>
  <c r="O70" i="26"/>
  <c r="N70" i="26"/>
  <c r="L70" i="26"/>
  <c r="K70" i="26"/>
  <c r="H70" i="26"/>
  <c r="G70" i="26"/>
  <c r="F70" i="26"/>
  <c r="AD68" i="26"/>
  <c r="AD66" i="26"/>
  <c r="AD65" i="26"/>
  <c r="AD64" i="26"/>
  <c r="AD63" i="26"/>
  <c r="AD62" i="26"/>
  <c r="AD60" i="26"/>
  <c r="AD58" i="26"/>
  <c r="AD57" i="26"/>
  <c r="AD56" i="26"/>
  <c r="AD55" i="26"/>
  <c r="AD54" i="26"/>
  <c r="AD53" i="26"/>
  <c r="AD52" i="26"/>
  <c r="AD51" i="26"/>
  <c r="AD50" i="26"/>
  <c r="AD49" i="26"/>
  <c r="AD48" i="26"/>
  <c r="AD47" i="26"/>
  <c r="AD46" i="26"/>
  <c r="AD45" i="26"/>
  <c r="AD44" i="26"/>
  <c r="AD43" i="26"/>
  <c r="AD42" i="26"/>
  <c r="AD41" i="26"/>
  <c r="AD40" i="26"/>
  <c r="AD39" i="26"/>
  <c r="AE39" i="26" s="1"/>
  <c r="AD38" i="26"/>
  <c r="AD37" i="26"/>
  <c r="AD35" i="26"/>
  <c r="AD34" i="26"/>
  <c r="AD33" i="26"/>
  <c r="AD32" i="26"/>
  <c r="AD31" i="26"/>
  <c r="AD30" i="26"/>
  <c r="AD29" i="26"/>
  <c r="AD28" i="26"/>
  <c r="AD27" i="26"/>
  <c r="AD26" i="26"/>
  <c r="AD25" i="26"/>
  <c r="AD24" i="26"/>
  <c r="AD23" i="26"/>
  <c r="AD22" i="26"/>
  <c r="AD21" i="26"/>
  <c r="AD20" i="26"/>
  <c r="AD19" i="26"/>
  <c r="AD18" i="26"/>
  <c r="AD17" i="26"/>
  <c r="AD16" i="26"/>
  <c r="AD15" i="26"/>
  <c r="AD14" i="26"/>
  <c r="AD13" i="26"/>
  <c r="AD12" i="26"/>
  <c r="AD11" i="26"/>
  <c r="AD10" i="26"/>
  <c r="AD9" i="26"/>
  <c r="AD8" i="26"/>
  <c r="AD7" i="26"/>
  <c r="K3" i="4" s="1"/>
  <c r="AE34" i="26" l="1"/>
  <c r="K36" i="4"/>
  <c r="AE11" i="26"/>
  <c r="K8" i="4"/>
  <c r="AE42" i="26"/>
  <c r="K46" i="4"/>
  <c r="AE28" i="26"/>
  <c r="K28" i="4"/>
  <c r="AE38" i="26"/>
  <c r="K41" i="4"/>
  <c r="AE41" i="26"/>
  <c r="K45" i="4"/>
  <c r="AE51" i="26"/>
  <c r="K57" i="4"/>
  <c r="AE13" i="26"/>
  <c r="K11" i="4"/>
  <c r="AE55" i="26"/>
  <c r="K62" i="4"/>
  <c r="AE26" i="26"/>
  <c r="K24" i="4"/>
  <c r="AE45" i="26"/>
  <c r="K49" i="4"/>
  <c r="AE10" i="26"/>
  <c r="K5" i="4"/>
  <c r="AE16" i="26"/>
  <c r="K14" i="4"/>
  <c r="AE47" i="26"/>
  <c r="K51" i="4"/>
  <c r="AE58" i="26"/>
  <c r="K65" i="4"/>
  <c r="AE17" i="26"/>
  <c r="K15" i="4"/>
  <c r="AE23" i="26"/>
  <c r="K21" i="4"/>
  <c r="AE29" i="26"/>
  <c r="K29" i="4"/>
  <c r="AE35" i="26"/>
  <c r="K37" i="4"/>
  <c r="AE48" i="26"/>
  <c r="K52" i="4"/>
  <c r="AE53" i="26"/>
  <c r="K60" i="4"/>
  <c r="AE60" i="26"/>
  <c r="K66" i="4"/>
  <c r="AE68" i="26"/>
  <c r="K72" i="4"/>
  <c r="AE19" i="26"/>
  <c r="K17" i="4"/>
  <c r="AE31" i="26"/>
  <c r="K31" i="4"/>
  <c r="AE44" i="26"/>
  <c r="K48" i="4"/>
  <c r="AE50" i="26"/>
  <c r="K55" i="4"/>
  <c r="AE63" i="26"/>
  <c r="K68" i="4"/>
  <c r="AE14" i="26"/>
  <c r="K12" i="4"/>
  <c r="AE56" i="26"/>
  <c r="K63" i="4"/>
  <c r="AE22" i="26"/>
  <c r="K20" i="4"/>
  <c r="AE52" i="26"/>
  <c r="K59" i="4"/>
  <c r="AE66" i="26"/>
  <c r="K71" i="4"/>
  <c r="AE12" i="26"/>
  <c r="K10" i="4"/>
  <c r="AE18" i="26"/>
  <c r="K16" i="4"/>
  <c r="AE24" i="26"/>
  <c r="K22" i="4"/>
  <c r="AE30" i="26"/>
  <c r="K30" i="4"/>
  <c r="AE37" i="26"/>
  <c r="K39" i="4"/>
  <c r="AE43" i="26"/>
  <c r="K47" i="4"/>
  <c r="AE49" i="26"/>
  <c r="K54" i="4"/>
  <c r="AE54" i="26"/>
  <c r="K61" i="4"/>
  <c r="AE62" i="26"/>
  <c r="K67" i="4"/>
  <c r="AE25" i="26"/>
  <c r="K23" i="4"/>
  <c r="AE8" i="26"/>
  <c r="K4" i="4"/>
  <c r="AE20" i="26"/>
  <c r="K18" i="4"/>
  <c r="AE32" i="26"/>
  <c r="K32" i="4"/>
  <c r="AE64" i="26"/>
  <c r="K69" i="4"/>
  <c r="AE9" i="26"/>
  <c r="K6" i="4"/>
  <c r="AE15" i="26"/>
  <c r="K13" i="4"/>
  <c r="AE21" i="26"/>
  <c r="K19" i="4"/>
  <c r="AE27" i="26"/>
  <c r="K25" i="4"/>
  <c r="AE33" i="26"/>
  <c r="K33" i="4"/>
  <c r="AE40" i="26"/>
  <c r="K42" i="4"/>
  <c r="AE46" i="26"/>
  <c r="K50" i="4"/>
  <c r="AE57" i="26"/>
  <c r="K64" i="4"/>
  <c r="AE65" i="26"/>
  <c r="K70" i="4"/>
  <c r="AD70" i="26"/>
  <c r="K84" i="4" s="1"/>
  <c r="AE7" i="26"/>
  <c r="N67" i="25"/>
  <c r="AE71" i="26" l="1"/>
  <c r="M67" i="25"/>
  <c r="L67" i="25" l="1"/>
  <c r="AF83" i="4" l="1"/>
  <c r="AE83" i="4"/>
  <c r="AD83" i="4"/>
  <c r="AC83" i="4"/>
  <c r="AB83" i="4"/>
  <c r="AA83" i="4"/>
  <c r="Z83" i="4"/>
  <c r="Y83" i="4"/>
  <c r="X83" i="4"/>
  <c r="W83" i="4"/>
  <c r="V83" i="4"/>
  <c r="K67" i="25" l="1"/>
  <c r="J67" i="25" l="1"/>
  <c r="T27" i="4" l="1"/>
  <c r="T28" i="4" s="1"/>
  <c r="J83" i="4" l="1"/>
  <c r="J85" i="4" s="1"/>
  <c r="K83" i="4" l="1"/>
  <c r="K85" i="4" s="1"/>
  <c r="I58" i="4" l="1"/>
  <c r="U46" i="4"/>
  <c r="U83" i="4" s="1"/>
  <c r="R45" i="4" l="1"/>
  <c r="R46" i="4" l="1"/>
  <c r="I77" i="4" l="1"/>
  <c r="I80" i="4"/>
  <c r="I34" i="4" l="1"/>
  <c r="I76" i="4" l="1"/>
  <c r="I75" i="4"/>
  <c r="I74" i="4"/>
  <c r="I73" i="4"/>
  <c r="I27" i="4"/>
  <c r="Q8" i="4" l="1"/>
  <c r="Q7" i="4" l="1"/>
  <c r="P8" i="4" l="1"/>
  <c r="P7" i="4" l="1"/>
  <c r="O83" i="4" l="1"/>
  <c r="P83" i="4" l="1"/>
  <c r="Q83" i="4"/>
  <c r="R83" i="4"/>
  <c r="S83" i="4"/>
  <c r="T83" i="4" l="1"/>
  <c r="I67" i="25" l="1"/>
  <c r="H67" i="25" l="1"/>
  <c r="R69" i="25" l="1"/>
  <c r="P67" i="25"/>
  <c r="O67" i="25"/>
  <c r="G67" i="25"/>
  <c r="F67" i="25"/>
  <c r="Q65" i="25"/>
  <c r="Q64" i="25"/>
  <c r="Q63" i="25"/>
  <c r="Q62" i="25"/>
  <c r="Q61" i="25"/>
  <c r="Q60" i="25"/>
  <c r="Q59" i="25"/>
  <c r="Q58" i="25"/>
  <c r="Q57" i="25"/>
  <c r="Q56" i="25"/>
  <c r="Q55" i="25"/>
  <c r="Q54" i="25"/>
  <c r="Q53" i="25"/>
  <c r="Q52" i="25"/>
  <c r="Q51" i="25"/>
  <c r="R51" i="25" s="1"/>
  <c r="Q50" i="25"/>
  <c r="Q49" i="25"/>
  <c r="Q48" i="25"/>
  <c r="Q47" i="25"/>
  <c r="Q46" i="25"/>
  <c r="Q45" i="25"/>
  <c r="Q44" i="25"/>
  <c r="Q43" i="25"/>
  <c r="Q42" i="25"/>
  <c r="Q41" i="25"/>
  <c r="Q40" i="25"/>
  <c r="Q39" i="25"/>
  <c r="Q38" i="25"/>
  <c r="R38" i="25" s="1"/>
  <c r="Q37" i="25"/>
  <c r="Q36" i="25"/>
  <c r="Q35" i="25"/>
  <c r="Q34" i="25"/>
  <c r="Q33" i="25"/>
  <c r="Q32" i="25"/>
  <c r="Q31" i="25"/>
  <c r="Q30" i="25"/>
  <c r="Q29" i="25"/>
  <c r="Q28" i="25"/>
  <c r="Q27" i="25"/>
  <c r="Q26" i="25"/>
  <c r="Q25" i="25"/>
  <c r="Q24" i="25"/>
  <c r="Q23" i="25"/>
  <c r="Q22" i="25"/>
  <c r="Q21" i="25"/>
  <c r="Q20" i="25"/>
  <c r="Q19" i="25"/>
  <c r="Q18" i="25"/>
  <c r="Q17" i="25"/>
  <c r="Q16" i="25"/>
  <c r="Q15" i="25"/>
  <c r="Q14" i="25"/>
  <c r="Q13" i="25"/>
  <c r="Q12" i="25"/>
  <c r="Q11" i="25"/>
  <c r="Q10" i="25"/>
  <c r="Q9" i="25"/>
  <c r="Q8" i="25"/>
  <c r="Q7" i="25"/>
  <c r="L3" i="4" s="1"/>
  <c r="R41" i="25" l="1"/>
  <c r="L46" i="4"/>
  <c r="R11" i="25"/>
  <c r="L8" i="4"/>
  <c r="R37" i="25"/>
  <c r="L41" i="4"/>
  <c r="R50" i="25"/>
  <c r="L57" i="4"/>
  <c r="R12" i="25"/>
  <c r="L10" i="4"/>
  <c r="R28" i="25"/>
  <c r="L28" i="4"/>
  <c r="R34" i="25"/>
  <c r="L36" i="4"/>
  <c r="R40" i="25"/>
  <c r="L45" i="4"/>
  <c r="L43" i="4" s="1"/>
  <c r="R14" i="25"/>
  <c r="L12" i="4"/>
  <c r="R15" i="25"/>
  <c r="L13" i="4"/>
  <c r="R65" i="25"/>
  <c r="L72" i="4"/>
  <c r="R20" i="25"/>
  <c r="L18" i="4"/>
  <c r="R56" i="25"/>
  <c r="L63" i="4"/>
  <c r="R21" i="25"/>
  <c r="L19" i="4"/>
  <c r="R45" i="25"/>
  <c r="L50" i="4"/>
  <c r="R23" i="25"/>
  <c r="L21" i="4"/>
  <c r="R29" i="25"/>
  <c r="L29" i="4"/>
  <c r="R35" i="25"/>
  <c r="L37" i="4"/>
  <c r="R47" i="25"/>
  <c r="L52" i="4"/>
  <c r="R53" i="25"/>
  <c r="L60" i="4"/>
  <c r="R18" i="25"/>
  <c r="L16" i="4"/>
  <c r="R24" i="25"/>
  <c r="L22" i="4"/>
  <c r="R30" i="25"/>
  <c r="L30" i="4"/>
  <c r="R36" i="25"/>
  <c r="L39" i="4"/>
  <c r="R42" i="25"/>
  <c r="L47" i="4"/>
  <c r="R48" i="25"/>
  <c r="L54" i="4"/>
  <c r="R54" i="25"/>
  <c r="L61" i="4"/>
  <c r="R60" i="25"/>
  <c r="L67" i="4"/>
  <c r="R26" i="25"/>
  <c r="L24" i="4"/>
  <c r="R9" i="25"/>
  <c r="L6" i="4"/>
  <c r="R33" i="25"/>
  <c r="L33" i="4"/>
  <c r="R57" i="25"/>
  <c r="L64" i="4"/>
  <c r="R17" i="25"/>
  <c r="L15" i="4"/>
  <c r="R59" i="25"/>
  <c r="L66" i="4"/>
  <c r="R13" i="25"/>
  <c r="L11" i="4"/>
  <c r="R19" i="25"/>
  <c r="L17" i="4"/>
  <c r="R25" i="25"/>
  <c r="L23" i="4"/>
  <c r="R31" i="25"/>
  <c r="L31" i="4"/>
  <c r="R43" i="25"/>
  <c r="L48" i="4"/>
  <c r="R49" i="25"/>
  <c r="L55" i="4"/>
  <c r="R55" i="25"/>
  <c r="L62" i="4"/>
  <c r="R61" i="25"/>
  <c r="L68" i="4"/>
  <c r="R8" i="25"/>
  <c r="L4" i="4"/>
  <c r="R32" i="25"/>
  <c r="L32" i="4"/>
  <c r="R44" i="25"/>
  <c r="L49" i="4"/>
  <c r="R62" i="25"/>
  <c r="L69" i="4"/>
  <c r="R27" i="25"/>
  <c r="L25" i="4"/>
  <c r="R39" i="25"/>
  <c r="L42" i="4"/>
  <c r="R63" i="25"/>
  <c r="L70" i="4"/>
  <c r="R10" i="25"/>
  <c r="L5" i="4"/>
  <c r="R16" i="25"/>
  <c r="L14" i="4"/>
  <c r="R22" i="25"/>
  <c r="L20" i="4"/>
  <c r="R46" i="25"/>
  <c r="L51" i="4"/>
  <c r="R52" i="25"/>
  <c r="L59" i="4"/>
  <c r="R58" i="25"/>
  <c r="L65" i="4"/>
  <c r="R64" i="25"/>
  <c r="L71" i="4"/>
  <c r="Q67" i="25"/>
  <c r="L84" i="4" s="1"/>
  <c r="R7" i="25"/>
  <c r="L83" i="4" l="1"/>
  <c r="L85" i="4" s="1"/>
  <c r="R68" i="25"/>
  <c r="M66" i="24"/>
  <c r="L66" i="24" l="1"/>
  <c r="K66" i="24" l="1"/>
  <c r="J66" i="24" l="1"/>
  <c r="I66" i="24" l="1"/>
  <c r="Q68" i="24" l="1"/>
  <c r="O66" i="24"/>
  <c r="N66" i="24"/>
  <c r="H66" i="24"/>
  <c r="G66" i="24"/>
  <c r="F66" i="24"/>
  <c r="P64" i="24"/>
  <c r="P63" i="24"/>
  <c r="P62" i="24"/>
  <c r="P61" i="24"/>
  <c r="P60" i="24"/>
  <c r="P59" i="24"/>
  <c r="P58" i="24"/>
  <c r="P57" i="24"/>
  <c r="P56" i="24"/>
  <c r="P55" i="24"/>
  <c r="P54" i="24"/>
  <c r="P53" i="24"/>
  <c r="P52" i="24"/>
  <c r="P51" i="24"/>
  <c r="P50" i="24"/>
  <c r="P49" i="24"/>
  <c r="P48" i="24"/>
  <c r="P47" i="24"/>
  <c r="P46" i="24"/>
  <c r="P45" i="24"/>
  <c r="P44" i="24"/>
  <c r="P43" i="24"/>
  <c r="P42" i="24"/>
  <c r="P41" i="24"/>
  <c r="P40" i="24"/>
  <c r="P39" i="24"/>
  <c r="P38" i="24"/>
  <c r="P37" i="24"/>
  <c r="M41" i="4" s="1"/>
  <c r="P36" i="24"/>
  <c r="P35" i="24"/>
  <c r="P34" i="24"/>
  <c r="P33" i="24"/>
  <c r="P32" i="24"/>
  <c r="P31" i="24"/>
  <c r="P30" i="24"/>
  <c r="P29" i="24"/>
  <c r="P28" i="24"/>
  <c r="P27" i="24"/>
  <c r="P26" i="24"/>
  <c r="P25" i="24"/>
  <c r="P24" i="24"/>
  <c r="P23" i="24"/>
  <c r="P22" i="24"/>
  <c r="P21" i="24"/>
  <c r="P20" i="24"/>
  <c r="P19" i="24"/>
  <c r="P18" i="24"/>
  <c r="P17" i="24"/>
  <c r="P16" i="24"/>
  <c r="P15" i="24"/>
  <c r="P14" i="24"/>
  <c r="Q14" i="24" s="1"/>
  <c r="P13" i="24"/>
  <c r="Q13" i="24" s="1"/>
  <c r="P12" i="24"/>
  <c r="P11" i="24"/>
  <c r="P10" i="24"/>
  <c r="P9" i="24"/>
  <c r="P8" i="24"/>
  <c r="P7" i="24"/>
  <c r="M3" i="4" s="1"/>
  <c r="Q39" i="24" l="1"/>
  <c r="M45" i="4"/>
  <c r="Q12" i="24"/>
  <c r="M10" i="4"/>
  <c r="Q54" i="24"/>
  <c r="M62" i="4"/>
  <c r="Q37" i="24"/>
  <c r="Q49" i="24"/>
  <c r="M56" i="4"/>
  <c r="Q11" i="24"/>
  <c r="M8" i="4"/>
  <c r="Q47" i="24"/>
  <c r="M54" i="4"/>
  <c r="Q50" i="24"/>
  <c r="M57" i="4"/>
  <c r="Q27" i="24"/>
  <c r="M25" i="4"/>
  <c r="Q28" i="24"/>
  <c r="M28" i="4"/>
  <c r="Q34" i="24"/>
  <c r="M36" i="4"/>
  <c r="Q40" i="24"/>
  <c r="M46" i="4"/>
  <c r="Q23" i="24"/>
  <c r="M21" i="4"/>
  <c r="Q35" i="24"/>
  <c r="M37" i="4"/>
  <c r="Q58" i="24"/>
  <c r="M66" i="4"/>
  <c r="Q24" i="24"/>
  <c r="M22" i="4"/>
  <c r="Q36" i="24"/>
  <c r="M39" i="4"/>
  <c r="Q41" i="24"/>
  <c r="M47" i="4"/>
  <c r="Q53" i="24"/>
  <c r="M61" i="4"/>
  <c r="Q59" i="24"/>
  <c r="M67" i="4"/>
  <c r="Q9" i="24"/>
  <c r="M6" i="4"/>
  <c r="Q17" i="24"/>
  <c r="M15" i="4"/>
  <c r="Q29" i="24"/>
  <c r="M29" i="4"/>
  <c r="Q46" i="24"/>
  <c r="M52" i="4"/>
  <c r="Q52" i="24"/>
  <c r="M60" i="4"/>
  <c r="Q64" i="24"/>
  <c r="M72" i="4"/>
  <c r="Q18" i="24"/>
  <c r="M16" i="4"/>
  <c r="Q30" i="24"/>
  <c r="M30" i="4"/>
  <c r="Q25" i="24"/>
  <c r="M23" i="4"/>
  <c r="Q31" i="24"/>
  <c r="M31" i="4"/>
  <c r="Q42" i="24"/>
  <c r="M48" i="4"/>
  <c r="Q48" i="24"/>
  <c r="M55" i="4"/>
  <c r="Q60" i="24"/>
  <c r="M68" i="4"/>
  <c r="Q19" i="24"/>
  <c r="M17" i="4"/>
  <c r="Q8" i="24"/>
  <c r="M4" i="4"/>
  <c r="Q20" i="24"/>
  <c r="M18" i="4"/>
  <c r="Q26" i="24"/>
  <c r="M24" i="4"/>
  <c r="Q32" i="24"/>
  <c r="M32" i="4"/>
  <c r="Q43" i="24"/>
  <c r="M49" i="4"/>
  <c r="Q55" i="24"/>
  <c r="M63" i="4"/>
  <c r="Q61" i="24"/>
  <c r="M69" i="4"/>
  <c r="Q15" i="24"/>
  <c r="M13" i="4"/>
  <c r="Q21" i="24"/>
  <c r="M19" i="4"/>
  <c r="Q33" i="24"/>
  <c r="M33" i="4"/>
  <c r="Q38" i="24"/>
  <c r="M42" i="4"/>
  <c r="Q44" i="24"/>
  <c r="M50" i="4"/>
  <c r="Q56" i="24"/>
  <c r="M64" i="4"/>
  <c r="Q62" i="24"/>
  <c r="M70" i="4"/>
  <c r="Q10" i="24"/>
  <c r="M5" i="4"/>
  <c r="Q16" i="24"/>
  <c r="M14" i="4"/>
  <c r="Q22" i="24"/>
  <c r="M20" i="4"/>
  <c r="Q45" i="24"/>
  <c r="M51" i="4"/>
  <c r="Q51" i="24"/>
  <c r="M59" i="4"/>
  <c r="Q57" i="24"/>
  <c r="M65" i="4"/>
  <c r="Q63" i="24"/>
  <c r="M71" i="4"/>
  <c r="P66" i="24"/>
  <c r="M84" i="4" s="1"/>
  <c r="Q7" i="24"/>
  <c r="Q67" i="24" l="1"/>
  <c r="M83" i="4"/>
  <c r="M85" i="4" s="1"/>
  <c r="W67" i="23"/>
  <c r="U67" i="23" l="1"/>
  <c r="V67" i="23"/>
  <c r="T67" i="23" l="1"/>
  <c r="X67" i="23"/>
  <c r="S67" i="23" l="1"/>
  <c r="Q67" i="23" l="1"/>
  <c r="R67" i="23"/>
  <c r="Z22" i="23" l="1"/>
  <c r="AA22" i="23" l="1"/>
  <c r="N20" i="4"/>
  <c r="I20" i="4" s="1"/>
  <c r="Z21" i="23"/>
  <c r="AA21" i="23" l="1"/>
  <c r="N19" i="4"/>
  <c r="I19" i="4" s="1"/>
  <c r="Z23" i="23"/>
  <c r="Z17" i="23"/>
  <c r="AA17" i="23" l="1"/>
  <c r="N15" i="4"/>
  <c r="I15" i="4" s="1"/>
  <c r="AA23" i="23"/>
  <c r="N21" i="4"/>
  <c r="I21" i="4" s="1"/>
  <c r="K67" i="23"/>
  <c r="Z15" i="23" l="1"/>
  <c r="Z16" i="23"/>
  <c r="AA16" i="23" l="1"/>
  <c r="N14" i="4"/>
  <c r="I14" i="4" s="1"/>
  <c r="AA15" i="23"/>
  <c r="N13" i="4"/>
  <c r="I13" i="4" s="1"/>
  <c r="AA69" i="23"/>
  <c r="Y67" i="23"/>
  <c r="P67" i="23"/>
  <c r="O67" i="23"/>
  <c r="N67" i="23"/>
  <c r="M67" i="23"/>
  <c r="L67" i="23"/>
  <c r="J67" i="23"/>
  <c r="I67" i="23"/>
  <c r="H67" i="23"/>
  <c r="G67" i="23"/>
  <c r="F67" i="23"/>
  <c r="Z33" i="23"/>
  <c r="Z32" i="23"/>
  <c r="Z31" i="23"/>
  <c r="Z20" i="23"/>
  <c r="Z19" i="23"/>
  <c r="Z18" i="23"/>
  <c r="Z24" i="23"/>
  <c r="Z14" i="23"/>
  <c r="Z13" i="23"/>
  <c r="Z27" i="23"/>
  <c r="Z65" i="23"/>
  <c r="Z30" i="23"/>
  <c r="Z59" i="23"/>
  <c r="Z58" i="23"/>
  <c r="Z57" i="23"/>
  <c r="Z56" i="23"/>
  <c r="Z55" i="23"/>
  <c r="Z54" i="23"/>
  <c r="Z12" i="23"/>
  <c r="Z26" i="23"/>
  <c r="Z64" i="23"/>
  <c r="Z63" i="23"/>
  <c r="Z29" i="23"/>
  <c r="Z53" i="23"/>
  <c r="Z52" i="23"/>
  <c r="Z51" i="23"/>
  <c r="Z50" i="23"/>
  <c r="Z49" i="23"/>
  <c r="Z48" i="23"/>
  <c r="Z47" i="23"/>
  <c r="Z46" i="23"/>
  <c r="Z9" i="23"/>
  <c r="Z8" i="23"/>
  <c r="Z10" i="23"/>
  <c r="Z7" i="23"/>
  <c r="Z25" i="23"/>
  <c r="Z11" i="23"/>
  <c r="N8" i="4" s="1"/>
  <c r="N7" i="4" s="1"/>
  <c r="I7" i="4" s="1"/>
  <c r="Z62" i="23"/>
  <c r="Z61" i="23"/>
  <c r="Z60" i="23"/>
  <c r="Z28" i="23"/>
  <c r="Z45" i="23"/>
  <c r="Z44" i="23"/>
  <c r="Z43" i="23"/>
  <c r="Z42" i="23"/>
  <c r="Z41" i="23"/>
  <c r="Z40" i="23"/>
  <c r="Z39" i="23"/>
  <c r="AA38" i="23"/>
  <c r="Z37" i="23"/>
  <c r="Z36" i="23"/>
  <c r="Z35" i="23"/>
  <c r="Z34" i="23"/>
  <c r="AA12" i="23" l="1"/>
  <c r="N10" i="4"/>
  <c r="I9" i="4" s="1"/>
  <c r="AA34" i="23"/>
  <c r="N36" i="4"/>
  <c r="I36" i="4" s="1"/>
  <c r="AA28" i="23"/>
  <c r="N28" i="4"/>
  <c r="I28" i="4" s="1"/>
  <c r="AA49" i="23"/>
  <c r="N55" i="4"/>
  <c r="AA27" i="23"/>
  <c r="N25" i="4"/>
  <c r="I25" i="4" s="1"/>
  <c r="AA37" i="23"/>
  <c r="N41" i="4"/>
  <c r="AA51" i="23"/>
  <c r="N57" i="4"/>
  <c r="AA14" i="23"/>
  <c r="N12" i="4"/>
  <c r="AA40" i="23"/>
  <c r="N45" i="4"/>
  <c r="AA48" i="23"/>
  <c r="N54" i="4"/>
  <c r="I53" i="4" s="1"/>
  <c r="AA41" i="23"/>
  <c r="N46" i="4"/>
  <c r="N44" i="4" s="1"/>
  <c r="AA50" i="23"/>
  <c r="N56" i="4"/>
  <c r="I56" i="4" s="1"/>
  <c r="AA13" i="23"/>
  <c r="N11" i="4"/>
  <c r="AA11" i="23"/>
  <c r="I8" i="4"/>
  <c r="AA43" i="23"/>
  <c r="N48" i="4"/>
  <c r="I48" i="4" s="1"/>
  <c r="AA26" i="23"/>
  <c r="N24" i="4"/>
  <c r="I24" i="4" s="1"/>
  <c r="AA46" i="23"/>
  <c r="N51" i="4"/>
  <c r="I51" i="4" s="1"/>
  <c r="AA52" i="23"/>
  <c r="N59" i="4"/>
  <c r="AA59" i="23"/>
  <c r="N66" i="4"/>
  <c r="AA24" i="23"/>
  <c r="N22" i="4"/>
  <c r="I22" i="4" s="1"/>
  <c r="AA33" i="23"/>
  <c r="N33" i="4"/>
  <c r="I33" i="4" s="1"/>
  <c r="AA58" i="23"/>
  <c r="N65" i="4"/>
  <c r="AA32" i="23"/>
  <c r="N32" i="4"/>
  <c r="I32" i="4" s="1"/>
  <c r="AA44" i="23"/>
  <c r="N49" i="4"/>
  <c r="AA39" i="23"/>
  <c r="N42" i="4"/>
  <c r="I42" i="4" s="1"/>
  <c r="AA45" i="23"/>
  <c r="N50" i="4"/>
  <c r="AA25" i="23"/>
  <c r="N23" i="4"/>
  <c r="I23" i="4" s="1"/>
  <c r="AA47" i="23"/>
  <c r="N52" i="4"/>
  <c r="I52" i="4" s="1"/>
  <c r="AA53" i="23"/>
  <c r="N60" i="4"/>
  <c r="AA54" i="23"/>
  <c r="N61" i="4"/>
  <c r="AA30" i="23"/>
  <c r="N30" i="4"/>
  <c r="I30" i="4" s="1"/>
  <c r="AA18" i="23"/>
  <c r="N16" i="4"/>
  <c r="I16" i="4" s="1"/>
  <c r="AA62" i="23"/>
  <c r="N69" i="4"/>
  <c r="I69" i="4" s="1"/>
  <c r="AA55" i="23"/>
  <c r="N62" i="4"/>
  <c r="AA19" i="23"/>
  <c r="N17" i="4"/>
  <c r="I17" i="4" s="1"/>
  <c r="AA35" i="23"/>
  <c r="N37" i="4"/>
  <c r="I37" i="4" s="1"/>
  <c r="AA10" i="23"/>
  <c r="N5" i="4"/>
  <c r="AA63" i="23"/>
  <c r="N70" i="4"/>
  <c r="I70" i="4" s="1"/>
  <c r="AA20" i="23"/>
  <c r="N18" i="4"/>
  <c r="I18" i="4" s="1"/>
  <c r="AA9" i="23"/>
  <c r="N6" i="4"/>
  <c r="I6" i="4" s="1"/>
  <c r="AA7" i="23"/>
  <c r="N3" i="4"/>
  <c r="AA29" i="23"/>
  <c r="N29" i="4"/>
  <c r="I29" i="4" s="1"/>
  <c r="AA65" i="23"/>
  <c r="N72" i="4"/>
  <c r="I72" i="4" s="1"/>
  <c r="AA60" i="23"/>
  <c r="N67" i="4"/>
  <c r="I67" i="4" s="1"/>
  <c r="AA56" i="23"/>
  <c r="N63" i="4"/>
  <c r="AA36" i="23"/>
  <c r="N39" i="4"/>
  <c r="I39" i="4" s="1"/>
  <c r="AA42" i="23"/>
  <c r="N47" i="4"/>
  <c r="I47" i="4" s="1"/>
  <c r="AA61" i="23"/>
  <c r="N68" i="4"/>
  <c r="I68" i="4" s="1"/>
  <c r="AA8" i="23"/>
  <c r="N4" i="4"/>
  <c r="I4" i="4" s="1"/>
  <c r="AA64" i="23"/>
  <c r="N71" i="4"/>
  <c r="I71" i="4" s="1"/>
  <c r="AA57" i="23"/>
  <c r="N64" i="4"/>
  <c r="AA31" i="23"/>
  <c r="N31" i="4"/>
  <c r="I31" i="4" s="1"/>
  <c r="Z67" i="23"/>
  <c r="N84" i="4" s="1"/>
  <c r="P56" i="22"/>
  <c r="Q56" i="22" s="1"/>
  <c r="P55" i="22"/>
  <c r="Q55" i="22" s="1"/>
  <c r="P54" i="22"/>
  <c r="Q54" i="22" s="1"/>
  <c r="AA68" i="23" l="1"/>
  <c r="I65" i="4"/>
  <c r="N40" i="4"/>
  <c r="I40" i="4" s="1"/>
  <c r="I41" i="4"/>
  <c r="N43" i="4"/>
  <c r="I43" i="4" s="1"/>
  <c r="I45" i="4"/>
  <c r="I11" i="4"/>
  <c r="I61" i="4"/>
  <c r="I3" i="4"/>
  <c r="I49" i="4"/>
  <c r="I59" i="4"/>
  <c r="I63" i="4"/>
  <c r="Q63" i="22"/>
  <c r="N83" i="4" l="1"/>
  <c r="N85" i="4" s="1"/>
  <c r="O61" i="22"/>
  <c r="N61" i="22"/>
  <c r="M61" i="22"/>
  <c r="L61" i="22"/>
  <c r="K61" i="22"/>
  <c r="J61" i="22"/>
  <c r="I61" i="22"/>
  <c r="H61" i="22"/>
  <c r="F61" i="22"/>
  <c r="P59" i="22"/>
  <c r="Q59" i="22" s="1"/>
  <c r="P58" i="22"/>
  <c r="Q58" i="22" s="1"/>
  <c r="P57" i="22"/>
  <c r="Q57" i="22" s="1"/>
  <c r="P53" i="22"/>
  <c r="Q53" i="22" s="1"/>
  <c r="P52" i="22"/>
  <c r="Q52" i="22" s="1"/>
  <c r="P51" i="22"/>
  <c r="Q51" i="22" s="1"/>
  <c r="P50" i="22"/>
  <c r="Q50" i="22" s="1"/>
  <c r="P49" i="22"/>
  <c r="Q49" i="22" s="1"/>
  <c r="P48" i="22"/>
  <c r="Q48" i="22" s="1"/>
  <c r="P47" i="22"/>
  <c r="Q47" i="22" s="1"/>
  <c r="P46" i="22"/>
  <c r="Q46" i="22" s="1"/>
  <c r="P45" i="22"/>
  <c r="Q45" i="22" s="1"/>
  <c r="P44" i="22"/>
  <c r="Q44" i="22" s="1"/>
  <c r="P43" i="22"/>
  <c r="Q43" i="22" s="1"/>
  <c r="P42" i="22"/>
  <c r="Q42" i="22" s="1"/>
  <c r="P41" i="22"/>
  <c r="Q41" i="22" s="1"/>
  <c r="P40" i="22"/>
  <c r="Q40" i="22" s="1"/>
  <c r="P39" i="22"/>
  <c r="Q39" i="22" s="1"/>
  <c r="P38" i="22"/>
  <c r="Q38" i="22" s="1"/>
  <c r="P37" i="22"/>
  <c r="Q37" i="22" s="1"/>
  <c r="P36" i="22"/>
  <c r="Q36" i="22" s="1"/>
  <c r="P35" i="22"/>
  <c r="Q35" i="22" s="1"/>
  <c r="P34" i="22"/>
  <c r="Q34" i="22" s="1"/>
  <c r="P33" i="22"/>
  <c r="Q33" i="22" s="1"/>
  <c r="P32" i="22"/>
  <c r="Q32" i="22" s="1"/>
  <c r="P31" i="22"/>
  <c r="Q31" i="22" s="1"/>
  <c r="P30" i="22"/>
  <c r="Q30" i="22" s="1"/>
  <c r="P29" i="22"/>
  <c r="Q29" i="22" s="1"/>
  <c r="P28" i="22"/>
  <c r="Q28" i="22" s="1"/>
  <c r="P27" i="22"/>
  <c r="Q27" i="22" s="1"/>
  <c r="P26" i="22"/>
  <c r="Q26" i="22" s="1"/>
  <c r="P25" i="22"/>
  <c r="Q25" i="22" s="1"/>
  <c r="P24" i="22"/>
  <c r="Q24" i="22" s="1"/>
  <c r="P23" i="22"/>
  <c r="Q23" i="22" s="1"/>
  <c r="P22" i="22"/>
  <c r="Q22" i="22" s="1"/>
  <c r="P21" i="22"/>
  <c r="Q21" i="22" s="1"/>
  <c r="P20" i="22"/>
  <c r="Q20" i="22" s="1"/>
  <c r="P19" i="22"/>
  <c r="Q19" i="22" s="1"/>
  <c r="P18" i="22"/>
  <c r="Q18" i="22" s="1"/>
  <c r="P17" i="22"/>
  <c r="Q17" i="22" s="1"/>
  <c r="P16" i="22"/>
  <c r="Q16" i="22" s="1"/>
  <c r="P15" i="22"/>
  <c r="Q15" i="22" s="1"/>
  <c r="P14" i="22"/>
  <c r="Q14" i="22" s="1"/>
  <c r="P13" i="22"/>
  <c r="Q13" i="22" s="1"/>
  <c r="P12" i="22"/>
  <c r="Q12" i="22" s="1"/>
  <c r="P11" i="22"/>
  <c r="Q11" i="22" s="1"/>
  <c r="P10" i="22"/>
  <c r="Q10" i="22" s="1"/>
  <c r="P9" i="22"/>
  <c r="Q9" i="22" s="1"/>
  <c r="P8" i="22"/>
  <c r="Q8" i="22" s="1"/>
  <c r="P7" i="22"/>
  <c r="P61" i="22" l="1"/>
  <c r="O84" i="4" s="1"/>
  <c r="O85" i="4" s="1"/>
  <c r="G61" i="22"/>
  <c r="Q7" i="22"/>
  <c r="Q62" i="22" s="1"/>
  <c r="X58" i="21"/>
  <c r="Y58" i="21"/>
  <c r="W58" i="21" l="1"/>
  <c r="V58" i="21" l="1"/>
  <c r="U58" i="21" l="1"/>
  <c r="T58" i="21" l="1"/>
  <c r="S58" i="21" l="1"/>
  <c r="R58" i="21" l="1"/>
  <c r="P58" i="21" l="1"/>
  <c r="Q58" i="21" l="1"/>
  <c r="N58" i="21" l="1"/>
  <c r="O58" i="21"/>
  <c r="L58" i="21" l="1"/>
  <c r="M58" i="21"/>
  <c r="K58" i="21" l="1"/>
  <c r="G23" i="21" l="1"/>
  <c r="AA23" i="21" s="1"/>
  <c r="AB23" i="21" s="1"/>
  <c r="AB60" i="21"/>
  <c r="Z58" i="21"/>
  <c r="J58" i="21"/>
  <c r="I58" i="21"/>
  <c r="H58" i="21"/>
  <c r="F58" i="21"/>
  <c r="AA56" i="21"/>
  <c r="AB56" i="21" s="1"/>
  <c r="AA55" i="21"/>
  <c r="AB55" i="21" s="1"/>
  <c r="AA54" i="21"/>
  <c r="AB54" i="21" s="1"/>
  <c r="AA53" i="21"/>
  <c r="AB53" i="21" s="1"/>
  <c r="AA52" i="21"/>
  <c r="AB52" i="21" s="1"/>
  <c r="AA51" i="21"/>
  <c r="AB51" i="21" s="1"/>
  <c r="AA50" i="21"/>
  <c r="AB50" i="21" s="1"/>
  <c r="AA49" i="21"/>
  <c r="AB49" i="21" s="1"/>
  <c r="AA48" i="21"/>
  <c r="AB48" i="21" s="1"/>
  <c r="AA47" i="21"/>
  <c r="AB47" i="21" s="1"/>
  <c r="AA46" i="21"/>
  <c r="AB46" i="21" s="1"/>
  <c r="AA45" i="21"/>
  <c r="AB45" i="21" s="1"/>
  <c r="AA44" i="21"/>
  <c r="AB44" i="21" s="1"/>
  <c r="AA43" i="21"/>
  <c r="AB43" i="21" s="1"/>
  <c r="AA42" i="21"/>
  <c r="AB42" i="21" s="1"/>
  <c r="AA41" i="21"/>
  <c r="AB41" i="21" s="1"/>
  <c r="AA40" i="21"/>
  <c r="AB40" i="21" s="1"/>
  <c r="AA39" i="21"/>
  <c r="AB39" i="21" s="1"/>
  <c r="AA38" i="21"/>
  <c r="AB38" i="21" s="1"/>
  <c r="AA37" i="21"/>
  <c r="AB37" i="21" s="1"/>
  <c r="AA36" i="21"/>
  <c r="AB36" i="21" s="1"/>
  <c r="AA35" i="21"/>
  <c r="AB35" i="21" s="1"/>
  <c r="AA34" i="21"/>
  <c r="AB34" i="21" s="1"/>
  <c r="AA33" i="21"/>
  <c r="AB33" i="21" s="1"/>
  <c r="AA32" i="21"/>
  <c r="AB32" i="21" s="1"/>
  <c r="AA31" i="21"/>
  <c r="AB31" i="21" s="1"/>
  <c r="AA30" i="21"/>
  <c r="AB30" i="21" s="1"/>
  <c r="AA29" i="21"/>
  <c r="AB29" i="21" s="1"/>
  <c r="AA28" i="21"/>
  <c r="AB28" i="21" s="1"/>
  <c r="AA27" i="21"/>
  <c r="AB27" i="21" s="1"/>
  <c r="AA26" i="21"/>
  <c r="AB26" i="21" s="1"/>
  <c r="AA25" i="21"/>
  <c r="AB25" i="21" s="1"/>
  <c r="AA24" i="21"/>
  <c r="AB24" i="21" s="1"/>
  <c r="AA22" i="21"/>
  <c r="AB22" i="21" s="1"/>
  <c r="AA21" i="21"/>
  <c r="AB21" i="21" s="1"/>
  <c r="AA20" i="21"/>
  <c r="AB20" i="21" s="1"/>
  <c r="AA19" i="21"/>
  <c r="AB19" i="21" s="1"/>
  <c r="AA18" i="21"/>
  <c r="AB18" i="21" s="1"/>
  <c r="AA17" i="21"/>
  <c r="AB17" i="21" s="1"/>
  <c r="AA16" i="21"/>
  <c r="AB16" i="21" s="1"/>
  <c r="AA15" i="21"/>
  <c r="AB15" i="21" s="1"/>
  <c r="AA14" i="21"/>
  <c r="AB14" i="21" s="1"/>
  <c r="AA13" i="21"/>
  <c r="AB13" i="21" s="1"/>
  <c r="AA12" i="21"/>
  <c r="AB12" i="21" s="1"/>
  <c r="AA11" i="21"/>
  <c r="AB11" i="21" s="1"/>
  <c r="AA10" i="21"/>
  <c r="AB10" i="21" s="1"/>
  <c r="AA9" i="21"/>
  <c r="AB9" i="21" s="1"/>
  <c r="AA8" i="21"/>
  <c r="AB8" i="21" s="1"/>
  <c r="AA7" i="21"/>
  <c r="AB7" i="21" s="1"/>
  <c r="G58" i="21" l="1"/>
  <c r="AB59" i="21"/>
  <c r="AA58" i="21"/>
  <c r="P84" i="4" s="1"/>
  <c r="P85" i="4" s="1"/>
  <c r="Q11" i="20"/>
  <c r="R11" i="20" s="1"/>
  <c r="Q52" i="20" l="1"/>
  <c r="R52" i="20" s="1"/>
  <c r="Q51" i="20"/>
  <c r="R51" i="20" s="1"/>
  <c r="Q34" i="20" l="1"/>
  <c r="R34" i="20" s="1"/>
  <c r="R60" i="20"/>
  <c r="P58" i="20"/>
  <c r="O58" i="20"/>
  <c r="N58" i="20"/>
  <c r="M58" i="20"/>
  <c r="L58" i="20"/>
  <c r="K58" i="20"/>
  <c r="J58" i="20"/>
  <c r="I58" i="20"/>
  <c r="H58" i="20"/>
  <c r="G58" i="20"/>
  <c r="F58" i="20"/>
  <c r="Q56" i="20"/>
  <c r="R56" i="20" s="1"/>
  <c r="Q55" i="20"/>
  <c r="R55" i="20" s="1"/>
  <c r="Q54" i="20"/>
  <c r="R54" i="20" s="1"/>
  <c r="Q53" i="20"/>
  <c r="R53" i="20" s="1"/>
  <c r="Q50" i="20"/>
  <c r="R50" i="20" s="1"/>
  <c r="Q49" i="20"/>
  <c r="R49" i="20" s="1"/>
  <c r="Q48" i="20"/>
  <c r="R48" i="20" s="1"/>
  <c r="Q47" i="20"/>
  <c r="R47" i="20" s="1"/>
  <c r="Q46" i="20"/>
  <c r="R46" i="20" s="1"/>
  <c r="Q45" i="20"/>
  <c r="R45" i="20" s="1"/>
  <c r="Q44" i="20"/>
  <c r="R44" i="20" s="1"/>
  <c r="Q43" i="20"/>
  <c r="R43" i="20" s="1"/>
  <c r="Q42" i="20"/>
  <c r="R42" i="20" s="1"/>
  <c r="Q41" i="20"/>
  <c r="R41" i="20" s="1"/>
  <c r="Q40" i="20"/>
  <c r="R40" i="20" s="1"/>
  <c r="Q39" i="20"/>
  <c r="R39" i="20" s="1"/>
  <c r="Q38" i="20"/>
  <c r="R38" i="20" s="1"/>
  <c r="Q37" i="20"/>
  <c r="R37" i="20" s="1"/>
  <c r="Q36" i="20"/>
  <c r="R36" i="20" s="1"/>
  <c r="Q35" i="20"/>
  <c r="R35" i="20" s="1"/>
  <c r="Q33" i="20"/>
  <c r="R33" i="20" s="1"/>
  <c r="Q32" i="20"/>
  <c r="R32" i="20" s="1"/>
  <c r="Q31" i="20"/>
  <c r="R31" i="20" s="1"/>
  <c r="Q30" i="20"/>
  <c r="R30" i="20" s="1"/>
  <c r="Q29" i="20"/>
  <c r="R29" i="20" s="1"/>
  <c r="Q28" i="20"/>
  <c r="R28" i="20" s="1"/>
  <c r="Q27" i="20"/>
  <c r="R27" i="20" s="1"/>
  <c r="Q26" i="20"/>
  <c r="R26" i="20" s="1"/>
  <c r="Q25" i="20"/>
  <c r="R25" i="20" s="1"/>
  <c r="Q24" i="20"/>
  <c r="R24" i="20" s="1"/>
  <c r="Q23" i="20"/>
  <c r="R23" i="20" s="1"/>
  <c r="Q22" i="20"/>
  <c r="R22" i="20" s="1"/>
  <c r="Q21" i="20"/>
  <c r="R21" i="20" s="1"/>
  <c r="Q20" i="20"/>
  <c r="R20" i="20" s="1"/>
  <c r="Q19" i="20"/>
  <c r="R19" i="20" s="1"/>
  <c r="Q18" i="20"/>
  <c r="R18" i="20" s="1"/>
  <c r="Q17" i="20"/>
  <c r="R17" i="20" s="1"/>
  <c r="Q16" i="20"/>
  <c r="R16" i="20" s="1"/>
  <c r="Q15" i="20"/>
  <c r="R15" i="20" s="1"/>
  <c r="Q14" i="20"/>
  <c r="R14" i="20" s="1"/>
  <c r="Q13" i="20"/>
  <c r="R13" i="20" s="1"/>
  <c r="Q12" i="20"/>
  <c r="R12" i="20" s="1"/>
  <c r="Q10" i="20"/>
  <c r="R10" i="20" s="1"/>
  <c r="Q9" i="20"/>
  <c r="R9" i="20" s="1"/>
  <c r="Q8" i="20"/>
  <c r="R8" i="20" s="1"/>
  <c r="Q7" i="20"/>
  <c r="R7" i="20" s="1"/>
  <c r="U54" i="19"/>
  <c r="R59" i="20" l="1"/>
  <c r="Q58" i="20"/>
  <c r="Q84" i="4" s="1"/>
  <c r="Q85" i="4" s="1"/>
  <c r="T54" i="19"/>
  <c r="S54" i="19"/>
  <c r="R54" i="19"/>
  <c r="Q54" i="19"/>
  <c r="W56" i="19"/>
  <c r="P54" i="19"/>
  <c r="O54" i="19"/>
  <c r="N54" i="19"/>
  <c r="M54" i="19"/>
  <c r="L54" i="19"/>
  <c r="K54" i="19"/>
  <c r="J54" i="19"/>
  <c r="I54" i="19"/>
  <c r="H54" i="19"/>
  <c r="G54" i="19"/>
  <c r="F54" i="19"/>
  <c r="V52" i="19"/>
  <c r="W52" i="19" s="1"/>
  <c r="V51" i="19"/>
  <c r="W51" i="19" s="1"/>
  <c r="V50" i="19"/>
  <c r="W50" i="19" s="1"/>
  <c r="V49" i="19"/>
  <c r="W49" i="19" s="1"/>
  <c r="V48" i="19"/>
  <c r="W48" i="19" s="1"/>
  <c r="V47" i="19"/>
  <c r="W47" i="19" s="1"/>
  <c r="V46" i="19"/>
  <c r="W46" i="19" s="1"/>
  <c r="V45" i="19"/>
  <c r="W45" i="19" s="1"/>
  <c r="V44" i="19"/>
  <c r="W44" i="19" s="1"/>
  <c r="V43" i="19"/>
  <c r="W43" i="19" s="1"/>
  <c r="V42" i="19"/>
  <c r="W42" i="19" s="1"/>
  <c r="V41" i="19"/>
  <c r="W41" i="19" s="1"/>
  <c r="V40" i="19"/>
  <c r="W40" i="19" s="1"/>
  <c r="V39" i="19"/>
  <c r="W39" i="19" s="1"/>
  <c r="V38" i="19"/>
  <c r="W38" i="19" s="1"/>
  <c r="V37" i="19"/>
  <c r="W37" i="19" s="1"/>
  <c r="V36" i="19"/>
  <c r="W36" i="19" s="1"/>
  <c r="V35" i="19"/>
  <c r="W35" i="19" s="1"/>
  <c r="V34" i="19"/>
  <c r="W34" i="19" s="1"/>
  <c r="V33" i="19"/>
  <c r="W33" i="19" s="1"/>
  <c r="V32" i="19"/>
  <c r="W32" i="19" s="1"/>
  <c r="V31" i="19"/>
  <c r="W31" i="19" s="1"/>
  <c r="V30" i="19"/>
  <c r="W30" i="19" s="1"/>
  <c r="V29" i="19"/>
  <c r="W29" i="19" s="1"/>
  <c r="V28" i="19"/>
  <c r="W28" i="19" s="1"/>
  <c r="V27" i="19"/>
  <c r="W27" i="19" s="1"/>
  <c r="V26" i="19"/>
  <c r="W26" i="19" s="1"/>
  <c r="V25" i="19"/>
  <c r="W25" i="19" s="1"/>
  <c r="V24" i="19"/>
  <c r="W24" i="19" s="1"/>
  <c r="V23" i="19"/>
  <c r="W23" i="19" s="1"/>
  <c r="V22" i="19"/>
  <c r="W22" i="19" s="1"/>
  <c r="V21" i="19"/>
  <c r="W21" i="19" s="1"/>
  <c r="V20" i="19"/>
  <c r="W20" i="19" s="1"/>
  <c r="V19" i="19"/>
  <c r="W19" i="19" s="1"/>
  <c r="V18" i="19"/>
  <c r="W18" i="19" s="1"/>
  <c r="V17" i="19"/>
  <c r="W17" i="19" s="1"/>
  <c r="V16" i="19"/>
  <c r="W16" i="19" s="1"/>
  <c r="V15" i="19"/>
  <c r="W15" i="19" s="1"/>
  <c r="V14" i="19"/>
  <c r="W14" i="19" s="1"/>
  <c r="V13" i="19"/>
  <c r="W13" i="19" s="1"/>
  <c r="V12" i="19"/>
  <c r="W12" i="19" s="1"/>
  <c r="V11" i="19"/>
  <c r="W11" i="19" s="1"/>
  <c r="V10" i="19"/>
  <c r="W10" i="19" s="1"/>
  <c r="V9" i="19"/>
  <c r="W9" i="19" s="1"/>
  <c r="V8" i="19"/>
  <c r="W8" i="19" s="1"/>
  <c r="V7" i="19" l="1"/>
  <c r="V54" i="19" l="1"/>
  <c r="R84" i="4" s="1"/>
  <c r="R85" i="4" s="1"/>
  <c r="W7" i="19"/>
  <c r="W55" i="19" s="1"/>
  <c r="R7" i="18" l="1"/>
  <c r="R54" i="18" s="1"/>
  <c r="Q54" i="18"/>
  <c r="P54" i="18"/>
  <c r="O54" i="18"/>
  <c r="S37" i="18" l="1"/>
  <c r="T37" i="18" s="1"/>
  <c r="T56" i="18" l="1"/>
  <c r="N54" i="18"/>
  <c r="M54" i="18"/>
  <c r="L54" i="18"/>
  <c r="K54" i="18"/>
  <c r="J54" i="18"/>
  <c r="I54" i="18"/>
  <c r="H54" i="18"/>
  <c r="G54" i="18"/>
  <c r="F54" i="18"/>
  <c r="S52" i="18"/>
  <c r="T52" i="18" s="1"/>
  <c r="S51" i="18"/>
  <c r="T51" i="18" s="1"/>
  <c r="S50" i="18"/>
  <c r="T50" i="18" s="1"/>
  <c r="S49" i="18"/>
  <c r="T49" i="18" s="1"/>
  <c r="S48" i="18"/>
  <c r="T48" i="18" s="1"/>
  <c r="S47" i="18"/>
  <c r="T47" i="18" s="1"/>
  <c r="S46" i="18"/>
  <c r="T46" i="18" s="1"/>
  <c r="S45" i="18"/>
  <c r="T45" i="18" s="1"/>
  <c r="S44" i="18"/>
  <c r="T44" i="18" s="1"/>
  <c r="S43" i="18"/>
  <c r="T43" i="18" s="1"/>
  <c r="S42" i="18"/>
  <c r="T42" i="18" s="1"/>
  <c r="S41" i="18"/>
  <c r="T41" i="18" s="1"/>
  <c r="S40" i="18"/>
  <c r="T40" i="18" s="1"/>
  <c r="S39" i="18"/>
  <c r="T39" i="18" s="1"/>
  <c r="S38" i="18"/>
  <c r="T38" i="18" s="1"/>
  <c r="S36" i="18"/>
  <c r="T36" i="18" s="1"/>
  <c r="S35" i="18"/>
  <c r="T35" i="18" s="1"/>
  <c r="S34" i="18"/>
  <c r="T34" i="18" s="1"/>
  <c r="S33" i="18"/>
  <c r="T33" i="18" s="1"/>
  <c r="S32" i="18"/>
  <c r="T32" i="18" s="1"/>
  <c r="S31" i="18"/>
  <c r="T31" i="18" s="1"/>
  <c r="S30" i="18"/>
  <c r="T30" i="18" s="1"/>
  <c r="S29" i="18"/>
  <c r="T29" i="18" s="1"/>
  <c r="S28" i="18"/>
  <c r="T28" i="18" s="1"/>
  <c r="S27" i="18"/>
  <c r="T27" i="18" s="1"/>
  <c r="S26" i="18"/>
  <c r="T26" i="18" s="1"/>
  <c r="S25" i="18"/>
  <c r="T25" i="18" s="1"/>
  <c r="S24" i="18"/>
  <c r="T24" i="18" s="1"/>
  <c r="S23" i="18"/>
  <c r="T23" i="18" s="1"/>
  <c r="S22" i="18"/>
  <c r="T22" i="18" s="1"/>
  <c r="S21" i="18"/>
  <c r="T21" i="18" s="1"/>
  <c r="S20" i="18"/>
  <c r="T20" i="18" s="1"/>
  <c r="S19" i="18"/>
  <c r="T19" i="18" s="1"/>
  <c r="S18" i="18"/>
  <c r="T18" i="18" s="1"/>
  <c r="S17" i="18"/>
  <c r="T17" i="18" s="1"/>
  <c r="S16" i="18"/>
  <c r="T16" i="18" s="1"/>
  <c r="S15" i="18"/>
  <c r="T15" i="18" s="1"/>
  <c r="S14" i="18"/>
  <c r="T14" i="18" s="1"/>
  <c r="S13" i="18"/>
  <c r="T13" i="18" s="1"/>
  <c r="S12" i="18"/>
  <c r="T12" i="18" s="1"/>
  <c r="S11" i="18"/>
  <c r="T11" i="18" s="1"/>
  <c r="S10" i="18"/>
  <c r="T10" i="18" s="1"/>
  <c r="S9" i="18"/>
  <c r="T9" i="18" s="1"/>
  <c r="S8" i="18"/>
  <c r="T8" i="18" s="1"/>
  <c r="S7" i="18"/>
  <c r="T7" i="18" s="1"/>
  <c r="AB56" i="17"/>
  <c r="AB59" i="17" s="1"/>
  <c r="T55" i="18" l="1"/>
  <c r="S54" i="18"/>
  <c r="S84" i="4" s="1"/>
  <c r="S85" i="4" s="1"/>
  <c r="AA59" i="17"/>
  <c r="Z59" i="17"/>
  <c r="R59" i="17"/>
  <c r="Y59" i="17" l="1"/>
  <c r="X3" i="17"/>
  <c r="X59" i="17"/>
  <c r="AC40" i="17" l="1"/>
  <c r="AD40" i="17" s="1"/>
  <c r="W59" i="17" l="1"/>
  <c r="T3" i="17" l="1"/>
  <c r="Q3" i="17" l="1"/>
  <c r="AC20" i="17"/>
  <c r="AD20" i="17" s="1"/>
  <c r="L59" i="17" l="1"/>
  <c r="AC57" i="17" l="1"/>
  <c r="AD57" i="17" s="1"/>
  <c r="AC56" i="17"/>
  <c r="AD56" i="17" s="1"/>
  <c r="AC55" i="17"/>
  <c r="AD55" i="17" s="1"/>
  <c r="AC54" i="17"/>
  <c r="AD54" i="17" s="1"/>
  <c r="AC53" i="17"/>
  <c r="AD53" i="17" s="1"/>
  <c r="AC52" i="17"/>
  <c r="AD52" i="17" s="1"/>
  <c r="AC51" i="17"/>
  <c r="AD51" i="17" s="1"/>
  <c r="AC50" i="17"/>
  <c r="AD50" i="17" s="1"/>
  <c r="AC49" i="17"/>
  <c r="AD49" i="17" s="1"/>
  <c r="AD61" i="17" l="1"/>
  <c r="AC35" i="17"/>
  <c r="AD35" i="17" s="1"/>
  <c r="AC45" i="17"/>
  <c r="AD45" i="17" s="1"/>
  <c r="AC46" i="17" l="1"/>
  <c r="AD46" i="17" s="1"/>
  <c r="V59" i="17" l="1"/>
  <c r="U59" i="17"/>
  <c r="T59" i="17"/>
  <c r="S59" i="17"/>
  <c r="Q59" i="17"/>
  <c r="P59" i="17"/>
  <c r="O59" i="17"/>
  <c r="N59" i="17"/>
  <c r="M59" i="17"/>
  <c r="K59" i="17"/>
  <c r="J59" i="17"/>
  <c r="I59" i="17"/>
  <c r="H59" i="17"/>
  <c r="G59" i="17"/>
  <c r="F59" i="17"/>
  <c r="AC48" i="17"/>
  <c r="AD48" i="17" s="1"/>
  <c r="AC47" i="17"/>
  <c r="AD47" i="17" s="1"/>
  <c r="AC44" i="17"/>
  <c r="AD44" i="17" s="1"/>
  <c r="AC43" i="17"/>
  <c r="AD43" i="17" s="1"/>
  <c r="AC42" i="17"/>
  <c r="AD42" i="17" s="1"/>
  <c r="AC41" i="17"/>
  <c r="AD41" i="17" s="1"/>
  <c r="AC39" i="17"/>
  <c r="AD39" i="17" s="1"/>
  <c r="AC38" i="17"/>
  <c r="AD38" i="17" s="1"/>
  <c r="AC37" i="17"/>
  <c r="AD37" i="17" s="1"/>
  <c r="AC36" i="17"/>
  <c r="AD36" i="17" s="1"/>
  <c r="AC34" i="17"/>
  <c r="AD34" i="17" s="1"/>
  <c r="AC33" i="17"/>
  <c r="AD33" i="17" s="1"/>
  <c r="AC32" i="17"/>
  <c r="AD32" i="17" s="1"/>
  <c r="AC31" i="17"/>
  <c r="AD31" i="17" s="1"/>
  <c r="AC30" i="17"/>
  <c r="AD30" i="17" s="1"/>
  <c r="AC29" i="17"/>
  <c r="AD29" i="17" s="1"/>
  <c r="AC28" i="17"/>
  <c r="AD28" i="17" s="1"/>
  <c r="AC27" i="17"/>
  <c r="AD27" i="17" s="1"/>
  <c r="AC26" i="17"/>
  <c r="AD26" i="17" s="1"/>
  <c r="AC25" i="17"/>
  <c r="AD25" i="17" s="1"/>
  <c r="AC24" i="17"/>
  <c r="AD24" i="17" s="1"/>
  <c r="AC23" i="17"/>
  <c r="AD23" i="17" s="1"/>
  <c r="AC22" i="17"/>
  <c r="AD22" i="17" s="1"/>
  <c r="AC21" i="17"/>
  <c r="AD21" i="17" s="1"/>
  <c r="AC19" i="17"/>
  <c r="AD19" i="17" s="1"/>
  <c r="AC18" i="17"/>
  <c r="AD18" i="17" s="1"/>
  <c r="AC17" i="17"/>
  <c r="AD17" i="17" s="1"/>
  <c r="AC16" i="17"/>
  <c r="AD16" i="17" s="1"/>
  <c r="AC15" i="17"/>
  <c r="AD15" i="17" s="1"/>
  <c r="AC14" i="17"/>
  <c r="AD14" i="17" s="1"/>
  <c r="AC13" i="17"/>
  <c r="AD13" i="17" s="1"/>
  <c r="AC12" i="17"/>
  <c r="AD12" i="17" s="1"/>
  <c r="AC11" i="17"/>
  <c r="AD11" i="17" s="1"/>
  <c r="AC10" i="17"/>
  <c r="AD10" i="17" s="1"/>
  <c r="AC9" i="17"/>
  <c r="AD9" i="17" s="1"/>
  <c r="AC8" i="17"/>
  <c r="AD8" i="17" s="1"/>
  <c r="AC7" i="17"/>
  <c r="AD7" i="17" s="1"/>
  <c r="T45" i="16"/>
  <c r="S45" i="16"/>
  <c r="U45" i="16"/>
  <c r="AD60" i="17" l="1"/>
  <c r="AC59" i="17"/>
  <c r="T84" i="4" s="1"/>
  <c r="T85" i="4" s="1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V43" i="16"/>
  <c r="W43" i="16" s="1"/>
  <c r="V42" i="16"/>
  <c r="W42" i="16" s="1"/>
  <c r="V41" i="16"/>
  <c r="W41" i="16" s="1"/>
  <c r="V40" i="16"/>
  <c r="W40" i="16" s="1"/>
  <c r="V39" i="16"/>
  <c r="W39" i="16" s="1"/>
  <c r="V38" i="16"/>
  <c r="W38" i="16" s="1"/>
  <c r="V37" i="16"/>
  <c r="W37" i="16" s="1"/>
  <c r="V36" i="16"/>
  <c r="W36" i="16" s="1"/>
  <c r="V35" i="16"/>
  <c r="W35" i="16" s="1"/>
  <c r="V34" i="16"/>
  <c r="W34" i="16" s="1"/>
  <c r="V33" i="16"/>
  <c r="W33" i="16" s="1"/>
  <c r="V32" i="16"/>
  <c r="W32" i="16" s="1"/>
  <c r="V31" i="16"/>
  <c r="W31" i="16" s="1"/>
  <c r="V30" i="16"/>
  <c r="W30" i="16" s="1"/>
  <c r="V29" i="16"/>
  <c r="W29" i="16" s="1"/>
  <c r="V28" i="16"/>
  <c r="W28" i="16" s="1"/>
  <c r="V27" i="16"/>
  <c r="W27" i="16" s="1"/>
  <c r="V26" i="16"/>
  <c r="W26" i="16" s="1"/>
  <c r="V25" i="16"/>
  <c r="W25" i="16" s="1"/>
  <c r="V24" i="16"/>
  <c r="W24" i="16" s="1"/>
  <c r="V23" i="16"/>
  <c r="W23" i="16" s="1"/>
  <c r="V22" i="16"/>
  <c r="W22" i="16" s="1"/>
  <c r="V21" i="16"/>
  <c r="W21" i="16" s="1"/>
  <c r="V20" i="16"/>
  <c r="W20" i="16" s="1"/>
  <c r="V19" i="16"/>
  <c r="W19" i="16" s="1"/>
  <c r="V18" i="16"/>
  <c r="W18" i="16" s="1"/>
  <c r="V17" i="16"/>
  <c r="W17" i="16" s="1"/>
  <c r="V16" i="16"/>
  <c r="W16" i="16" s="1"/>
  <c r="V15" i="16"/>
  <c r="W15" i="16" s="1"/>
  <c r="V14" i="16"/>
  <c r="W14" i="16" s="1"/>
  <c r="V13" i="16"/>
  <c r="W13" i="16" s="1"/>
  <c r="V12" i="16"/>
  <c r="W12" i="16" s="1"/>
  <c r="V11" i="16"/>
  <c r="W11" i="16" s="1"/>
  <c r="V10" i="16"/>
  <c r="W10" i="16" s="1"/>
  <c r="V9" i="16"/>
  <c r="W9" i="16" s="1"/>
  <c r="V8" i="16"/>
  <c r="W8" i="16" s="1"/>
  <c r="V7" i="16"/>
  <c r="W7" i="16" s="1"/>
  <c r="T37" i="15"/>
  <c r="T36" i="15"/>
  <c r="T35" i="15"/>
  <c r="T34" i="15"/>
  <c r="T33" i="15"/>
  <c r="T32" i="15"/>
  <c r="T31" i="15"/>
  <c r="T30" i="15"/>
  <c r="U30" i="15" s="1"/>
  <c r="Q30" i="15"/>
  <c r="R30" i="15" s="1"/>
  <c r="Q39" i="15"/>
  <c r="R39" i="15" s="1"/>
  <c r="W46" i="16" l="1"/>
  <c r="V45" i="16"/>
  <c r="U84" i="4" s="1"/>
  <c r="U85" i="4" s="1"/>
  <c r="U37" i="15"/>
  <c r="U36" i="15"/>
  <c r="U35" i="15"/>
  <c r="U34" i="15"/>
  <c r="U33" i="15"/>
  <c r="U32" i="15"/>
  <c r="U31" i="15"/>
  <c r="T29" i="15"/>
  <c r="U29" i="15" s="1"/>
  <c r="T28" i="15"/>
  <c r="U28" i="15" s="1"/>
  <c r="T27" i="15"/>
  <c r="U27" i="15" s="1"/>
  <c r="Q37" i="15"/>
  <c r="R37" i="15" s="1"/>
  <c r="Q28" i="15"/>
  <c r="R28" i="15" s="1"/>
  <c r="Q27" i="15"/>
  <c r="R27" i="15" s="1"/>
  <c r="T26" i="15"/>
  <c r="U26" i="15" s="1"/>
  <c r="T25" i="15"/>
  <c r="U25" i="15" s="1"/>
  <c r="T24" i="15"/>
  <c r="U24" i="15" s="1"/>
  <c r="T23" i="15"/>
  <c r="U23" i="15" s="1"/>
  <c r="T22" i="15"/>
  <c r="U22" i="15" s="1"/>
  <c r="T21" i="15"/>
  <c r="U21" i="15" s="1"/>
  <c r="T20" i="15"/>
  <c r="U20" i="15" s="1"/>
  <c r="T19" i="15"/>
  <c r="U19" i="15" s="1"/>
  <c r="T18" i="15"/>
  <c r="U18" i="15" s="1"/>
  <c r="T17" i="15"/>
  <c r="U17" i="15" s="1"/>
  <c r="T16" i="15"/>
  <c r="U16" i="15" s="1"/>
  <c r="T15" i="15"/>
  <c r="U15" i="15" s="1"/>
  <c r="T14" i="15"/>
  <c r="U14" i="15" s="1"/>
  <c r="T13" i="15"/>
  <c r="U13" i="15" s="1"/>
  <c r="T12" i="15"/>
  <c r="U12" i="15" s="1"/>
  <c r="T11" i="15"/>
  <c r="U11" i="15" s="1"/>
  <c r="T10" i="15"/>
  <c r="U10" i="15" s="1"/>
  <c r="T9" i="15"/>
  <c r="U9" i="15" s="1"/>
  <c r="T8" i="15"/>
  <c r="Q8" i="15"/>
  <c r="R8" i="15" s="1"/>
  <c r="P48" i="15"/>
  <c r="O48" i="15"/>
  <c r="N48" i="15"/>
  <c r="M48" i="15"/>
  <c r="L48" i="15"/>
  <c r="K48" i="15"/>
  <c r="J48" i="15"/>
  <c r="I48" i="15"/>
  <c r="H48" i="15"/>
  <c r="G48" i="15"/>
  <c r="F48" i="15"/>
  <c r="Q46" i="15"/>
  <c r="R46" i="15" s="1"/>
  <c r="Q45" i="15"/>
  <c r="R45" i="15" s="1"/>
  <c r="Q44" i="15"/>
  <c r="R44" i="15" s="1"/>
  <c r="Q43" i="15"/>
  <c r="R43" i="15" s="1"/>
  <c r="Q42" i="15"/>
  <c r="R42" i="15" s="1"/>
  <c r="Q41" i="15"/>
  <c r="R41" i="15" s="1"/>
  <c r="Q40" i="15"/>
  <c r="R40" i="15" s="1"/>
  <c r="Q38" i="15"/>
  <c r="R38" i="15" s="1"/>
  <c r="Q36" i="15"/>
  <c r="R36" i="15" s="1"/>
  <c r="Q35" i="15"/>
  <c r="R35" i="15" s="1"/>
  <c r="Q34" i="15"/>
  <c r="R34" i="15" s="1"/>
  <c r="Q33" i="15"/>
  <c r="R33" i="15" s="1"/>
  <c r="Q32" i="15"/>
  <c r="R32" i="15" s="1"/>
  <c r="Q31" i="15"/>
  <c r="R31" i="15" s="1"/>
  <c r="Q29" i="15"/>
  <c r="R29" i="15" s="1"/>
  <c r="Q26" i="15"/>
  <c r="R26" i="15" s="1"/>
  <c r="Q25" i="15"/>
  <c r="R25" i="15" s="1"/>
  <c r="Q24" i="15"/>
  <c r="R24" i="15" s="1"/>
  <c r="Q23" i="15"/>
  <c r="R23" i="15" s="1"/>
  <c r="Q22" i="15"/>
  <c r="R22" i="15" s="1"/>
  <c r="Q21" i="15"/>
  <c r="R21" i="15" s="1"/>
  <c r="Q20" i="15"/>
  <c r="R20" i="15" s="1"/>
  <c r="Q19" i="15"/>
  <c r="R19" i="15" s="1"/>
  <c r="Q18" i="15"/>
  <c r="R18" i="15" s="1"/>
  <c r="Q17" i="15"/>
  <c r="R17" i="15" s="1"/>
  <c r="Q16" i="15"/>
  <c r="R16" i="15" s="1"/>
  <c r="Q15" i="15"/>
  <c r="R15" i="15" s="1"/>
  <c r="Q14" i="15"/>
  <c r="R14" i="15" s="1"/>
  <c r="Q13" i="15"/>
  <c r="R13" i="15" s="1"/>
  <c r="Q12" i="15"/>
  <c r="R12" i="15" s="1"/>
  <c r="Q11" i="15"/>
  <c r="R11" i="15" s="1"/>
  <c r="Q10" i="15"/>
  <c r="R10" i="15" s="1"/>
  <c r="Q9" i="15"/>
  <c r="R9" i="15" s="1"/>
  <c r="T7" i="15"/>
  <c r="U7" i="15" s="1"/>
  <c r="Q7" i="15"/>
  <c r="R7" i="15" s="1"/>
  <c r="P8" i="14"/>
  <c r="Q8" i="14" s="1"/>
  <c r="P32" i="14"/>
  <c r="Q32" i="14" s="1"/>
  <c r="P41" i="14"/>
  <c r="Q41" i="14" s="1"/>
  <c r="P40" i="14"/>
  <c r="Q40" i="14" s="1"/>
  <c r="P31" i="14"/>
  <c r="Q31" i="14" s="1"/>
  <c r="O48" i="14"/>
  <c r="N48" i="14"/>
  <c r="M48" i="14"/>
  <c r="L48" i="14"/>
  <c r="K48" i="14"/>
  <c r="J48" i="14"/>
  <c r="I48" i="14"/>
  <c r="H48" i="14"/>
  <c r="G48" i="14"/>
  <c r="F48" i="14"/>
  <c r="P46" i="14"/>
  <c r="Q46" i="14" s="1"/>
  <c r="P45" i="14"/>
  <c r="Q45" i="14" s="1"/>
  <c r="P44" i="14"/>
  <c r="Q44" i="14" s="1"/>
  <c r="P43" i="14"/>
  <c r="Q43" i="14" s="1"/>
  <c r="P42" i="14"/>
  <c r="Q42" i="14" s="1"/>
  <c r="P39" i="14"/>
  <c r="Q39" i="14" s="1"/>
  <c r="P38" i="14"/>
  <c r="Q38" i="14" s="1"/>
  <c r="P37" i="14"/>
  <c r="Q37" i="14" s="1"/>
  <c r="P36" i="14"/>
  <c r="Q36" i="14" s="1"/>
  <c r="P35" i="14"/>
  <c r="Q35" i="14" s="1"/>
  <c r="P34" i="14"/>
  <c r="Q34" i="14" s="1"/>
  <c r="P33" i="14"/>
  <c r="Q33" i="14" s="1"/>
  <c r="P30" i="14"/>
  <c r="Q30" i="14" s="1"/>
  <c r="P29" i="14"/>
  <c r="Q29" i="14" s="1"/>
  <c r="P28" i="14"/>
  <c r="Q28" i="14" s="1"/>
  <c r="P27" i="14"/>
  <c r="Q27" i="14" s="1"/>
  <c r="P26" i="14"/>
  <c r="Q26" i="14" s="1"/>
  <c r="P25" i="14"/>
  <c r="Q25" i="14" s="1"/>
  <c r="P24" i="14"/>
  <c r="Q24" i="14" s="1"/>
  <c r="P23" i="14"/>
  <c r="Q23" i="14" s="1"/>
  <c r="P22" i="14"/>
  <c r="Q22" i="14" s="1"/>
  <c r="P21" i="14"/>
  <c r="Q21" i="14" s="1"/>
  <c r="P20" i="14"/>
  <c r="Q20" i="14" s="1"/>
  <c r="P19" i="14"/>
  <c r="Q19" i="14" s="1"/>
  <c r="P18" i="14"/>
  <c r="Q18" i="14" s="1"/>
  <c r="P17" i="14"/>
  <c r="Q17" i="14" s="1"/>
  <c r="P16" i="14"/>
  <c r="Q16" i="14" s="1"/>
  <c r="P15" i="14"/>
  <c r="Q15" i="14" s="1"/>
  <c r="P14" i="14"/>
  <c r="Q14" i="14" s="1"/>
  <c r="P13" i="14"/>
  <c r="Q13" i="14" s="1"/>
  <c r="P12" i="14"/>
  <c r="Q12" i="14" s="1"/>
  <c r="P11" i="14"/>
  <c r="Q11" i="14" s="1"/>
  <c r="P10" i="14"/>
  <c r="Q10" i="14" s="1"/>
  <c r="P9" i="14"/>
  <c r="P7" i="14"/>
  <c r="Q7" i="14" s="1"/>
  <c r="P36" i="13"/>
  <c r="Q36" i="13" s="1"/>
  <c r="P35" i="13"/>
  <c r="Q35" i="13" s="1"/>
  <c r="P34" i="13"/>
  <c r="Q34" i="13" s="1"/>
  <c r="P33" i="13"/>
  <c r="Q33" i="13" s="1"/>
  <c r="P32" i="13"/>
  <c r="P31" i="13"/>
  <c r="Q31" i="13" s="1"/>
  <c r="P30" i="13"/>
  <c r="Q30" i="13" s="1"/>
  <c r="P29" i="13"/>
  <c r="Q29" i="13" s="1"/>
  <c r="P28" i="13"/>
  <c r="Q28" i="13" s="1"/>
  <c r="P27" i="13"/>
  <c r="Q27" i="13" s="1"/>
  <c r="P26" i="13"/>
  <c r="P25" i="13"/>
  <c r="P24" i="13"/>
  <c r="Q24" i="13" s="1"/>
  <c r="P23" i="13"/>
  <c r="Q23" i="13" s="1"/>
  <c r="P22" i="13"/>
  <c r="Q22" i="13" s="1"/>
  <c r="P21" i="13"/>
  <c r="Q21" i="13" s="1"/>
  <c r="P20" i="13"/>
  <c r="Q20" i="13" s="1"/>
  <c r="P19" i="13"/>
  <c r="Q19" i="13" s="1"/>
  <c r="P18" i="13"/>
  <c r="Q18" i="13" s="1"/>
  <c r="P17" i="13"/>
  <c r="Q17" i="13" s="1"/>
  <c r="P16" i="13"/>
  <c r="Q16" i="13" s="1"/>
  <c r="P15" i="13"/>
  <c r="Q15" i="13" s="1"/>
  <c r="P14" i="13"/>
  <c r="Q14" i="13" s="1"/>
  <c r="P13" i="13"/>
  <c r="Q13" i="13" s="1"/>
  <c r="P12" i="13"/>
  <c r="Q12" i="13" s="1"/>
  <c r="P11" i="13"/>
  <c r="Q11" i="13" s="1"/>
  <c r="P10" i="13"/>
  <c r="Q10" i="13" s="1"/>
  <c r="P9" i="13"/>
  <c r="Q9" i="13" s="1"/>
  <c r="P8" i="13"/>
  <c r="Q8" i="13" s="1"/>
  <c r="P7" i="13"/>
  <c r="Q7" i="13" s="1"/>
  <c r="O38" i="13"/>
  <c r="N38" i="13"/>
  <c r="M38" i="13"/>
  <c r="L38" i="13"/>
  <c r="K38" i="13"/>
  <c r="J38" i="13"/>
  <c r="I38" i="13"/>
  <c r="H38" i="13"/>
  <c r="G38" i="13"/>
  <c r="F38" i="13"/>
  <c r="T7" i="12"/>
  <c r="S8" i="12"/>
  <c r="T8" i="12" s="1"/>
  <c r="S9" i="12"/>
  <c r="T9" i="12" s="1"/>
  <c r="S10" i="12"/>
  <c r="T10" i="12" s="1"/>
  <c r="S11" i="12"/>
  <c r="T11" i="12" s="1"/>
  <c r="S12" i="12"/>
  <c r="T12" i="12" s="1"/>
  <c r="S13" i="12"/>
  <c r="T13" i="12" s="1"/>
  <c r="S14" i="12"/>
  <c r="T14" i="12" s="1"/>
  <c r="S15" i="12"/>
  <c r="T15" i="12" s="1"/>
  <c r="S16" i="12"/>
  <c r="T16" i="12" s="1"/>
  <c r="S17" i="12"/>
  <c r="T17" i="12" s="1"/>
  <c r="S18" i="12"/>
  <c r="T18" i="12" s="1"/>
  <c r="S19" i="12"/>
  <c r="T19" i="12" s="1"/>
  <c r="S20" i="12"/>
  <c r="T20" i="12" s="1"/>
  <c r="S21" i="12"/>
  <c r="T21" i="12" s="1"/>
  <c r="S22" i="12"/>
  <c r="T22" i="12" s="1"/>
  <c r="S23" i="12"/>
  <c r="T23" i="12" s="1"/>
  <c r="S24" i="12"/>
  <c r="T24" i="12" s="1"/>
  <c r="S25" i="12"/>
  <c r="T25" i="12" s="1"/>
  <c r="S26" i="12"/>
  <c r="T26" i="12" s="1"/>
  <c r="S27" i="12"/>
  <c r="T27" i="12" s="1"/>
  <c r="S28" i="12"/>
  <c r="T28" i="12" s="1"/>
  <c r="S29" i="12"/>
  <c r="T29" i="12" s="1"/>
  <c r="S30" i="12"/>
  <c r="T30" i="12" s="1"/>
  <c r="S31" i="12"/>
  <c r="T31" i="12" s="1"/>
  <c r="S32" i="12"/>
  <c r="T32" i="12" s="1"/>
  <c r="S33" i="12"/>
  <c r="T33" i="12" s="1"/>
  <c r="S34" i="12"/>
  <c r="T34" i="12" s="1"/>
  <c r="S35" i="12"/>
  <c r="T35" i="12" s="1"/>
  <c r="S36" i="12"/>
  <c r="T36" i="12" s="1"/>
  <c r="S37" i="12"/>
  <c r="T37" i="12" s="1"/>
  <c r="Q38" i="12"/>
  <c r="G16" i="5"/>
  <c r="G17" i="5"/>
  <c r="G18" i="5"/>
  <c r="G19" i="5"/>
  <c r="G20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F36" i="5"/>
  <c r="AF84" i="4" s="1"/>
  <c r="AF85" i="4" s="1"/>
  <c r="H6" i="6"/>
  <c r="I6" i="6" s="1"/>
  <c r="H7" i="6"/>
  <c r="H8" i="6"/>
  <c r="I8" i="6" s="1"/>
  <c r="H10" i="6"/>
  <c r="I10" i="6" s="1"/>
  <c r="H11" i="6"/>
  <c r="I11" i="6" s="1"/>
  <c r="H12" i="6"/>
  <c r="I12" i="6" s="1"/>
  <c r="H13" i="6"/>
  <c r="I13" i="6" s="1"/>
  <c r="H14" i="6"/>
  <c r="I14" i="6" s="1"/>
  <c r="H16" i="6"/>
  <c r="I16" i="6" s="1"/>
  <c r="H17" i="6"/>
  <c r="I17" i="6" s="1"/>
  <c r="H18" i="6"/>
  <c r="I18" i="6" s="1"/>
  <c r="H19" i="6"/>
  <c r="I19" i="6" s="1"/>
  <c r="H20" i="6"/>
  <c r="I20" i="6" s="1"/>
  <c r="H21" i="6"/>
  <c r="I21" i="6" s="1"/>
  <c r="H22" i="6"/>
  <c r="I22" i="6" s="1"/>
  <c r="H23" i="6"/>
  <c r="I23" i="6" s="1"/>
  <c r="H24" i="6"/>
  <c r="I24" i="6" s="1"/>
  <c r="H25" i="6"/>
  <c r="I25" i="6" s="1"/>
  <c r="H26" i="6"/>
  <c r="I26" i="6" s="1"/>
  <c r="H27" i="6"/>
  <c r="I27" i="6" s="1"/>
  <c r="H28" i="6"/>
  <c r="I28" i="6" s="1"/>
  <c r="H29" i="6"/>
  <c r="I29" i="6" s="1"/>
  <c r="H30" i="6"/>
  <c r="I30" i="6" s="1"/>
  <c r="H31" i="6"/>
  <c r="I31" i="6" s="1"/>
  <c r="H32" i="6"/>
  <c r="I32" i="6" s="1"/>
  <c r="H33" i="6"/>
  <c r="I33" i="6" s="1"/>
  <c r="H34" i="6"/>
  <c r="I34" i="6" s="1"/>
  <c r="H35" i="6"/>
  <c r="I35" i="6" s="1"/>
  <c r="H9" i="6"/>
  <c r="H15" i="6"/>
  <c r="G36" i="6"/>
  <c r="F36" i="6"/>
  <c r="K36" i="7"/>
  <c r="J36" i="7"/>
  <c r="I36" i="7"/>
  <c r="H36" i="7"/>
  <c r="F36" i="7"/>
  <c r="G36" i="7"/>
  <c r="L6" i="7"/>
  <c r="M6" i="7" s="1"/>
  <c r="L7" i="7"/>
  <c r="M7" i="7" s="1"/>
  <c r="L8" i="7"/>
  <c r="M8" i="7" s="1"/>
  <c r="L9" i="7"/>
  <c r="L10" i="7"/>
  <c r="M10" i="7" s="1"/>
  <c r="L11" i="7"/>
  <c r="M11" i="7" s="1"/>
  <c r="L12" i="7"/>
  <c r="M12" i="7" s="1"/>
  <c r="L13" i="7"/>
  <c r="M13" i="7" s="1"/>
  <c r="L14" i="7"/>
  <c r="M14" i="7" s="1"/>
  <c r="L15" i="7"/>
  <c r="L16" i="7"/>
  <c r="L17" i="7"/>
  <c r="M17" i="7" s="1"/>
  <c r="L18" i="7"/>
  <c r="M18" i="7" s="1"/>
  <c r="L19" i="7"/>
  <c r="M19" i="7" s="1"/>
  <c r="L20" i="7"/>
  <c r="M20" i="7" s="1"/>
  <c r="L21" i="7"/>
  <c r="M21" i="7" s="1"/>
  <c r="L22" i="7"/>
  <c r="M22" i="7" s="1"/>
  <c r="L23" i="7"/>
  <c r="M23" i="7" s="1"/>
  <c r="L24" i="7"/>
  <c r="M24" i="7" s="1"/>
  <c r="L25" i="7"/>
  <c r="M25" i="7" s="1"/>
  <c r="L26" i="7"/>
  <c r="M26" i="7" s="1"/>
  <c r="L27" i="7"/>
  <c r="M27" i="7" s="1"/>
  <c r="L28" i="7"/>
  <c r="M28" i="7" s="1"/>
  <c r="L29" i="7"/>
  <c r="M29" i="7" s="1"/>
  <c r="L30" i="7"/>
  <c r="M30" i="7" s="1"/>
  <c r="L31" i="7"/>
  <c r="M31" i="7" s="1"/>
  <c r="L32" i="7"/>
  <c r="M32" i="7" s="1"/>
  <c r="L33" i="7"/>
  <c r="M33" i="7" s="1"/>
  <c r="L34" i="7"/>
  <c r="M34" i="7" s="1"/>
  <c r="L35" i="7"/>
  <c r="M35" i="7" s="1"/>
  <c r="J35" i="8"/>
  <c r="I35" i="8"/>
  <c r="H35" i="8"/>
  <c r="G35" i="8"/>
  <c r="F35" i="8"/>
  <c r="K6" i="8"/>
  <c r="K7" i="8"/>
  <c r="L7" i="8" s="1"/>
  <c r="K8" i="8"/>
  <c r="L8" i="8" s="1"/>
  <c r="K9" i="8"/>
  <c r="L9" i="8" s="1"/>
  <c r="K10" i="8"/>
  <c r="L10" i="8" s="1"/>
  <c r="K11" i="8"/>
  <c r="L11" i="8" s="1"/>
  <c r="K12" i="8"/>
  <c r="L12" i="8" s="1"/>
  <c r="K13" i="8"/>
  <c r="L13" i="8" s="1"/>
  <c r="K14" i="8"/>
  <c r="L14" i="8" s="1"/>
  <c r="K15" i="8"/>
  <c r="L15" i="8" s="1"/>
  <c r="K16" i="8"/>
  <c r="L16" i="8" s="1"/>
  <c r="K17" i="8"/>
  <c r="L17" i="8" s="1"/>
  <c r="K18" i="8"/>
  <c r="L18" i="8" s="1"/>
  <c r="K19" i="8"/>
  <c r="L19" i="8" s="1"/>
  <c r="K20" i="8"/>
  <c r="L20" i="8" s="1"/>
  <c r="K21" i="8"/>
  <c r="K22" i="8"/>
  <c r="L22" i="8" s="1"/>
  <c r="K23" i="8"/>
  <c r="L23" i="8" s="1"/>
  <c r="K24" i="8"/>
  <c r="L24" i="8" s="1"/>
  <c r="K25" i="8"/>
  <c r="L25" i="8" s="1"/>
  <c r="K26" i="8"/>
  <c r="L26" i="8" s="1"/>
  <c r="K27" i="8"/>
  <c r="L27" i="8" s="1"/>
  <c r="K28" i="8"/>
  <c r="L28" i="8" s="1"/>
  <c r="K29" i="8"/>
  <c r="L29" i="8" s="1"/>
  <c r="K30" i="8"/>
  <c r="L30" i="8" s="1"/>
  <c r="K31" i="8"/>
  <c r="L31" i="8" s="1"/>
  <c r="K32" i="8"/>
  <c r="L32" i="8" s="1"/>
  <c r="K33" i="8"/>
  <c r="L33" i="8" s="1"/>
  <c r="K34" i="8"/>
  <c r="L34" i="8" s="1"/>
  <c r="L35" i="9"/>
  <c r="K35" i="9"/>
  <c r="J35" i="9"/>
  <c r="I35" i="9"/>
  <c r="H35" i="9"/>
  <c r="G35" i="9"/>
  <c r="F35" i="9"/>
  <c r="M6" i="9"/>
  <c r="M7" i="9"/>
  <c r="N7" i="9" s="1"/>
  <c r="M8" i="9"/>
  <c r="N8" i="9" s="1"/>
  <c r="M9" i="9"/>
  <c r="N9" i="9" s="1"/>
  <c r="M10" i="9"/>
  <c r="N10" i="9" s="1"/>
  <c r="M11" i="9"/>
  <c r="N11" i="9" s="1"/>
  <c r="M12" i="9"/>
  <c r="N12" i="9" s="1"/>
  <c r="M13" i="9"/>
  <c r="N13" i="9" s="1"/>
  <c r="M14" i="9"/>
  <c r="N14" i="9" s="1"/>
  <c r="M15" i="9"/>
  <c r="N15" i="9" s="1"/>
  <c r="M16" i="9"/>
  <c r="N16" i="9" s="1"/>
  <c r="M17" i="9"/>
  <c r="N17" i="9" s="1"/>
  <c r="M18" i="9"/>
  <c r="N18" i="9" s="1"/>
  <c r="M19" i="9"/>
  <c r="N19" i="9" s="1"/>
  <c r="M20" i="9"/>
  <c r="N20" i="9" s="1"/>
  <c r="M21" i="9"/>
  <c r="N21" i="9" s="1"/>
  <c r="M22" i="9"/>
  <c r="N22" i="9" s="1"/>
  <c r="M23" i="9"/>
  <c r="N23" i="9" s="1"/>
  <c r="M24" i="9"/>
  <c r="N24" i="9" s="1"/>
  <c r="M25" i="9"/>
  <c r="N25" i="9" s="1"/>
  <c r="M26" i="9"/>
  <c r="N26" i="9" s="1"/>
  <c r="M27" i="9"/>
  <c r="N27" i="9" s="1"/>
  <c r="M28" i="9"/>
  <c r="N28" i="9" s="1"/>
  <c r="M29" i="9"/>
  <c r="N29" i="9" s="1"/>
  <c r="M30" i="9"/>
  <c r="N30" i="9" s="1"/>
  <c r="M31" i="9"/>
  <c r="N31" i="9" s="1"/>
  <c r="M32" i="9"/>
  <c r="N32" i="9" s="1"/>
  <c r="M33" i="9"/>
  <c r="N33" i="9" s="1"/>
  <c r="M34" i="9"/>
  <c r="N34" i="9" s="1"/>
  <c r="S6" i="10"/>
  <c r="T6" i="10" s="1"/>
  <c r="S7" i="10"/>
  <c r="T7" i="10" s="1"/>
  <c r="S8" i="10"/>
  <c r="T8" i="10" s="1"/>
  <c r="S9" i="10"/>
  <c r="T9" i="10" s="1"/>
  <c r="S10" i="10"/>
  <c r="T10" i="10" s="1"/>
  <c r="S11" i="10"/>
  <c r="T11" i="10" s="1"/>
  <c r="S12" i="10"/>
  <c r="T12" i="10" s="1"/>
  <c r="S13" i="10"/>
  <c r="T13" i="10" s="1"/>
  <c r="S14" i="10"/>
  <c r="T14" i="10" s="1"/>
  <c r="S15" i="10"/>
  <c r="T15" i="10" s="1"/>
  <c r="S16" i="10"/>
  <c r="T16" i="10" s="1"/>
  <c r="S17" i="10"/>
  <c r="T17" i="10" s="1"/>
  <c r="S18" i="10"/>
  <c r="T18" i="10" s="1"/>
  <c r="S19" i="10"/>
  <c r="T19" i="10" s="1"/>
  <c r="S20" i="10"/>
  <c r="T20" i="10" s="1"/>
  <c r="S21" i="10"/>
  <c r="T21" i="10" s="1"/>
  <c r="S22" i="10"/>
  <c r="T22" i="10" s="1"/>
  <c r="S23" i="10"/>
  <c r="T23" i="10" s="1"/>
  <c r="S24" i="10"/>
  <c r="T24" i="10" s="1"/>
  <c r="S25" i="10"/>
  <c r="T25" i="10" s="1"/>
  <c r="S26" i="10"/>
  <c r="T26" i="10" s="1"/>
  <c r="S27" i="10"/>
  <c r="T27" i="10" s="1"/>
  <c r="S28" i="10"/>
  <c r="T28" i="10" s="1"/>
  <c r="S29" i="10"/>
  <c r="T29" i="10" s="1"/>
  <c r="S30" i="10"/>
  <c r="T30" i="10" s="1"/>
  <c r="S31" i="10"/>
  <c r="T31" i="10" s="1"/>
  <c r="S32" i="10"/>
  <c r="T32" i="10" s="1"/>
  <c r="S33" i="10"/>
  <c r="T33" i="10" s="1"/>
  <c r="S34" i="10"/>
  <c r="T34" i="10" s="1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N7" i="11"/>
  <c r="O7" i="11" s="1"/>
  <c r="N8" i="11"/>
  <c r="O8" i="11" s="1"/>
  <c r="N9" i="11"/>
  <c r="O9" i="11" s="1"/>
  <c r="N10" i="11"/>
  <c r="O10" i="11" s="1"/>
  <c r="N11" i="11"/>
  <c r="O11" i="11" s="1"/>
  <c r="N12" i="11"/>
  <c r="O12" i="11" s="1"/>
  <c r="N13" i="11"/>
  <c r="O13" i="11" s="1"/>
  <c r="N14" i="11"/>
  <c r="O14" i="11" s="1"/>
  <c r="N15" i="11"/>
  <c r="O15" i="11" s="1"/>
  <c r="N16" i="11"/>
  <c r="O16" i="11" s="1"/>
  <c r="N17" i="11"/>
  <c r="O17" i="11" s="1"/>
  <c r="N18" i="11"/>
  <c r="O18" i="11" s="1"/>
  <c r="N19" i="11"/>
  <c r="O19" i="11" s="1"/>
  <c r="N20" i="11"/>
  <c r="O20" i="11" s="1"/>
  <c r="N21" i="11"/>
  <c r="O21" i="11" s="1"/>
  <c r="N22" i="11"/>
  <c r="O22" i="11" s="1"/>
  <c r="N23" i="11"/>
  <c r="O23" i="11" s="1"/>
  <c r="N24" i="11"/>
  <c r="O24" i="11" s="1"/>
  <c r="N25" i="11"/>
  <c r="O25" i="11" s="1"/>
  <c r="N26" i="11"/>
  <c r="O26" i="11" s="1"/>
  <c r="N27" i="11"/>
  <c r="O27" i="11" s="1"/>
  <c r="N28" i="11"/>
  <c r="O28" i="11" s="1"/>
  <c r="N29" i="11"/>
  <c r="O29" i="11" s="1"/>
  <c r="N30" i="11"/>
  <c r="O30" i="11" s="1"/>
  <c r="N31" i="11"/>
  <c r="O31" i="11" s="1"/>
  <c r="N32" i="11"/>
  <c r="O32" i="11" s="1"/>
  <c r="N33" i="11"/>
  <c r="O33" i="11" s="1"/>
  <c r="N34" i="11"/>
  <c r="O34" i="11" s="1"/>
  <c r="N35" i="11"/>
  <c r="O35" i="11" s="1"/>
  <c r="N36" i="11"/>
  <c r="O36" i="11" s="1"/>
  <c r="O37" i="11"/>
  <c r="N38" i="11"/>
  <c r="O38" i="11" s="1"/>
  <c r="G39" i="11"/>
  <c r="H39" i="11"/>
  <c r="I39" i="11"/>
  <c r="J39" i="11"/>
  <c r="K39" i="11"/>
  <c r="P38" i="12"/>
  <c r="O38" i="12"/>
  <c r="N38" i="12"/>
  <c r="M38" i="12"/>
  <c r="L38" i="12"/>
  <c r="K38" i="12"/>
  <c r="J38" i="12"/>
  <c r="I38" i="12"/>
  <c r="H38" i="12"/>
  <c r="G38" i="12"/>
  <c r="F38" i="12"/>
  <c r="N6" i="9" l="1"/>
  <c r="M35" i="9"/>
  <c r="AB84" i="4" s="1"/>
  <c r="AB85" i="4" s="1"/>
  <c r="I83" i="4"/>
  <c r="H36" i="6"/>
  <c r="AE84" i="4" s="1"/>
  <c r="AE85" i="4" s="1"/>
  <c r="G36" i="5"/>
  <c r="L36" i="7"/>
  <c r="AD84" i="4" s="1"/>
  <c r="AD85" i="4" s="1"/>
  <c r="K35" i="8"/>
  <c r="AC84" i="4" s="1"/>
  <c r="AC85" i="4" s="1"/>
  <c r="P48" i="14"/>
  <c r="W84" i="4" s="1"/>
  <c r="W85" i="4" s="1"/>
  <c r="S35" i="10"/>
  <c r="AA84" i="4" s="1"/>
  <c r="AA85" i="4" s="1"/>
  <c r="N39" i="11"/>
  <c r="Z84" i="4" s="1"/>
  <c r="Z85" i="4" s="1"/>
  <c r="T39" i="15"/>
  <c r="U39" i="15" s="1"/>
  <c r="T38" i="15"/>
  <c r="U38" i="15" s="1"/>
  <c r="T41" i="15"/>
  <c r="U41" i="15" s="1"/>
  <c r="T40" i="15"/>
  <c r="U40" i="15" s="1"/>
  <c r="T43" i="15"/>
  <c r="U43" i="15" s="1"/>
  <c r="T42" i="15"/>
  <c r="U42" i="15" s="1"/>
  <c r="T44" i="15"/>
  <c r="U44" i="15" s="1"/>
  <c r="T46" i="15"/>
  <c r="U46" i="15" s="1"/>
  <c r="T45" i="15"/>
  <c r="U45" i="15" s="1"/>
  <c r="T35" i="10"/>
  <c r="O39" i="11"/>
  <c r="M36" i="7"/>
  <c r="Q39" i="13"/>
  <c r="R49" i="15"/>
  <c r="T38" i="12"/>
  <c r="N35" i="9"/>
  <c r="P38" i="13"/>
  <c r="X84" i="4" s="1"/>
  <c r="X85" i="4" s="1"/>
  <c r="U8" i="15"/>
  <c r="S38" i="12"/>
  <c r="Y84" i="4" s="1"/>
  <c r="L6" i="8"/>
  <c r="L35" i="8" s="1"/>
  <c r="I7" i="6"/>
  <c r="I36" i="6" s="1"/>
  <c r="Q9" i="14"/>
  <c r="Q49" i="14" s="1"/>
  <c r="Q48" i="15"/>
  <c r="V84" i="4" s="1"/>
  <c r="V85" i="4" s="1"/>
  <c r="Y85" i="4" l="1"/>
  <c r="I84" i="4"/>
  <c r="I85" i="4" s="1"/>
  <c r="T48" i="15"/>
  <c r="U48" i="15"/>
</calcChain>
</file>

<file path=xl/sharedStrings.xml><?xml version="1.0" encoding="utf-8"?>
<sst xmlns="http://schemas.openxmlformats.org/spreadsheetml/2006/main" count="2972" uniqueCount="584">
  <si>
    <t>DESCRIPTION</t>
  </si>
  <si>
    <t>Sr.
No.</t>
  </si>
  <si>
    <t>CODE</t>
  </si>
  <si>
    <t>PACKING</t>
  </si>
  <si>
    <t xml:space="preserve">UNIT </t>
  </si>
  <si>
    <t>BOX</t>
  </si>
  <si>
    <t>25 x 15MM Poly Riser</t>
  </si>
  <si>
    <t>50X15 MM Poly Eriser</t>
  </si>
  <si>
    <t>80 x 15MM Poly Riser</t>
  </si>
  <si>
    <t>100 x 15MM Poly Riser.</t>
  </si>
  <si>
    <t>125 X 15 MM Poly Riser</t>
  </si>
  <si>
    <t>150 x 15MM Poly Riser.</t>
  </si>
  <si>
    <t>6A</t>
  </si>
  <si>
    <t>150x15 MM Poly Riser</t>
  </si>
  <si>
    <t>200 x 15MM Poly Riser.</t>
  </si>
  <si>
    <t>225 x 15MM Poly Riser.</t>
  </si>
  <si>
    <t>Risers 1/2"(15MM)x12"(300MM)</t>
  </si>
  <si>
    <t>9A</t>
  </si>
  <si>
    <t>300 x 15MM Ply Riser.</t>
  </si>
  <si>
    <t>150 x 15MM Articulated P.Riser.</t>
  </si>
  <si>
    <t>200 x 15MM Articulated P.Riser</t>
  </si>
  <si>
    <t>Articulated Riser 1/2"(15mm)x300MM</t>
  </si>
  <si>
    <t>F/F Couplings 1/2"(15MM)</t>
  </si>
  <si>
    <t>M/F Elbow 1/2" (15MM)</t>
  </si>
  <si>
    <t>15MM F.I.Cap.</t>
  </si>
  <si>
    <t>15MM Rigid Cut Off Riser.</t>
  </si>
  <si>
    <t>200 x 20MM Poly Riser.</t>
  </si>
  <si>
    <t>Riser 240x20MM Spacer Meter</t>
  </si>
  <si>
    <t>18A</t>
  </si>
  <si>
    <t>Philmac spacer Meter 20 x 240</t>
  </si>
  <si>
    <t>PP - 2012</t>
  </si>
  <si>
    <t>300 x 20MM Poly Riser.</t>
  </si>
  <si>
    <t>19A</t>
  </si>
  <si>
    <t>Philmac 300 x 20MM Riser</t>
  </si>
  <si>
    <t>200 x 20MM Artic Riser.</t>
  </si>
  <si>
    <t>PPA - 2012</t>
  </si>
  <si>
    <t>300 x 20MM Artic Riser</t>
  </si>
  <si>
    <t>M/F Elbow  20MM</t>
  </si>
  <si>
    <t>15MM x 1/8" Micro Spray cap</t>
  </si>
  <si>
    <t>Shrub Adaptor Toro Head</t>
  </si>
  <si>
    <t>15MM M/F Adaptors.</t>
  </si>
  <si>
    <t>M/F Elbow</t>
  </si>
  <si>
    <t>DATE</t>
  </si>
  <si>
    <t>PIECES</t>
  </si>
  <si>
    <t>05-06/2639</t>
  </si>
  <si>
    <t>05-06/2649</t>
  </si>
  <si>
    <t>23.03.2006</t>
  </si>
  <si>
    <t>23.12.2005</t>
  </si>
  <si>
    <t>07-08/2706</t>
  </si>
  <si>
    <t>23.04.2007</t>
  </si>
  <si>
    <t>06-07/2687</t>
  </si>
  <si>
    <t>24.01.2007</t>
  </si>
  <si>
    <t>06-07/2685</t>
  </si>
  <si>
    <t>28.12.2006</t>
  </si>
  <si>
    <t>SPASTO</t>
  </si>
  <si>
    <t>07-08/2707</t>
  </si>
  <si>
    <t>24.04.2007</t>
  </si>
  <si>
    <t>07-08/2717</t>
  </si>
  <si>
    <t>29.06.2007</t>
  </si>
  <si>
    <t>07-08/2723</t>
  </si>
  <si>
    <t>22.08.2007</t>
  </si>
  <si>
    <t>07-08/2734A</t>
  </si>
  <si>
    <t>29.10.2007</t>
  </si>
  <si>
    <t>07-08/2741</t>
  </si>
  <si>
    <t>08.02.2008</t>
  </si>
  <si>
    <t>07-08/2768</t>
  </si>
  <si>
    <t>24.09.2008</t>
  </si>
  <si>
    <t>20.10.2008</t>
  </si>
  <si>
    <t>08-09/2774</t>
  </si>
  <si>
    <t>08-09/2779</t>
  </si>
  <si>
    <t>24.11.2008</t>
  </si>
  <si>
    <t>08-09/2781</t>
  </si>
  <si>
    <t>19.12.2008</t>
  </si>
  <si>
    <t>11.06.2009</t>
  </si>
  <si>
    <t>09-10/2805</t>
  </si>
  <si>
    <t>09-10/2815</t>
  </si>
  <si>
    <t>04.08.2009</t>
  </si>
  <si>
    <t>09-10/2819</t>
  </si>
  <si>
    <t>28.08.2009</t>
  </si>
  <si>
    <t>PH - 1506</t>
  </si>
  <si>
    <t>PH - 1512</t>
  </si>
  <si>
    <t>PP - 1502</t>
  </si>
  <si>
    <t xml:space="preserve">PP - 1505 </t>
  </si>
  <si>
    <t>PP - 2008</t>
  </si>
  <si>
    <t>PP/PH - 2010</t>
  </si>
  <si>
    <t>PP - 1501</t>
  </si>
  <si>
    <t>PP - 1503</t>
  </si>
  <si>
    <t>PP - 1504</t>
  </si>
  <si>
    <t>PP - 1508</t>
  </si>
  <si>
    <t>PP - 1506</t>
  </si>
  <si>
    <t>PP - 1509</t>
  </si>
  <si>
    <t>PP - 1512</t>
  </si>
  <si>
    <t>PPA - 1508</t>
  </si>
  <si>
    <t>PPA - 2008</t>
  </si>
  <si>
    <t>PPA - 1506</t>
  </si>
  <si>
    <t>PPA - 1512</t>
  </si>
  <si>
    <t>SMFE - 15</t>
  </si>
  <si>
    <t>CAP - 15</t>
  </si>
  <si>
    <t>CUTPL - 15</t>
  </si>
  <si>
    <t>FFC - 15</t>
  </si>
  <si>
    <t>MFA - 15</t>
  </si>
  <si>
    <t>MFE - 20</t>
  </si>
  <si>
    <t>MFE - 15</t>
  </si>
  <si>
    <t>MJC - 18</t>
  </si>
  <si>
    <t>09-10/2822</t>
  </si>
  <si>
    <t>21.09.2009</t>
  </si>
  <si>
    <t>09-10/2828</t>
  </si>
  <si>
    <t>28.10.2009</t>
  </si>
  <si>
    <t>09-10/2833</t>
  </si>
  <si>
    <t>09-10/2836</t>
  </si>
  <si>
    <t>09-10/2839</t>
  </si>
  <si>
    <t>01.12.2009</t>
  </si>
  <si>
    <t>21.12.2009</t>
  </si>
  <si>
    <t>11.01.2010</t>
  </si>
  <si>
    <t>09-10/2850</t>
  </si>
  <si>
    <t>26.03.2010</t>
  </si>
  <si>
    <t>PCS</t>
  </si>
  <si>
    <t>PP - 2010</t>
  </si>
  <si>
    <t>2005                                                                          INVOICE No:</t>
  </si>
  <si>
    <t>2006                                                                          INVOICE No:</t>
  </si>
  <si>
    <t>2007                                                                          INVOICE No:</t>
  </si>
  <si>
    <t>2008                                                                          INVOICE No:</t>
  </si>
  <si>
    <t>2009                                                                          INVOICE No:</t>
  </si>
  <si>
    <t>2010                                                                          INVOICE No:</t>
  </si>
  <si>
    <t>24.6.2010</t>
  </si>
  <si>
    <t>04.8.2010</t>
  </si>
  <si>
    <t>7.9.2010</t>
  </si>
  <si>
    <t>28.9.2010</t>
  </si>
  <si>
    <t>13.10.2010</t>
  </si>
  <si>
    <t>18.10.2010</t>
  </si>
  <si>
    <t>10.11.2010</t>
  </si>
  <si>
    <t>17./11.2010</t>
  </si>
  <si>
    <t>10.02.2010</t>
  </si>
  <si>
    <t>24.11.2010</t>
  </si>
  <si>
    <t>22.12.2010</t>
  </si>
  <si>
    <t xml:space="preserve">TOTAL </t>
  </si>
  <si>
    <t>BOXES</t>
  </si>
  <si>
    <t>2011                                                                          INVOICE No:</t>
  </si>
  <si>
    <t>TOTAL</t>
  </si>
  <si>
    <t>L</t>
  </si>
  <si>
    <t>PKGS</t>
  </si>
  <si>
    <t>16A</t>
  </si>
  <si>
    <t>CUT-15</t>
  </si>
  <si>
    <t xml:space="preserve">15 MM Flexi Cut-Off Riser </t>
  </si>
  <si>
    <t>09.05.11</t>
  </si>
  <si>
    <t>09.02.11</t>
  </si>
  <si>
    <t>12.07.11</t>
  </si>
  <si>
    <t>23.08.11</t>
  </si>
  <si>
    <t>28.09.11</t>
  </si>
  <si>
    <t>19.10.11</t>
  </si>
  <si>
    <t>07.12.11</t>
  </si>
  <si>
    <t>SPGUARDS</t>
  </si>
  <si>
    <t xml:space="preserve">SPGUARD </t>
  </si>
  <si>
    <t xml:space="preserve">Large Sprinkler Guard </t>
  </si>
  <si>
    <t xml:space="preserve">Small Sprinkler Guard </t>
  </si>
  <si>
    <t>2012                                                                           INVOICE NO</t>
  </si>
  <si>
    <t>2.1.12</t>
  </si>
  <si>
    <t>PP 2512</t>
  </si>
  <si>
    <t>PPA 2512</t>
  </si>
  <si>
    <t xml:space="preserve">MFE 25 </t>
  </si>
  <si>
    <t>300 x 25MM Poly Riser.</t>
  </si>
  <si>
    <t>Articulated Riser 1"(25 mm)x300MM</t>
  </si>
  <si>
    <t>M/F Elbow  25MM (1")</t>
  </si>
  <si>
    <t>17.02.12</t>
  </si>
  <si>
    <t>19.03.12</t>
  </si>
  <si>
    <t>09.04.12</t>
  </si>
  <si>
    <t>26.04.12</t>
  </si>
  <si>
    <t>9.08.12</t>
  </si>
  <si>
    <t>PET 1512</t>
  </si>
  <si>
    <t xml:space="preserve">Full Threadd Roser 15mmx300 MM </t>
  </si>
  <si>
    <t>CUTMF 15</t>
  </si>
  <si>
    <t>15 mm M/F Cut off Riser</t>
  </si>
  <si>
    <t>90443300 P/Riser MXM 25x25x300 mm</t>
  </si>
  <si>
    <t>90442300 P/Riser MXM 20x20x300 mm</t>
  </si>
  <si>
    <t>18.06.12</t>
  </si>
  <si>
    <t>30.07.12</t>
  </si>
  <si>
    <t>11.08.12</t>
  </si>
  <si>
    <t>04.09.12</t>
  </si>
  <si>
    <t>16.10.12</t>
  </si>
  <si>
    <t>90441300 P/Riser MXM 15x15x300</t>
  </si>
  <si>
    <t>9B</t>
  </si>
  <si>
    <t>16B</t>
  </si>
  <si>
    <t>23A</t>
  </si>
  <si>
    <t>10.12.12</t>
  </si>
  <si>
    <t>TOTAL BOXES</t>
  </si>
  <si>
    <t>07.01.13</t>
  </si>
  <si>
    <t>08.02.13</t>
  </si>
  <si>
    <t>25.02.13</t>
  </si>
  <si>
    <t>18.03.13</t>
  </si>
  <si>
    <t>29.04.13</t>
  </si>
  <si>
    <t>18.06.13</t>
  </si>
  <si>
    <t>23.07.13</t>
  </si>
  <si>
    <t>19.08.13</t>
  </si>
  <si>
    <t>20A</t>
  </si>
  <si>
    <t>21A</t>
  </si>
  <si>
    <t>PP 2002</t>
  </si>
  <si>
    <t>PP 2003</t>
  </si>
  <si>
    <t>50 x 20MM Poly Riser</t>
  </si>
  <si>
    <t>80 X 20MM Poly Riser</t>
  </si>
  <si>
    <t>26A</t>
  </si>
  <si>
    <t>FFC-20</t>
  </si>
  <si>
    <t>20MM F/F Couplings</t>
  </si>
  <si>
    <t>24.10.13</t>
  </si>
  <si>
    <t>19.11.13</t>
  </si>
  <si>
    <t>03.01.14</t>
  </si>
  <si>
    <t>25.02.14</t>
  </si>
  <si>
    <t>PP 2006</t>
  </si>
  <si>
    <t>150 X 20MM Poly Riser</t>
  </si>
  <si>
    <t>PP 2504</t>
  </si>
  <si>
    <t>100 X 25MM Poly Riser</t>
  </si>
  <si>
    <t>PP 2506</t>
  </si>
  <si>
    <t>150 X 25MM Poly Riser</t>
  </si>
  <si>
    <t>08.04.14</t>
  </si>
  <si>
    <t>90441200 150x15 MM Poly Riser</t>
  </si>
  <si>
    <t>90441200</t>
  </si>
  <si>
    <t>08.05.14</t>
  </si>
  <si>
    <t>12.06.14</t>
  </si>
  <si>
    <t>21.07.14</t>
  </si>
  <si>
    <t>MOULDED - 2013                                                     INVOICE NO</t>
  </si>
  <si>
    <t>MOULDED - 2014                                                    INVOICE NO</t>
  </si>
  <si>
    <t>25.09.14</t>
  </si>
  <si>
    <t>13.10.14</t>
  </si>
  <si>
    <t>1A</t>
  </si>
  <si>
    <t>13.11.14</t>
  </si>
  <si>
    <t>24.12.14</t>
  </si>
  <si>
    <t>MOULDED - 2015                                                    INVOICE NO</t>
  </si>
  <si>
    <t>08.01.15</t>
  </si>
  <si>
    <t>29.01.15</t>
  </si>
  <si>
    <t>04.03.15</t>
  </si>
  <si>
    <t>20.03.15</t>
  </si>
  <si>
    <t>1B</t>
  </si>
  <si>
    <t>01.04.15</t>
  </si>
  <si>
    <t>17a</t>
  </si>
  <si>
    <t>18a</t>
  </si>
  <si>
    <t>25a</t>
  </si>
  <si>
    <t>15.07.15</t>
  </si>
  <si>
    <t>23.09.15</t>
  </si>
  <si>
    <t>90443200 P/RISER M X M 1 x 1 x 150 MM</t>
  </si>
  <si>
    <t>90442200 P/RISER M X M 3/4 X 3/4 X 150MM</t>
  </si>
  <si>
    <t>20.11.15</t>
  </si>
  <si>
    <t>04.12.15</t>
  </si>
  <si>
    <t>21.12.15</t>
  </si>
  <si>
    <t>MOULDED - 2016                                                    INVOICE NO</t>
  </si>
  <si>
    <t>08.01.16</t>
  </si>
  <si>
    <t>28.01.16</t>
  </si>
  <si>
    <t>01.03.16</t>
  </si>
  <si>
    <t>07.04.16</t>
  </si>
  <si>
    <t>21.04.16</t>
  </si>
  <si>
    <t>06.05.16</t>
  </si>
  <si>
    <t>10.06.16</t>
  </si>
  <si>
    <t>24.06.16</t>
  </si>
  <si>
    <t>21.07.16</t>
  </si>
  <si>
    <t>04.08.16</t>
  </si>
  <si>
    <t>18.08.16</t>
  </si>
  <si>
    <t>14.09.16</t>
  </si>
  <si>
    <t>23.09.16</t>
  </si>
  <si>
    <t>20.10.16</t>
  </si>
  <si>
    <t>08.12.16</t>
  </si>
  <si>
    <t>29.12.16</t>
  </si>
  <si>
    <t>25.01.17</t>
  </si>
  <si>
    <t>300 x 25MM Artic Riser</t>
  </si>
  <si>
    <t>02.02.17</t>
  </si>
  <si>
    <t>PET 2012</t>
  </si>
  <si>
    <t>PET 2512</t>
  </si>
  <si>
    <t>Full Threaded Riser 20mm x 300 MM</t>
  </si>
  <si>
    <t>Full Threaded Riser 25mm x 300 MM</t>
  </si>
  <si>
    <t>15.02.17</t>
  </si>
  <si>
    <t>16.03.17</t>
  </si>
  <si>
    <t>01.04.17</t>
  </si>
  <si>
    <t>12.04.17</t>
  </si>
  <si>
    <t>18.05.17</t>
  </si>
  <si>
    <t>PET 3212</t>
  </si>
  <si>
    <t>PET 4012</t>
  </si>
  <si>
    <t>PET 5012</t>
  </si>
  <si>
    <t>Full Thread Riser 300 X 32MM</t>
  </si>
  <si>
    <t>Full Thread Riser 300 X 40MM</t>
  </si>
  <si>
    <t>Full Thread Riser 300 X 50MM</t>
  </si>
  <si>
    <t>280 MM BLACK PEG</t>
  </si>
  <si>
    <t>280 MM GREEN PEG</t>
  </si>
  <si>
    <t>280 MM JARRAH PEG</t>
  </si>
  <si>
    <t>380 MM BLACK PEG</t>
  </si>
  <si>
    <t>380 MM GREEN PEG</t>
  </si>
  <si>
    <t>380 MM JARRAH PEG</t>
  </si>
  <si>
    <t>08.06.17</t>
  </si>
  <si>
    <t>25.04.17</t>
  </si>
  <si>
    <t>22.06.17</t>
  </si>
  <si>
    <t>11.07.17</t>
  </si>
  <si>
    <t>200 x 15MM Articulated P.Riser.</t>
  </si>
  <si>
    <t>26.07.17</t>
  </si>
  <si>
    <t>17.08.17</t>
  </si>
  <si>
    <t>21.09.17</t>
  </si>
  <si>
    <t>01.08.17</t>
  </si>
  <si>
    <t>06.10.17</t>
  </si>
  <si>
    <t>MOULDED - 2017                                                    INVOICE NO</t>
  </si>
  <si>
    <t>26.10.17</t>
  </si>
  <si>
    <t>90443100</t>
  </si>
  <si>
    <t>90443100 P/RISER M X M 1 x 1 x 100 MM</t>
  </si>
  <si>
    <t>09.11.17</t>
  </si>
  <si>
    <t>22.11.17</t>
  </si>
  <si>
    <t>01.12.17</t>
  </si>
  <si>
    <t>14.12.17</t>
  </si>
  <si>
    <t>21.12.17</t>
  </si>
  <si>
    <t>MOULDED - 2018                                                    INVOICE NO</t>
  </si>
  <si>
    <t>22.01.18</t>
  </si>
  <si>
    <t>200 x 20MM Artic Riser</t>
  </si>
  <si>
    <t>14.02.18</t>
  </si>
  <si>
    <t>21.02.18</t>
  </si>
  <si>
    <t>21.03.18</t>
  </si>
  <si>
    <t>19.04.18</t>
  </si>
  <si>
    <t>09.05.18</t>
  </si>
  <si>
    <t>13.06.18</t>
  </si>
  <si>
    <t>04.07.18</t>
  </si>
  <si>
    <t>19.07.18</t>
  </si>
  <si>
    <t>02.08.18</t>
  </si>
  <si>
    <t>07.09.18</t>
  </si>
  <si>
    <t>16.10.18</t>
  </si>
  <si>
    <t>22.11.18</t>
  </si>
  <si>
    <t>MOULDED - 2019                                                    INVOICE NO</t>
  </si>
  <si>
    <t>DO</t>
  </si>
  <si>
    <t>NOT</t>
  </si>
  <si>
    <t>FILL</t>
  </si>
  <si>
    <t>10.01.19</t>
  </si>
  <si>
    <t>01.02.19</t>
  </si>
  <si>
    <t>14.02.19</t>
  </si>
  <si>
    <t>01.03.19</t>
  </si>
  <si>
    <t>01.04.19</t>
  </si>
  <si>
    <t>03.05.19</t>
  </si>
  <si>
    <t>07.06.19</t>
  </si>
  <si>
    <t>18.06.19</t>
  </si>
  <si>
    <t>05.07.19</t>
  </si>
  <si>
    <t>07.08.19</t>
  </si>
  <si>
    <t>MOULDED - 2020                                                    INVOICE NO</t>
  </si>
  <si>
    <t xml:space="preserve">Full Threaded Riser 15mmx300 MM </t>
  </si>
  <si>
    <t>21B</t>
  </si>
  <si>
    <t>27A</t>
  </si>
  <si>
    <t>28A</t>
  </si>
  <si>
    <t>29A</t>
  </si>
  <si>
    <t>29B</t>
  </si>
  <si>
    <t>21.08.19</t>
  </si>
  <si>
    <t>10.09.19</t>
  </si>
  <si>
    <t>24.09.19</t>
  </si>
  <si>
    <t>10.10.19</t>
  </si>
  <si>
    <t>17,10.19</t>
  </si>
  <si>
    <t>12.12.19</t>
  </si>
  <si>
    <t>14.1.2020</t>
  </si>
  <si>
    <t>23.1.2020</t>
  </si>
  <si>
    <t>05.02.2020</t>
  </si>
  <si>
    <t>21.2.2020</t>
  </si>
  <si>
    <t>07.03.2020</t>
  </si>
  <si>
    <t>FFC-25</t>
  </si>
  <si>
    <t>FFC 25 F/F Couplings</t>
  </si>
  <si>
    <t>05.06.2020</t>
  </si>
  <si>
    <t>20.07.2020</t>
  </si>
  <si>
    <t>11.08.2020</t>
  </si>
  <si>
    <t>09.09.2020</t>
  </si>
  <si>
    <t>09.10.2020</t>
  </si>
  <si>
    <t>09.12.2020</t>
  </si>
  <si>
    <t>MOULDED - 2021                                                    INVOICE NO</t>
  </si>
  <si>
    <t>MOULDED - 2022                                                    INVOICE NO</t>
  </si>
  <si>
    <t>07.01.22</t>
  </si>
  <si>
    <t>14.02.22</t>
  </si>
  <si>
    <t>10.03.2022</t>
  </si>
  <si>
    <t>06.04.2022</t>
  </si>
  <si>
    <t>19.05.2022</t>
  </si>
  <si>
    <t>11.07.2022</t>
  </si>
  <si>
    <t>01.11.2022</t>
  </si>
  <si>
    <t>09.12.2022</t>
  </si>
  <si>
    <t>GRN15</t>
  </si>
  <si>
    <t>15MM NIPPLE</t>
  </si>
  <si>
    <t>GRN20</t>
  </si>
  <si>
    <t>20MM NIPPLE</t>
  </si>
  <si>
    <t>GRN25</t>
  </si>
  <si>
    <t>25MM NIPPLE</t>
  </si>
  <si>
    <t>09.01.2021</t>
  </si>
  <si>
    <t>27.01.2021</t>
  </si>
  <si>
    <t>19.02.2021</t>
  </si>
  <si>
    <t>12.03.2021</t>
  </si>
  <si>
    <t>02.04.2021</t>
  </si>
  <si>
    <t>01.05.2021</t>
  </si>
  <si>
    <t>01.06.2021</t>
  </si>
  <si>
    <t>02.06.2021</t>
  </si>
  <si>
    <t>18.06.2021</t>
  </si>
  <si>
    <t>08.07.2021</t>
  </si>
  <si>
    <t>16.07.2021</t>
  </si>
  <si>
    <t>12.08.2021</t>
  </si>
  <si>
    <t>24.08.2021</t>
  </si>
  <si>
    <t>10.09.2021</t>
  </si>
  <si>
    <t>18.09.2021</t>
  </si>
  <si>
    <t>01.10.2021</t>
  </si>
  <si>
    <t>22.10.2021</t>
  </si>
  <si>
    <t>12.11.2021</t>
  </si>
  <si>
    <t>10.12.2021</t>
  </si>
  <si>
    <t>01.02.2023</t>
  </si>
  <si>
    <t>28.03.2023</t>
  </si>
  <si>
    <t>22.04.2023</t>
  </si>
  <si>
    <t>02.05.2023</t>
  </si>
  <si>
    <t>05.06.2023</t>
  </si>
  <si>
    <t>15MM PP CAP</t>
  </si>
  <si>
    <t>20MM PP CAP</t>
  </si>
  <si>
    <t>03.07.2023</t>
  </si>
  <si>
    <t>25MM CAP</t>
  </si>
  <si>
    <t>25MM PLUG</t>
  </si>
  <si>
    <t>MOULDED - 2023                                                    INVOICE NO</t>
  </si>
  <si>
    <t>PP-1512-PH</t>
  </si>
  <si>
    <t>PP-2006-PH</t>
  </si>
  <si>
    <t>PP-2012-PH</t>
  </si>
  <si>
    <t>PP-2506-PH</t>
  </si>
  <si>
    <t>PP-2512-PH</t>
  </si>
  <si>
    <t>PP-1506-PH</t>
  </si>
  <si>
    <t>PP-2504-PH</t>
  </si>
  <si>
    <t>CAP-15</t>
  </si>
  <si>
    <t>CUTMF-15</t>
  </si>
  <si>
    <t>CUTPL-15</t>
  </si>
  <si>
    <t>FFC-15</t>
  </si>
  <si>
    <t>GRC-15</t>
  </si>
  <si>
    <t>GRC-20</t>
  </si>
  <si>
    <t>GRC-25</t>
  </si>
  <si>
    <t>GRN-15</t>
  </si>
  <si>
    <t>GRN-20</t>
  </si>
  <si>
    <t>GRN-25</t>
  </si>
  <si>
    <t>GRP-25</t>
  </si>
  <si>
    <t>MFA-15</t>
  </si>
  <si>
    <t>MFE-15</t>
  </si>
  <si>
    <t>MFE-20</t>
  </si>
  <si>
    <t xml:space="preserve">MFE-25 </t>
  </si>
  <si>
    <t>PET-1512</t>
  </si>
  <si>
    <t>PET-2012</t>
  </si>
  <si>
    <t>PET-2512</t>
  </si>
  <si>
    <t>PET-3212</t>
  </si>
  <si>
    <t>PET-4012</t>
  </si>
  <si>
    <t>PET-5012</t>
  </si>
  <si>
    <t>PP-1501</t>
  </si>
  <si>
    <t>PP-1502</t>
  </si>
  <si>
    <t>PP-1503</t>
  </si>
  <si>
    <t>PP-1504</t>
  </si>
  <si>
    <t xml:space="preserve">PP-1505 </t>
  </si>
  <si>
    <t>PP-1506</t>
  </si>
  <si>
    <t>PP-1508</t>
  </si>
  <si>
    <t>PP-1509</t>
  </si>
  <si>
    <t>PP-1512</t>
  </si>
  <si>
    <t>PP-2008</t>
  </si>
  <si>
    <t>PP-2012</t>
  </si>
  <si>
    <t>PP-2002</t>
  </si>
  <si>
    <t>PP-2003</t>
  </si>
  <si>
    <t>PP-2006</t>
  </si>
  <si>
    <t>PP-2504</t>
  </si>
  <si>
    <t>PP-2506</t>
  </si>
  <si>
    <t>PP-2512</t>
  </si>
  <si>
    <t>PPA-1506</t>
  </si>
  <si>
    <t>PPA-1508</t>
  </si>
  <si>
    <t>PPA-1512</t>
  </si>
  <si>
    <t>PPA-2008</t>
  </si>
  <si>
    <t>PPA-2012</t>
  </si>
  <si>
    <t>PPA-2512</t>
  </si>
  <si>
    <t>7A</t>
  </si>
  <si>
    <t>03.08.2023</t>
  </si>
  <si>
    <t>01.09.2023</t>
  </si>
  <si>
    <t>GRP-15</t>
  </si>
  <si>
    <t>15MM PLUG</t>
  </si>
  <si>
    <t>07.09.2023</t>
  </si>
  <si>
    <t>15.09.2023</t>
  </si>
  <si>
    <t>26.09.2023</t>
  </si>
  <si>
    <t>GRP-20</t>
  </si>
  <si>
    <t>20MM PLUG</t>
  </si>
  <si>
    <t>16.10.2023</t>
  </si>
  <si>
    <t>18.10.2023</t>
  </si>
  <si>
    <t>01.11.2023</t>
  </si>
  <si>
    <t>08.11.2023</t>
  </si>
  <si>
    <t>18.11.2023</t>
  </si>
  <si>
    <t>01.12.2023</t>
  </si>
  <si>
    <t>22.12.2023</t>
  </si>
  <si>
    <t>16.01.2024</t>
  </si>
  <si>
    <t>06.02.2024</t>
  </si>
  <si>
    <t>27.02.2024</t>
  </si>
  <si>
    <t>19.03.2024</t>
  </si>
  <si>
    <t>12.04.2024</t>
  </si>
  <si>
    <t>03.05.2024</t>
  </si>
  <si>
    <t>04.06.2024</t>
  </si>
  <si>
    <t>28.06.2024</t>
  </si>
  <si>
    <t>06.08.2024</t>
  </si>
  <si>
    <t>03.09.2024</t>
  </si>
  <si>
    <t>08.10.2024</t>
  </si>
  <si>
    <t>17.12.2024</t>
  </si>
  <si>
    <t>MJC-18</t>
  </si>
  <si>
    <t>PP-2010-PH</t>
  </si>
  <si>
    <t>VP</t>
  </si>
  <si>
    <t>HP</t>
  </si>
  <si>
    <t>SUPPLIER</t>
  </si>
  <si>
    <t>MOULD MFG DATE</t>
  </si>
  <si>
    <t>TOTAL :</t>
  </si>
  <si>
    <t>PP-1501 / 5</t>
  </si>
  <si>
    <t>MOULD CAVITIES</t>
  </si>
  <si>
    <t>280MM PEGS</t>
  </si>
  <si>
    <t>380MM PEGS</t>
  </si>
  <si>
    <t>MULTI PRODUCT MOULDS (NO CONSIDERATION FOR NEW MOULD)</t>
  </si>
  <si>
    <t>DO NOTFILL</t>
  </si>
  <si>
    <t>CAP 15 F.I. Cap
15MM</t>
  </si>
  <si>
    <t>CUT 15 Flexi Cut Off Riser
15MM</t>
  </si>
  <si>
    <t>CUTMF 15 M/F Cut Off Riser
15MM</t>
  </si>
  <si>
    <t>CUTPL 15 Rigid Cut Off Riser
15MM</t>
  </si>
  <si>
    <t>FFC 15 F/F Couplings 
1/2" (15MM)</t>
  </si>
  <si>
    <t>FFC 20 F/F Couplings
20MM</t>
  </si>
  <si>
    <t>15MM PP NIPPLE</t>
  </si>
  <si>
    <t>20MM PP NIPPLE</t>
  </si>
  <si>
    <t>25MM PP NIPPLE</t>
  </si>
  <si>
    <t>MFA 15 M/F Adaptors
15MM</t>
  </si>
  <si>
    <t>MFE 15 M/F Elbow 
1/2" (15MM)</t>
  </si>
  <si>
    <t>MFE 20 M/F Elbow
20MM</t>
  </si>
  <si>
    <t>MFE 25 M/F Elbow
25MM</t>
  </si>
  <si>
    <t>PP 1501 P/RISER M X M
25 x 15MM</t>
  </si>
  <si>
    <t>PP 1502 P/RISER M X M
50 x 15MM</t>
  </si>
  <si>
    <t>PP 1503 P/RISER M X M
80 x 15MM</t>
  </si>
  <si>
    <t>PP 1504 P/RISER M X M
100 x 15MM</t>
  </si>
  <si>
    <t>PP 1505 P/RISER M X M
125 x 15MM</t>
  </si>
  <si>
    <t>PP 1506 P/RISER M X M
150 x 15MM</t>
  </si>
  <si>
    <t>90441200 P/RISER M X M
1/2" X 1/2" X 150MM</t>
  </si>
  <si>
    <t>PP 1508 P/RISER M X M
200 x 15MM</t>
  </si>
  <si>
    <t>PP 1509 P/RISER M X M
225 x 15MM</t>
  </si>
  <si>
    <t>PP 1512 P/RISER M X M
300 x 15MM</t>
  </si>
  <si>
    <t>90441300 P/RISER M X M 
1/2" X 1/2" X 300MM</t>
  </si>
  <si>
    <t>PP 2002 P/RISER M X M
50 X 20MM</t>
  </si>
  <si>
    <t>PP 2003 P/RISER M X M
80 X 20MM</t>
  </si>
  <si>
    <t>PP 2006 P/RISER M X M
150 X 20MM</t>
  </si>
  <si>
    <t>90442200 P/RISER M X M
3/4" X 3/4" X 150MM</t>
  </si>
  <si>
    <t>PP 2008 P/RISER M X M
200 X 20MM</t>
  </si>
  <si>
    <t>PP 2012 P/RISER M X M
300 X 20MM</t>
  </si>
  <si>
    <t>90442300 P/RISER M X M
3/4" x 3/4" x 300MM</t>
  </si>
  <si>
    <t>PP 2504 P/RISER M X M
100 X 25MM</t>
  </si>
  <si>
    <t>90443100 P/RISER M X M
1" x 1" x 100 MM</t>
  </si>
  <si>
    <t>PP 2506 P/RISER M X M
150 X 25MM</t>
  </si>
  <si>
    <t>90443200 P/RISER M X M
1" x 1" x 150 MM</t>
  </si>
  <si>
    <t>PP 2512 P/RISER M X M
300 X 25MM</t>
  </si>
  <si>
    <t>90443300 P/RISER M X M
1" x 1" x 300 MM</t>
  </si>
  <si>
    <t>PPA 1506 ARTIC. P/RISER 
150 X 15MM</t>
  </si>
  <si>
    <t>PPA 1508 ARTIC. P/RISER
200 X 15MM</t>
  </si>
  <si>
    <t>PPA 1512 ARTIC. P/RISER
300 X 15MM</t>
  </si>
  <si>
    <t>PPA 2012 ARTIC. P/RISER
300 X 20MM</t>
  </si>
  <si>
    <t>PPA 2512 ARTIC. P/RISER
300 x 25MM</t>
  </si>
  <si>
    <t>FFC 25 F/F Couplings
25MM</t>
  </si>
  <si>
    <t>25MM PP CAP</t>
  </si>
  <si>
    <t>15MM PP PLUG</t>
  </si>
  <si>
    <t>20MM PP PLUG</t>
  </si>
  <si>
    <t>25MM PP PLUG</t>
  </si>
  <si>
    <t>PET 1512 Full Thread Riser 
300 X 15MM</t>
  </si>
  <si>
    <t>PET 2012 Full Thread Riser 
300 X 20MM</t>
  </si>
  <si>
    <t>PET 2512 Full Thread Riser 
300 X 25MM</t>
  </si>
  <si>
    <t>PET 3212 Full Thread Riser 
300 X 32MM</t>
  </si>
  <si>
    <t>PET 4012 Full Thread Riser 
300 X 40MM</t>
  </si>
  <si>
    <t>PET 5012 Full Thread Riser 
300 X 50MM</t>
  </si>
  <si>
    <t>90447000 SPACER METER 
3/4" X 3/4" X 240MM</t>
  </si>
  <si>
    <t>30.01.2025</t>
  </si>
  <si>
    <t>27.02.2025</t>
  </si>
  <si>
    <t>02.04.2025</t>
  </si>
  <si>
    <t>12.05.2025</t>
  </si>
  <si>
    <t>20.06.2025</t>
  </si>
  <si>
    <t>22.07.2025</t>
  </si>
  <si>
    <t>24.07.2025</t>
  </si>
  <si>
    <t>25.08.2025</t>
  </si>
  <si>
    <t>18.09.2025</t>
  </si>
  <si>
    <t>03.10.2025</t>
  </si>
  <si>
    <t>30.10.2025</t>
  </si>
  <si>
    <t>21.11.2025</t>
  </si>
  <si>
    <t>10.12.2025</t>
  </si>
  <si>
    <t>05.12.2025</t>
  </si>
  <si>
    <t>23.12.2025</t>
  </si>
  <si>
    <t>02.01.2026</t>
  </si>
  <si>
    <t>16.01.2026</t>
  </si>
  <si>
    <t>KP</t>
  </si>
  <si>
    <t>2025-26</t>
  </si>
  <si>
    <t>2024-25</t>
  </si>
  <si>
    <t>22.01.2026</t>
  </si>
  <si>
    <t>17.01.2026</t>
  </si>
  <si>
    <t>TOTAL AS PER YEARLY SHEETS :</t>
  </si>
  <si>
    <t>DIFFERENCE</t>
  </si>
  <si>
    <t>06.02.2026</t>
  </si>
  <si>
    <t>11.02.2026</t>
  </si>
  <si>
    <t>25.02.2026</t>
  </si>
  <si>
    <t>23.03.2026</t>
  </si>
  <si>
    <t>10.04.2026</t>
  </si>
  <si>
    <t>04.05.2026</t>
  </si>
  <si>
    <t>MOULDED - 2024                                                    INVOICE NO</t>
  </si>
  <si>
    <t>MOULDED - 2024-25                                                    INVOICE NO</t>
  </si>
  <si>
    <t>MOULDED - 2025-26                                                    INVOICE NO</t>
  </si>
  <si>
    <t>25.05.2026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</si>
</sst>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1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  <xf numFmtId="0" fontId="2" fillId="0" borderId="1" xfId="0" applyFont="1" applyBorder="1"/>
    <xf numFmtId="0" fontId="1" fillId="0" borderId="1" xfId="0" applyFont="1" applyBorder="1" applyAlignment="1">
      <alignment horizontal="left"/>
    </xf>
    <xf numFmtId="14" fontId="0" fillId="0" borderId="1" xfId="0" quotePrefix="1" applyNumberFormat="1" applyBorder="1"/>
    <xf numFmtId="0" fontId="0" fillId="0" borderId="1" xfId="0" quotePrefix="1" applyBorder="1"/>
    <xf numFmtId="0" fontId="0" fillId="0" borderId="1" xfId="0" quotePrefix="1" applyFill="1" applyBorder="1"/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0" fontId="1" fillId="0" borderId="1" xfId="0" applyFont="1" applyFill="1" applyBorder="1"/>
    <xf numFmtId="14" fontId="0" fillId="0" borderId="1" xfId="0" quotePrefix="1" applyNumberFormat="1" applyFill="1" applyBorder="1"/>
    <xf numFmtId="14" fontId="0" fillId="0" borderId="1" xfId="0" applyNumberFormat="1" applyBorder="1"/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2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7" xfId="0" applyFont="1" applyBorder="1"/>
    <xf numFmtId="0" fontId="0" fillId="0" borderId="7" xfId="0" applyBorder="1"/>
    <xf numFmtId="0" fontId="0" fillId="0" borderId="8" xfId="0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3" borderId="7" xfId="0" applyFont="1" applyFill="1" applyBorder="1"/>
    <xf numFmtId="0" fontId="0" fillId="3" borderId="7" xfId="0" applyFill="1" applyBorder="1"/>
    <xf numFmtId="0" fontId="0" fillId="3" borderId="8" xfId="0" applyFill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7" xfId="0" quotePrefix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1" fillId="0" borderId="7" xfId="0" applyFont="1" applyFill="1" applyBorder="1" applyAlignment="1">
      <alignment horizontal="left"/>
    </xf>
    <xf numFmtId="0" fontId="0" fillId="0" borderId="7" xfId="0" applyFill="1" applyBorder="1"/>
    <xf numFmtId="0" fontId="0" fillId="0" borderId="8" xfId="0" applyFill="1" applyBorder="1" applyAlignment="1">
      <alignment horizontal="left"/>
    </xf>
    <xf numFmtId="0" fontId="0" fillId="0" borderId="0" xfId="0" applyFill="1"/>
    <xf numFmtId="0" fontId="1" fillId="0" borderId="7" xfId="0" quotePrefix="1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3" borderId="7" xfId="0" applyFont="1" applyFill="1" applyBorder="1"/>
    <xf numFmtId="0" fontId="1" fillId="0" borderId="2" xfId="0" applyFont="1" applyBorder="1" applyAlignment="1">
      <alignment horizontal="center"/>
    </xf>
    <xf numFmtId="0" fontId="0" fillId="4" borderId="0" xfId="0" applyFill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7" xfId="0" quotePrefix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3" borderId="7" xfId="0" quotePrefix="1" applyFill="1" applyBorder="1" applyAlignment="1">
      <alignment horizontal="left"/>
    </xf>
    <xf numFmtId="0" fontId="3" fillId="0" borderId="7" xfId="0" applyFont="1" applyFill="1" applyBorder="1"/>
    <xf numFmtId="0" fontId="1" fillId="0" borderId="7" xfId="0" applyFont="1" applyFill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4" borderId="8" xfId="0" applyFill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3" borderId="7" xfId="0" applyFill="1" applyBorder="1" applyAlignment="1">
      <alignment wrapText="1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left" wrapText="1"/>
    </xf>
    <xf numFmtId="0" fontId="2" fillId="0" borderId="1" xfId="0" applyFont="1" applyFill="1" applyBorder="1"/>
    <xf numFmtId="0" fontId="1" fillId="0" borderId="2" xfId="0" applyFont="1" applyFill="1" applyBorder="1" applyAlignment="1">
      <alignment horizontal="left"/>
    </xf>
    <xf numFmtId="0" fontId="0" fillId="0" borderId="5" xfId="0" applyFill="1" applyBorder="1" applyAlignment="1">
      <alignment horizontal="left"/>
    </xf>
    <xf numFmtId="0" fontId="0" fillId="0" borderId="5" xfId="0" applyFill="1" applyBorder="1"/>
    <xf numFmtId="0" fontId="0" fillId="0" borderId="6" xfId="0" applyFill="1" applyBorder="1" applyAlignment="1">
      <alignment horizontal="left"/>
    </xf>
    <xf numFmtId="0" fontId="0" fillId="0" borderId="7" xfId="0" quotePrefix="1" applyFill="1" applyBorder="1" applyAlignment="1">
      <alignment horizontal="left"/>
    </xf>
    <xf numFmtId="0" fontId="0" fillId="0" borderId="7" xfId="0" applyFill="1" applyBorder="1" applyAlignment="1">
      <alignment wrapText="1"/>
    </xf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left"/>
    </xf>
    <xf numFmtId="0" fontId="3" fillId="0" borderId="7" xfId="0" applyFont="1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10" xfId="0" applyFont="1" applyFill="1" applyBorder="1"/>
    <xf numFmtId="0" fontId="1" fillId="0" borderId="10" xfId="0" applyFont="1" applyFill="1" applyBorder="1" applyAlignment="1">
      <alignment horizontal="left"/>
    </xf>
    <xf numFmtId="0" fontId="0" fillId="0" borderId="8" xfId="0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0" xfId="0" applyFill="1" applyAlignment="1"/>
    <xf numFmtId="0" fontId="1" fillId="5" borderId="11" xfId="0" applyFont="1" applyFill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1" fontId="0" fillId="3" borderId="14" xfId="0" applyNumberForma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0" fillId="3" borderId="12" xfId="0" applyFill="1" applyBorder="1" applyAlignment="1">
      <alignment vertical="center"/>
    </xf>
    <xf numFmtId="14" fontId="0" fillId="3" borderId="12" xfId="0" applyNumberFormat="1" applyFill="1" applyBorder="1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1" fontId="0" fillId="0" borderId="12" xfId="0" applyNumberFormat="1" applyFill="1" applyBorder="1" applyAlignment="1">
      <alignment horizontal="center" vertical="center"/>
    </xf>
    <xf numFmtId="1" fontId="0" fillId="0" borderId="13" xfId="0" applyNumberForma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4" fontId="0" fillId="0" borderId="12" xfId="0" applyNumberFormat="1" applyFill="1" applyBorder="1" applyAlignment="1">
      <alignment vertical="center"/>
    </xf>
    <xf numFmtId="0" fontId="0" fillId="3" borderId="12" xfId="0" applyFill="1" applyBorder="1" applyAlignment="1">
      <alignment horizontal="center" vertical="center"/>
    </xf>
    <xf numFmtId="1" fontId="0" fillId="3" borderId="12" xfId="0" applyNumberForma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1" fillId="0" borderId="5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left" vertical="center"/>
    </xf>
    <xf numFmtId="0" fontId="0" fillId="0" borderId="12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0" fillId="0" borderId="14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0" borderId="14" xfId="0" applyFill="1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0" fontId="0" fillId="3" borderId="14" xfId="0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0" fillId="3" borderId="14" xfId="0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5" borderId="12" xfId="0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 wrapText="1"/>
    </xf>
    <xf numFmtId="0" fontId="0" fillId="5" borderId="5" xfId="0" applyFill="1" applyBorder="1" applyAlignment="1">
      <alignment vertical="center"/>
    </xf>
    <xf numFmtId="0" fontId="0" fillId="0" borderId="14" xfId="0" applyFill="1" applyBorder="1" applyAlignment="1">
      <alignment horizontal="left" vertical="center" wrapText="1"/>
    </xf>
    <xf numFmtId="0" fontId="0" fillId="5" borderId="14" xfId="0" applyFill="1" applyBorder="1" applyAlignment="1">
      <alignment vertical="center"/>
    </xf>
    <xf numFmtId="0" fontId="0" fillId="3" borderId="5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0" fontId="0" fillId="5" borderId="7" xfId="0" applyFill="1" applyBorder="1" applyAlignment="1">
      <alignment horizontal="center" vertical="center"/>
    </xf>
    <xf numFmtId="0" fontId="0" fillId="0" borderId="14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vertical="center"/>
    </xf>
    <xf numFmtId="0" fontId="0" fillId="3" borderId="14" xfId="0" applyFill="1" applyBorder="1" applyAlignment="1">
      <alignment horizontal="left" vertical="center"/>
    </xf>
    <xf numFmtId="0" fontId="1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left" vertical="center"/>
    </xf>
    <xf numFmtId="0" fontId="0" fillId="0" borderId="7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7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left" vertical="center"/>
    </xf>
    <xf numFmtId="0" fontId="1" fillId="6" borderId="14" xfId="0" applyFont="1" applyFill="1" applyBorder="1" applyAlignment="1">
      <alignment horizontal="left" vertical="center"/>
    </xf>
    <xf numFmtId="0" fontId="3" fillId="0" borderId="0" xfId="0" applyFont="1" applyFill="1"/>
    <xf numFmtId="0" fontId="7" fillId="5" borderId="1" xfId="0" applyFont="1" applyFill="1" applyBorder="1" applyAlignment="1">
      <alignment vertical="center"/>
    </xf>
    <xf numFmtId="0" fontId="6" fillId="0" borderId="0" xfId="0" applyFont="1" applyFill="1"/>
    <xf numFmtId="0" fontId="6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7" xfId="0" quotePrefix="1" applyFont="1" applyFill="1" applyBorder="1"/>
    <xf numFmtId="0" fontId="6" fillId="0" borderId="8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1" fillId="0" borderId="9" xfId="0" applyFont="1" applyFill="1" applyBorder="1" applyAlignment="1">
      <alignment horizontal="right"/>
    </xf>
    <xf numFmtId="0" fontId="1" fillId="0" borderId="2" xfId="0" applyFont="1" applyFill="1" applyBorder="1" applyAlignment="1">
      <alignment horizontal="center"/>
    </xf>
    <xf numFmtId="0" fontId="0" fillId="0" borderId="3" xfId="0" applyFill="1" applyBorder="1"/>
    <xf numFmtId="0" fontId="0" fillId="0" borderId="4" xfId="0" applyFill="1" applyBorder="1"/>
    <xf numFmtId="0" fontId="1" fillId="0" borderId="2" xfId="0" applyFont="1" applyFill="1" applyBorder="1" applyAlignment="1">
      <alignment horizontal="right"/>
    </xf>
    <xf numFmtId="0" fontId="1" fillId="0" borderId="3" xfId="0" applyFont="1" applyFill="1" applyBorder="1" applyAlignment="1">
      <alignment horizontal="right"/>
    </xf>
    <xf numFmtId="0" fontId="1" fillId="0" borderId="4" xfId="0" applyFont="1" applyFill="1" applyBorder="1" applyAlignment="1">
      <alignment horizontal="right"/>
    </xf>
    <xf numFmtId="0" fontId="0" fillId="3" borderId="12" xfId="0" applyFill="1" applyBorder="1" applyAlignment="1">
      <alignment vertical="center" wrapText="1"/>
    </xf>
    <xf numFmtId="0" fontId="0" fillId="3" borderId="13" xfId="0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" fillId="0" borderId="12" xfId="0" applyFont="1" applyFill="1" applyBorder="1" applyAlignment="1">
      <alignment vertical="center"/>
    </xf>
    <xf numFmtId="0" fontId="1" fillId="0" borderId="13" xfId="0" applyFont="1" applyFill="1" applyBorder="1" applyAlignment="1">
      <alignment vertical="center"/>
    </xf>
    <xf numFmtId="0" fontId="0" fillId="0" borderId="12" xfId="0" applyFill="1" applyBorder="1" applyAlignment="1">
      <alignment vertical="center" wrapText="1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14" fontId="0" fillId="3" borderId="12" xfId="0" applyNumberFormat="1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1" fontId="0" fillId="3" borderId="12" xfId="0" applyNumberFormat="1" applyFill="1" applyBorder="1" applyAlignment="1">
      <alignment horizontal="center" vertical="center"/>
    </xf>
    <xf numFmtId="1" fontId="0" fillId="3" borderId="13" xfId="0" applyNumberForma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0" fillId="5" borderId="12" xfId="0" applyFill="1" applyBorder="1" applyAlignment="1">
      <alignment vertical="center"/>
    </xf>
    <xf numFmtId="0" fontId="0" fillId="5" borderId="13" xfId="0" applyFill="1" applyBorder="1" applyAlignment="1">
      <alignment vertical="center"/>
    </xf>
    <xf numFmtId="14" fontId="0" fillId="0" borderId="12" xfId="0" applyNumberFormat="1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1" fontId="0" fillId="0" borderId="12" xfId="0" applyNumberFormat="1" applyFill="1" applyBorder="1" applyAlignment="1">
      <alignment horizontal="center" vertical="center"/>
    </xf>
    <xf numFmtId="1" fontId="0" fillId="0" borderId="13" xfId="0" applyNumberFormat="1" applyFill="1" applyBorder="1" applyAlignment="1">
      <alignment horizontal="center" vertical="center"/>
    </xf>
    <xf numFmtId="14" fontId="0" fillId="3" borderId="13" xfId="0" applyNumberFormat="1" applyFill="1" applyBorder="1" applyAlignment="1">
      <alignment vertical="center"/>
    </xf>
    <xf numFmtId="0" fontId="1" fillId="5" borderId="11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vertical="center" wrapText="1"/>
    </xf>
    <xf numFmtId="0" fontId="1" fillId="5" borderId="13" xfId="0" applyFont="1" applyFill="1" applyBorder="1" applyAlignment="1">
      <alignment vertical="center" wrapText="1"/>
    </xf>
    <xf numFmtId="0" fontId="3" fillId="5" borderId="13" xfId="0" applyFont="1" applyFill="1" applyBorder="1" applyAlignment="1">
      <alignment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6" borderId="12" xfId="0" applyFont="1" applyFill="1" applyBorder="1" applyAlignment="1">
      <alignment vertical="center"/>
    </xf>
    <xf numFmtId="0" fontId="1" fillId="6" borderId="13" xfId="0" applyFont="1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3" xfId="0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7" fillId="3" borderId="11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0" fontId="0" fillId="3" borderId="11" xfId="0" applyFill="1" applyBorder="1" applyAlignment="1">
      <alignment vertical="center" wrapText="1"/>
    </xf>
    <xf numFmtId="0" fontId="3" fillId="0" borderId="13" xfId="0" applyFont="1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1" fillId="3" borderId="12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0" borderId="12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" fillId="3" borderId="12" xfId="0" applyFont="1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" fontId="0" fillId="4" borderId="12" xfId="0" applyNumberFormat="1" applyFill="1" applyBorder="1" applyAlignment="1">
      <alignment horizontal="center" vertical="center"/>
    </xf>
    <xf numFmtId="1" fontId="0" fillId="4" borderId="11" xfId="0" applyNumberFormat="1" applyFill="1" applyBorder="1" applyAlignment="1">
      <alignment horizontal="center" vertical="center"/>
    </xf>
    <xf numFmtId="1" fontId="0" fillId="4" borderId="13" xfId="0" applyNumberFormat="1" applyFill="1" applyBorder="1" applyAlignment="1">
      <alignment horizontal="center" vertical="center"/>
    </xf>
    <xf numFmtId="1" fontId="0" fillId="0" borderId="11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5" fillId="0" borderId="15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13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5" borderId="11" xfId="0" applyFill="1" applyBorder="1" applyAlignment="1">
      <alignment vertical="center"/>
    </xf>
    <xf numFmtId="0" fontId="1" fillId="0" borderId="5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0" fillId="0" borderId="5" xfId="0" applyFill="1" applyBorder="1" applyAlignment="1">
      <alignment vertical="center" wrapText="1"/>
    </xf>
    <xf numFmtId="0" fontId="0" fillId="0" borderId="7" xfId="0" applyFill="1" applyBorder="1" applyAlignment="1">
      <alignment vertical="center"/>
    </xf>
    <xf numFmtId="0" fontId="3" fillId="0" borderId="11" xfId="0" applyFont="1" applyFill="1" applyBorder="1" applyAlignment="1">
      <alignment horizontal="center" vertical="center"/>
    </xf>
    <xf numFmtId="14" fontId="0" fillId="0" borderId="13" xfId="0" applyNumberFormat="1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14" fontId="0" fillId="0" borderId="12" xfId="0" applyNumberFormat="1" applyFill="1" applyBorder="1" applyAlignment="1">
      <alignment horizontal="center" vertical="center"/>
    </xf>
    <xf numFmtId="14" fontId="0" fillId="0" borderId="11" xfId="0" applyNumberFormat="1" applyFill="1" applyBorder="1" applyAlignment="1">
      <alignment horizontal="center" vertical="center"/>
    </xf>
    <xf numFmtId="14" fontId="0" fillId="0" borderId="13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opLeftCell="A13" workbookViewId="0">
      <pane xSplit="5" topLeftCell="F1" activePane="topRight" state="frozenSplit"/>
      <selection pane="topRight" activeCell="A35" sqref="A35"/>
    </sheetView>
  </sheetViews>
  <sheetFormatPr defaultRowHeight="12.75" x14ac:dyDescent="0.2"/>
  <cols>
    <col min="1" max="1" width="4.28515625" bestFit="1" customWidth="1"/>
    <col min="2" max="2" width="10.5703125" bestFit="1" customWidth="1"/>
    <col min="3" max="3" width="32.7109375" customWidth="1"/>
    <col min="4" max="4" width="5.85546875" bestFit="1" customWidth="1"/>
    <col min="5" max="5" width="5" bestFit="1" customWidth="1"/>
    <col min="6" max="6" width="10.140625" customWidth="1"/>
    <col min="7" max="7" width="9.140625" style="16"/>
  </cols>
  <sheetData>
    <row r="1" spans="1:7" x14ac:dyDescent="0.2">
      <c r="A1" s="409" t="s">
        <v>118</v>
      </c>
      <c r="B1" s="409"/>
      <c r="C1" s="409"/>
      <c r="D1" s="409"/>
      <c r="E1" s="409"/>
      <c r="F1" s="6" t="s">
        <v>44</v>
      </c>
      <c r="G1" s="10"/>
    </row>
    <row r="2" spans="1:7" x14ac:dyDescent="0.2">
      <c r="A2" s="409" t="s">
        <v>42</v>
      </c>
      <c r="B2" s="409"/>
      <c r="C2" s="409"/>
      <c r="D2" s="409"/>
      <c r="E2" s="409"/>
      <c r="F2" s="2" t="s">
        <v>47</v>
      </c>
      <c r="G2" s="10"/>
    </row>
    <row r="3" spans="1:7" ht="25.5" x14ac:dyDescent="0.2">
      <c r="A3" s="9" t="s">
        <v>1</v>
      </c>
      <c r="B3" s="4" t="s">
        <v>2</v>
      </c>
      <c r="C3" s="4" t="s">
        <v>0</v>
      </c>
      <c r="D3" s="408" t="s">
        <v>3</v>
      </c>
      <c r="E3" s="408"/>
      <c r="F3" s="2"/>
      <c r="G3" s="10"/>
    </row>
    <row r="4" spans="1:7" x14ac:dyDescent="0.2">
      <c r="A4" s="10"/>
      <c r="B4" s="2"/>
      <c r="C4" s="2"/>
      <c r="D4" s="5" t="s">
        <v>4</v>
      </c>
      <c r="E4" s="5" t="s">
        <v>5</v>
      </c>
      <c r="F4" s="1" t="s">
        <v>43</v>
      </c>
      <c r="G4" s="5" t="s">
        <v>136</v>
      </c>
    </row>
    <row r="5" spans="1:7" x14ac:dyDescent="0.2">
      <c r="A5" s="10"/>
      <c r="B5" s="2"/>
      <c r="C5" s="2"/>
      <c r="D5" s="10"/>
      <c r="E5" s="10"/>
      <c r="F5" s="2"/>
      <c r="G5" s="10"/>
    </row>
    <row r="6" spans="1:7" x14ac:dyDescent="0.2">
      <c r="A6" s="10">
        <v>1</v>
      </c>
      <c r="B6" s="1" t="s">
        <v>85</v>
      </c>
      <c r="C6" s="2" t="s">
        <v>6</v>
      </c>
      <c r="D6" s="10">
        <v>100</v>
      </c>
      <c r="E6" s="10">
        <v>2800</v>
      </c>
      <c r="F6" s="2"/>
      <c r="G6" s="10"/>
    </row>
    <row r="7" spans="1:7" x14ac:dyDescent="0.2">
      <c r="A7" s="10">
        <v>2</v>
      </c>
      <c r="B7" s="1" t="s">
        <v>81</v>
      </c>
      <c r="C7" s="2" t="s">
        <v>7</v>
      </c>
      <c r="D7" s="10"/>
      <c r="E7" s="10"/>
      <c r="F7" s="2"/>
      <c r="G7" s="10"/>
    </row>
    <row r="8" spans="1:7" x14ac:dyDescent="0.2">
      <c r="A8" s="10">
        <v>3</v>
      </c>
      <c r="B8" s="1" t="s">
        <v>86</v>
      </c>
      <c r="C8" s="2" t="s">
        <v>8</v>
      </c>
      <c r="D8" s="10">
        <v>50</v>
      </c>
      <c r="E8" s="10">
        <v>1100</v>
      </c>
      <c r="F8" s="2"/>
      <c r="G8" s="10"/>
    </row>
    <row r="9" spans="1:7" x14ac:dyDescent="0.2">
      <c r="A9" s="10">
        <v>4</v>
      </c>
      <c r="B9" s="1" t="s">
        <v>87</v>
      </c>
      <c r="C9" s="2" t="s">
        <v>9</v>
      </c>
      <c r="D9" s="10">
        <v>50</v>
      </c>
      <c r="E9" s="10">
        <v>1000</v>
      </c>
      <c r="F9" s="2"/>
      <c r="G9" s="10"/>
    </row>
    <row r="10" spans="1:7" x14ac:dyDescent="0.2">
      <c r="A10" s="10">
        <v>5</v>
      </c>
      <c r="B10" s="1" t="s">
        <v>82</v>
      </c>
      <c r="C10" s="2" t="s">
        <v>10</v>
      </c>
      <c r="D10" s="10"/>
      <c r="E10" s="10"/>
      <c r="F10" s="2"/>
      <c r="G10" s="10"/>
    </row>
    <row r="11" spans="1:7" x14ac:dyDescent="0.2">
      <c r="A11" s="10">
        <v>6</v>
      </c>
      <c r="B11" s="1" t="s">
        <v>89</v>
      </c>
      <c r="C11" s="2" t="s">
        <v>11</v>
      </c>
      <c r="D11" s="10">
        <v>50</v>
      </c>
      <c r="E11" s="10">
        <v>600</v>
      </c>
      <c r="F11" s="2"/>
      <c r="G11" s="10"/>
    </row>
    <row r="12" spans="1:7" x14ac:dyDescent="0.2">
      <c r="A12" s="10" t="s">
        <v>12</v>
      </c>
      <c r="B12" s="1" t="s">
        <v>79</v>
      </c>
      <c r="C12" s="2" t="s">
        <v>13</v>
      </c>
      <c r="D12" s="10">
        <v>50</v>
      </c>
      <c r="E12" s="10">
        <v>600</v>
      </c>
      <c r="F12" s="2"/>
      <c r="G12" s="10"/>
    </row>
    <row r="13" spans="1:7" x14ac:dyDescent="0.2">
      <c r="A13" s="10">
        <v>7</v>
      </c>
      <c r="B13" s="1" t="s">
        <v>88</v>
      </c>
      <c r="C13" s="2" t="s">
        <v>14</v>
      </c>
      <c r="D13" s="10">
        <v>10</v>
      </c>
      <c r="E13" s="10">
        <v>400</v>
      </c>
      <c r="F13" s="2"/>
      <c r="G13" s="10"/>
    </row>
    <row r="14" spans="1:7" x14ac:dyDescent="0.2">
      <c r="A14" s="10">
        <v>8</v>
      </c>
      <c r="B14" s="1" t="s">
        <v>90</v>
      </c>
      <c r="C14" s="2" t="s">
        <v>15</v>
      </c>
      <c r="D14" s="10">
        <v>10</v>
      </c>
      <c r="E14" s="10">
        <v>400</v>
      </c>
      <c r="F14" s="2"/>
      <c r="G14" s="10"/>
    </row>
    <row r="15" spans="1:7" x14ac:dyDescent="0.2">
      <c r="A15" s="10">
        <v>9</v>
      </c>
      <c r="B15" s="1" t="s">
        <v>91</v>
      </c>
      <c r="C15" s="2" t="s">
        <v>16</v>
      </c>
      <c r="D15" s="10">
        <v>10</v>
      </c>
      <c r="E15" s="10">
        <v>300</v>
      </c>
      <c r="F15" s="2">
        <v>100000</v>
      </c>
      <c r="G15" s="10">
        <v>334</v>
      </c>
    </row>
    <row r="16" spans="1:7" x14ac:dyDescent="0.2">
      <c r="A16" s="10" t="s">
        <v>17</v>
      </c>
      <c r="B16" s="1" t="s">
        <v>80</v>
      </c>
      <c r="C16" s="2" t="s">
        <v>18</v>
      </c>
      <c r="D16" s="10">
        <v>10</v>
      </c>
      <c r="E16" s="10">
        <v>300</v>
      </c>
      <c r="F16" s="2"/>
      <c r="G16" s="10">
        <f t="shared" ref="G16:G35" si="0">F16/E16</f>
        <v>0</v>
      </c>
    </row>
    <row r="17" spans="1:7" x14ac:dyDescent="0.2">
      <c r="A17" s="10">
        <v>10</v>
      </c>
      <c r="B17" s="1" t="s">
        <v>94</v>
      </c>
      <c r="C17" s="2" t="s">
        <v>19</v>
      </c>
      <c r="D17" s="11">
        <v>10</v>
      </c>
      <c r="E17" s="10">
        <v>130</v>
      </c>
      <c r="F17" s="2"/>
      <c r="G17" s="10">
        <f t="shared" si="0"/>
        <v>0</v>
      </c>
    </row>
    <row r="18" spans="1:7" x14ac:dyDescent="0.2">
      <c r="A18" s="10">
        <v>11</v>
      </c>
      <c r="B18" s="1" t="s">
        <v>92</v>
      </c>
      <c r="C18" s="2" t="s">
        <v>20</v>
      </c>
      <c r="D18" s="10">
        <v>10</v>
      </c>
      <c r="E18" s="10">
        <v>110</v>
      </c>
      <c r="F18" s="2"/>
      <c r="G18" s="10">
        <f t="shared" si="0"/>
        <v>0</v>
      </c>
    </row>
    <row r="19" spans="1:7" x14ac:dyDescent="0.2">
      <c r="A19" s="10">
        <v>12</v>
      </c>
      <c r="B19" s="1" t="s">
        <v>95</v>
      </c>
      <c r="C19" s="2" t="s">
        <v>21</v>
      </c>
      <c r="D19" s="10">
        <v>10</v>
      </c>
      <c r="E19" s="10">
        <v>80</v>
      </c>
      <c r="F19" s="2">
        <v>5040</v>
      </c>
      <c r="G19" s="10">
        <f t="shared" si="0"/>
        <v>63</v>
      </c>
    </row>
    <row r="20" spans="1:7" x14ac:dyDescent="0.2">
      <c r="A20" s="10">
        <v>13</v>
      </c>
      <c r="B20" s="1" t="s">
        <v>99</v>
      </c>
      <c r="C20" s="2" t="s">
        <v>22</v>
      </c>
      <c r="D20" s="10">
        <v>100</v>
      </c>
      <c r="E20" s="10">
        <v>1200</v>
      </c>
      <c r="F20" s="2">
        <v>150000</v>
      </c>
      <c r="G20" s="10">
        <f t="shared" si="0"/>
        <v>125</v>
      </c>
    </row>
    <row r="21" spans="1:7" x14ac:dyDescent="0.2">
      <c r="A21" s="10">
        <v>14</v>
      </c>
      <c r="B21" s="1" t="s">
        <v>102</v>
      </c>
      <c r="C21" s="2" t="s">
        <v>23</v>
      </c>
      <c r="D21" s="10">
        <v>100</v>
      </c>
      <c r="E21" s="10">
        <v>1000</v>
      </c>
      <c r="F21" s="2">
        <v>58400</v>
      </c>
      <c r="G21" s="10">
        <v>59</v>
      </c>
    </row>
    <row r="22" spans="1:7" x14ac:dyDescent="0.2">
      <c r="A22" s="10">
        <v>15</v>
      </c>
      <c r="B22" s="1" t="s">
        <v>97</v>
      </c>
      <c r="C22" s="2" t="s">
        <v>24</v>
      </c>
      <c r="D22" s="10">
        <v>50</v>
      </c>
      <c r="E22" s="10">
        <v>2800</v>
      </c>
      <c r="F22" s="2"/>
      <c r="G22" s="10">
        <f t="shared" si="0"/>
        <v>0</v>
      </c>
    </row>
    <row r="23" spans="1:7" x14ac:dyDescent="0.2">
      <c r="A23" s="10">
        <v>16</v>
      </c>
      <c r="B23" s="1" t="s">
        <v>98</v>
      </c>
      <c r="C23" s="2" t="s">
        <v>25</v>
      </c>
      <c r="D23" s="10">
        <v>50</v>
      </c>
      <c r="E23" s="10">
        <v>550</v>
      </c>
      <c r="F23" s="2"/>
      <c r="G23" s="10">
        <f t="shared" si="0"/>
        <v>0</v>
      </c>
    </row>
    <row r="24" spans="1:7" x14ac:dyDescent="0.2">
      <c r="A24" s="10">
        <v>17</v>
      </c>
      <c r="B24" s="1" t="s">
        <v>83</v>
      </c>
      <c r="C24" s="2" t="s">
        <v>26</v>
      </c>
      <c r="D24" s="10">
        <v>10</v>
      </c>
      <c r="E24" s="10">
        <v>330</v>
      </c>
      <c r="F24" s="2"/>
      <c r="G24" s="10">
        <f t="shared" si="0"/>
        <v>0</v>
      </c>
    </row>
    <row r="25" spans="1:7" x14ac:dyDescent="0.2">
      <c r="A25" s="10">
        <v>18</v>
      </c>
      <c r="B25" s="1" t="s">
        <v>84</v>
      </c>
      <c r="C25" s="2" t="s">
        <v>27</v>
      </c>
      <c r="D25" s="10">
        <v>10</v>
      </c>
      <c r="E25" s="10">
        <v>270</v>
      </c>
      <c r="F25" s="2"/>
      <c r="G25" s="10">
        <f t="shared" si="0"/>
        <v>0</v>
      </c>
    </row>
    <row r="26" spans="1:7" x14ac:dyDescent="0.2">
      <c r="A26" s="10" t="s">
        <v>28</v>
      </c>
      <c r="B26" s="5">
        <v>90447000</v>
      </c>
      <c r="C26" s="2" t="s">
        <v>29</v>
      </c>
      <c r="D26" s="10">
        <v>10</v>
      </c>
      <c r="E26" s="10">
        <v>270</v>
      </c>
      <c r="F26" s="2"/>
      <c r="G26" s="10">
        <f t="shared" si="0"/>
        <v>0</v>
      </c>
    </row>
    <row r="27" spans="1:7" x14ac:dyDescent="0.2">
      <c r="A27" s="10">
        <v>19</v>
      </c>
      <c r="B27" s="1" t="s">
        <v>30</v>
      </c>
      <c r="C27" s="2" t="s">
        <v>31</v>
      </c>
      <c r="D27" s="10">
        <v>10</v>
      </c>
      <c r="E27" s="10">
        <v>230</v>
      </c>
      <c r="F27" s="2"/>
      <c r="G27" s="10">
        <f t="shared" si="0"/>
        <v>0</v>
      </c>
    </row>
    <row r="28" spans="1:7" x14ac:dyDescent="0.2">
      <c r="A28" s="10" t="s">
        <v>32</v>
      </c>
      <c r="B28" s="5">
        <v>90442300</v>
      </c>
      <c r="C28" s="2" t="s">
        <v>33</v>
      </c>
      <c r="D28" s="10">
        <v>10</v>
      </c>
      <c r="E28" s="10">
        <v>230</v>
      </c>
      <c r="F28" s="2"/>
      <c r="G28" s="10">
        <f t="shared" si="0"/>
        <v>0</v>
      </c>
    </row>
    <row r="29" spans="1:7" x14ac:dyDescent="0.2">
      <c r="A29" s="10">
        <v>20</v>
      </c>
      <c r="B29" s="1" t="s">
        <v>93</v>
      </c>
      <c r="C29" s="2" t="s">
        <v>34</v>
      </c>
      <c r="D29" s="10">
        <v>5</v>
      </c>
      <c r="E29" s="10">
        <v>75</v>
      </c>
      <c r="F29" s="2"/>
      <c r="G29" s="10">
        <f t="shared" si="0"/>
        <v>0</v>
      </c>
    </row>
    <row r="30" spans="1:7" x14ac:dyDescent="0.2">
      <c r="A30" s="10">
        <v>21</v>
      </c>
      <c r="B30" s="1" t="s">
        <v>35</v>
      </c>
      <c r="C30" s="2" t="s">
        <v>36</v>
      </c>
      <c r="D30" s="10">
        <v>5</v>
      </c>
      <c r="E30" s="10">
        <v>50</v>
      </c>
      <c r="F30" s="2"/>
      <c r="G30" s="10">
        <f t="shared" si="0"/>
        <v>0</v>
      </c>
    </row>
    <row r="31" spans="1:7" x14ac:dyDescent="0.2">
      <c r="A31" s="10">
        <v>22</v>
      </c>
      <c r="B31" s="1" t="s">
        <v>101</v>
      </c>
      <c r="C31" s="2" t="s">
        <v>37</v>
      </c>
      <c r="D31" s="10">
        <v>50</v>
      </c>
      <c r="E31" s="10">
        <v>600</v>
      </c>
      <c r="F31" s="2"/>
      <c r="G31" s="10">
        <f t="shared" si="0"/>
        <v>0</v>
      </c>
    </row>
    <row r="32" spans="1:7" x14ac:dyDescent="0.2">
      <c r="A32" s="10">
        <v>23</v>
      </c>
      <c r="B32" s="1" t="s">
        <v>103</v>
      </c>
      <c r="C32" s="2" t="s">
        <v>38</v>
      </c>
      <c r="D32" s="10">
        <v>50</v>
      </c>
      <c r="E32" s="10">
        <v>2000</v>
      </c>
      <c r="F32" s="2"/>
      <c r="G32" s="10">
        <f t="shared" si="0"/>
        <v>0</v>
      </c>
    </row>
    <row r="33" spans="1:7" x14ac:dyDescent="0.2">
      <c r="A33" s="10">
        <v>24</v>
      </c>
      <c r="B33" s="1" t="s">
        <v>54</v>
      </c>
      <c r="C33" s="2" t="s">
        <v>39</v>
      </c>
      <c r="D33" s="10">
        <v>100</v>
      </c>
      <c r="E33" s="10">
        <v>2000</v>
      </c>
      <c r="F33" s="2"/>
      <c r="G33" s="10">
        <f t="shared" si="0"/>
        <v>0</v>
      </c>
    </row>
    <row r="34" spans="1:7" x14ac:dyDescent="0.2">
      <c r="A34" s="10">
        <v>25</v>
      </c>
      <c r="B34" s="1" t="s">
        <v>100</v>
      </c>
      <c r="C34" s="2" t="s">
        <v>40</v>
      </c>
      <c r="D34" s="10">
        <v>50</v>
      </c>
      <c r="E34" s="10">
        <v>1750</v>
      </c>
      <c r="F34" s="2"/>
      <c r="G34" s="10">
        <f t="shared" si="0"/>
        <v>0</v>
      </c>
    </row>
    <row r="35" spans="1:7" x14ac:dyDescent="0.2">
      <c r="A35" s="10">
        <v>26</v>
      </c>
      <c r="B35" s="1" t="s">
        <v>96</v>
      </c>
      <c r="C35" s="2" t="s">
        <v>41</v>
      </c>
      <c r="D35" s="10">
        <v>50</v>
      </c>
      <c r="E35" s="10">
        <v>800</v>
      </c>
      <c r="F35" s="2"/>
      <c r="G35" s="10">
        <f t="shared" si="0"/>
        <v>0</v>
      </c>
    </row>
    <row r="36" spans="1:7" x14ac:dyDescent="0.2">
      <c r="A36" s="2"/>
      <c r="B36" s="2"/>
      <c r="C36" s="2"/>
      <c r="D36" s="410" t="s">
        <v>135</v>
      </c>
      <c r="E36" s="411"/>
      <c r="F36" s="2">
        <f>SUM(F6:F35)</f>
        <v>313440</v>
      </c>
      <c r="G36" s="10">
        <f>SUM(G15:G35)</f>
        <v>581</v>
      </c>
    </row>
  </sheetData>
  <autoFilter ref="B3:B35"/>
  <mergeCells count="4">
    <mergeCell ref="D3:E3"/>
    <mergeCell ref="A1:E1"/>
    <mergeCell ref="A2:E2"/>
    <mergeCell ref="D36:E36"/>
  </mergeCells>
  <phoneticPr fontId="0" type="noConversion"/>
  <pageMargins left="0.5" right="0.5" top="0.5" bottom="0.5" header="0" footer="0"/>
  <pageSetup paperSize="9" orientation="landscape" horizontalDpi="4294967295" verticalDpi="18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opLeftCell="A16" workbookViewId="0">
      <pane xSplit="5" topLeftCell="F1" activePane="topRight" state="frozenSplit"/>
      <selection pane="topRight" activeCell="G6" sqref="G6"/>
    </sheetView>
  </sheetViews>
  <sheetFormatPr defaultRowHeight="12.75" x14ac:dyDescent="0.2"/>
  <cols>
    <col min="1" max="1" width="4.28515625" bestFit="1" customWidth="1"/>
    <col min="2" max="2" width="10.5703125" bestFit="1" customWidth="1"/>
    <col min="3" max="3" width="32.7109375" customWidth="1"/>
    <col min="4" max="4" width="5.85546875" bestFit="1" customWidth="1"/>
    <col min="5" max="5" width="5" bestFit="1" customWidth="1"/>
    <col min="6" max="7" width="10.140625" bestFit="1" customWidth="1"/>
    <col min="9" max="9" width="7.42578125" bestFit="1" customWidth="1"/>
  </cols>
  <sheetData>
    <row r="1" spans="1:9" x14ac:dyDescent="0.2">
      <c r="A1" s="409" t="s">
        <v>119</v>
      </c>
      <c r="B1" s="409"/>
      <c r="C1" s="409"/>
      <c r="D1" s="409"/>
      <c r="E1" s="409"/>
      <c r="F1" s="7" t="s">
        <v>45</v>
      </c>
      <c r="G1" s="7" t="s">
        <v>52</v>
      </c>
      <c r="H1" s="408" t="s">
        <v>138</v>
      </c>
      <c r="I1" s="408"/>
    </row>
    <row r="2" spans="1:9" x14ac:dyDescent="0.2">
      <c r="A2" s="409" t="s">
        <v>42</v>
      </c>
      <c r="B2" s="409"/>
      <c r="C2" s="409"/>
      <c r="D2" s="409"/>
      <c r="E2" s="409"/>
      <c r="F2" s="2" t="s">
        <v>46</v>
      </c>
      <c r="G2" s="2" t="s">
        <v>53</v>
      </c>
      <c r="H2" s="2"/>
      <c r="I2" s="2"/>
    </row>
    <row r="3" spans="1:9" ht="25.5" x14ac:dyDescent="0.2">
      <c r="A3" s="9" t="s">
        <v>1</v>
      </c>
      <c r="B3" s="4" t="s">
        <v>2</v>
      </c>
      <c r="C3" s="4" t="s">
        <v>0</v>
      </c>
      <c r="D3" s="408" t="s">
        <v>3</v>
      </c>
      <c r="E3" s="408"/>
      <c r="F3" s="2"/>
      <c r="G3" s="2"/>
      <c r="H3" s="2"/>
      <c r="I3" s="2"/>
    </row>
    <row r="4" spans="1:9" x14ac:dyDescent="0.2">
      <c r="A4" s="10"/>
      <c r="B4" s="2"/>
      <c r="C4" s="2"/>
      <c r="D4" s="5" t="s">
        <v>4</v>
      </c>
      <c r="E4" s="5" t="s">
        <v>5</v>
      </c>
      <c r="F4" s="1" t="s">
        <v>43</v>
      </c>
      <c r="G4" s="1" t="s">
        <v>43</v>
      </c>
      <c r="H4" s="1" t="s">
        <v>43</v>
      </c>
      <c r="I4" s="1" t="s">
        <v>136</v>
      </c>
    </row>
    <row r="5" spans="1:9" x14ac:dyDescent="0.2">
      <c r="A5" s="10"/>
      <c r="B5" s="2"/>
      <c r="C5" s="2"/>
      <c r="D5" s="10"/>
      <c r="E5" s="10"/>
      <c r="F5" s="2"/>
      <c r="G5" s="2"/>
      <c r="H5" s="2"/>
      <c r="I5" s="2"/>
    </row>
    <row r="6" spans="1:9" x14ac:dyDescent="0.2">
      <c r="A6" s="10">
        <v>1</v>
      </c>
      <c r="B6" s="1" t="s">
        <v>85</v>
      </c>
      <c r="C6" s="2" t="s">
        <v>6</v>
      </c>
      <c r="D6" s="10">
        <v>100</v>
      </c>
      <c r="E6" s="10">
        <v>2800</v>
      </c>
      <c r="F6" s="2"/>
      <c r="G6" s="2">
        <v>11200</v>
      </c>
      <c r="H6" s="2">
        <f>SUM(F6:G6)</f>
        <v>11200</v>
      </c>
      <c r="I6" s="10">
        <f>H6/E6</f>
        <v>4</v>
      </c>
    </row>
    <row r="7" spans="1:9" x14ac:dyDescent="0.2">
      <c r="A7" s="10">
        <v>2</v>
      </c>
      <c r="B7" s="1" t="s">
        <v>81</v>
      </c>
      <c r="C7" s="2" t="s">
        <v>7</v>
      </c>
      <c r="D7" s="10">
        <v>100</v>
      </c>
      <c r="E7" s="10">
        <v>2500</v>
      </c>
      <c r="F7" s="2"/>
      <c r="G7" s="2"/>
      <c r="H7" s="2">
        <f t="shared" ref="H7:H35" si="0">SUM(F7:G7)</f>
        <v>0</v>
      </c>
      <c r="I7" s="10">
        <f t="shared" ref="I7:I35" si="1">H7/E7</f>
        <v>0</v>
      </c>
    </row>
    <row r="8" spans="1:9" x14ac:dyDescent="0.2">
      <c r="A8" s="10">
        <v>3</v>
      </c>
      <c r="B8" s="1" t="s">
        <v>86</v>
      </c>
      <c r="C8" s="2" t="s">
        <v>8</v>
      </c>
      <c r="D8" s="10">
        <v>50</v>
      </c>
      <c r="E8" s="10">
        <v>1100</v>
      </c>
      <c r="F8" s="2">
        <v>44000</v>
      </c>
      <c r="G8" s="2"/>
      <c r="H8" s="2">
        <f t="shared" si="0"/>
        <v>44000</v>
      </c>
      <c r="I8" s="10">
        <f t="shared" si="1"/>
        <v>40</v>
      </c>
    </row>
    <row r="9" spans="1:9" x14ac:dyDescent="0.2">
      <c r="A9" s="10">
        <v>4</v>
      </c>
      <c r="B9" s="1" t="s">
        <v>87</v>
      </c>
      <c r="C9" s="2" t="s">
        <v>9</v>
      </c>
      <c r="D9" s="10">
        <v>50</v>
      </c>
      <c r="E9" s="10">
        <v>1000</v>
      </c>
      <c r="F9" s="2">
        <v>32000</v>
      </c>
      <c r="G9" s="2">
        <v>3600</v>
      </c>
      <c r="H9" s="2">
        <f t="shared" si="0"/>
        <v>35600</v>
      </c>
      <c r="I9" s="10">
        <v>36</v>
      </c>
    </row>
    <row r="10" spans="1:9" x14ac:dyDescent="0.2">
      <c r="A10" s="10">
        <v>5</v>
      </c>
      <c r="B10" s="1" t="s">
        <v>82</v>
      </c>
      <c r="C10" s="2" t="s">
        <v>10</v>
      </c>
      <c r="D10" s="10">
        <v>50</v>
      </c>
      <c r="E10" s="10">
        <v>800</v>
      </c>
      <c r="F10" s="2"/>
      <c r="G10" s="2"/>
      <c r="H10" s="2">
        <f t="shared" si="0"/>
        <v>0</v>
      </c>
      <c r="I10" s="10">
        <f t="shared" si="1"/>
        <v>0</v>
      </c>
    </row>
    <row r="11" spans="1:9" x14ac:dyDescent="0.2">
      <c r="A11" s="10">
        <v>6</v>
      </c>
      <c r="B11" s="1" t="s">
        <v>89</v>
      </c>
      <c r="C11" s="2" t="s">
        <v>11</v>
      </c>
      <c r="D11" s="10">
        <v>50</v>
      </c>
      <c r="E11" s="10">
        <v>600</v>
      </c>
      <c r="F11" s="2">
        <v>48000</v>
      </c>
      <c r="G11" s="2"/>
      <c r="H11" s="2">
        <f t="shared" si="0"/>
        <v>48000</v>
      </c>
      <c r="I11" s="10">
        <f t="shared" si="1"/>
        <v>80</v>
      </c>
    </row>
    <row r="12" spans="1:9" x14ac:dyDescent="0.2">
      <c r="A12" s="10" t="s">
        <v>12</v>
      </c>
      <c r="B12" s="1" t="s">
        <v>79</v>
      </c>
      <c r="C12" s="2" t="s">
        <v>13</v>
      </c>
      <c r="D12" s="10">
        <v>50</v>
      </c>
      <c r="E12" s="10">
        <v>600</v>
      </c>
      <c r="F12" s="2"/>
      <c r="G12" s="2"/>
      <c r="H12" s="2">
        <f t="shared" si="0"/>
        <v>0</v>
      </c>
      <c r="I12" s="10">
        <f t="shared" si="1"/>
        <v>0</v>
      </c>
    </row>
    <row r="13" spans="1:9" x14ac:dyDescent="0.2">
      <c r="A13" s="10">
        <v>7</v>
      </c>
      <c r="B13" s="1" t="s">
        <v>88</v>
      </c>
      <c r="C13" s="2" t="s">
        <v>14</v>
      </c>
      <c r="D13" s="10">
        <v>10</v>
      </c>
      <c r="E13" s="10">
        <v>400</v>
      </c>
      <c r="F13" s="2">
        <v>19200</v>
      </c>
      <c r="G13" s="2">
        <v>9200</v>
      </c>
      <c r="H13" s="2">
        <f t="shared" si="0"/>
        <v>28400</v>
      </c>
      <c r="I13" s="10">
        <f t="shared" si="1"/>
        <v>71</v>
      </c>
    </row>
    <row r="14" spans="1:9" x14ac:dyDescent="0.2">
      <c r="A14" s="10">
        <v>8</v>
      </c>
      <c r="B14" s="1" t="s">
        <v>90</v>
      </c>
      <c r="C14" s="2" t="s">
        <v>15</v>
      </c>
      <c r="D14" s="10">
        <v>10</v>
      </c>
      <c r="E14" s="10">
        <v>400</v>
      </c>
      <c r="F14" s="2">
        <v>34400</v>
      </c>
      <c r="G14" s="2">
        <v>40000</v>
      </c>
      <c r="H14" s="2">
        <f t="shared" si="0"/>
        <v>74400</v>
      </c>
      <c r="I14" s="10">
        <f t="shared" si="1"/>
        <v>186</v>
      </c>
    </row>
    <row r="15" spans="1:9" x14ac:dyDescent="0.2">
      <c r="A15" s="10">
        <v>9</v>
      </c>
      <c r="B15" s="1" t="s">
        <v>91</v>
      </c>
      <c r="C15" s="2" t="s">
        <v>16</v>
      </c>
      <c r="D15" s="10">
        <v>10</v>
      </c>
      <c r="E15" s="10">
        <v>300</v>
      </c>
      <c r="F15" s="2"/>
      <c r="G15" s="2">
        <v>60500</v>
      </c>
      <c r="H15" s="2">
        <f t="shared" si="0"/>
        <v>60500</v>
      </c>
      <c r="I15" s="10">
        <v>202</v>
      </c>
    </row>
    <row r="16" spans="1:9" x14ac:dyDescent="0.2">
      <c r="A16" s="10" t="s">
        <v>17</v>
      </c>
      <c r="B16" s="1" t="s">
        <v>80</v>
      </c>
      <c r="C16" s="2" t="s">
        <v>18</v>
      </c>
      <c r="D16" s="10">
        <v>10</v>
      </c>
      <c r="E16" s="10">
        <v>300</v>
      </c>
      <c r="F16" s="2"/>
      <c r="G16" s="2"/>
      <c r="H16" s="2">
        <f t="shared" si="0"/>
        <v>0</v>
      </c>
      <c r="I16" s="10">
        <f t="shared" si="1"/>
        <v>0</v>
      </c>
    </row>
    <row r="17" spans="1:9" x14ac:dyDescent="0.2">
      <c r="A17" s="10">
        <v>10</v>
      </c>
      <c r="B17" s="1" t="s">
        <v>94</v>
      </c>
      <c r="C17" s="2" t="s">
        <v>19</v>
      </c>
      <c r="D17" s="11">
        <v>10</v>
      </c>
      <c r="E17" s="10">
        <v>130</v>
      </c>
      <c r="F17" s="2">
        <v>5070</v>
      </c>
      <c r="G17" s="2"/>
      <c r="H17" s="2">
        <f t="shared" si="0"/>
        <v>5070</v>
      </c>
      <c r="I17" s="10">
        <f t="shared" si="1"/>
        <v>39</v>
      </c>
    </row>
    <row r="18" spans="1:9" x14ac:dyDescent="0.2">
      <c r="A18" s="10">
        <v>11</v>
      </c>
      <c r="B18" s="1" t="s">
        <v>92</v>
      </c>
      <c r="C18" s="2" t="s">
        <v>20</v>
      </c>
      <c r="D18" s="10">
        <v>10</v>
      </c>
      <c r="E18" s="10">
        <v>110</v>
      </c>
      <c r="F18" s="2">
        <v>18040</v>
      </c>
      <c r="G18" s="2"/>
      <c r="H18" s="2">
        <f t="shared" si="0"/>
        <v>18040</v>
      </c>
      <c r="I18" s="10">
        <f t="shared" si="1"/>
        <v>164</v>
      </c>
    </row>
    <row r="19" spans="1:9" x14ac:dyDescent="0.2">
      <c r="A19" s="10">
        <v>12</v>
      </c>
      <c r="B19" s="1" t="s">
        <v>95</v>
      </c>
      <c r="C19" s="2" t="s">
        <v>21</v>
      </c>
      <c r="D19" s="10">
        <v>10</v>
      </c>
      <c r="E19" s="10">
        <v>80</v>
      </c>
      <c r="F19" s="2"/>
      <c r="G19" s="2">
        <v>6400</v>
      </c>
      <c r="H19" s="2">
        <f t="shared" si="0"/>
        <v>6400</v>
      </c>
      <c r="I19" s="10">
        <f t="shared" si="1"/>
        <v>80</v>
      </c>
    </row>
    <row r="20" spans="1:9" x14ac:dyDescent="0.2">
      <c r="A20" s="10">
        <v>13</v>
      </c>
      <c r="B20" s="1" t="s">
        <v>99</v>
      </c>
      <c r="C20" s="2" t="s">
        <v>22</v>
      </c>
      <c r="D20" s="10">
        <v>100</v>
      </c>
      <c r="E20" s="10">
        <v>1200</v>
      </c>
      <c r="F20" s="2"/>
      <c r="G20" s="2">
        <v>54000</v>
      </c>
      <c r="H20" s="2">
        <f t="shared" si="0"/>
        <v>54000</v>
      </c>
      <c r="I20" s="10">
        <f t="shared" si="1"/>
        <v>45</v>
      </c>
    </row>
    <row r="21" spans="1:9" x14ac:dyDescent="0.2">
      <c r="A21" s="10">
        <v>14</v>
      </c>
      <c r="B21" s="1" t="s">
        <v>102</v>
      </c>
      <c r="C21" s="2" t="s">
        <v>23</v>
      </c>
      <c r="D21" s="10">
        <v>100</v>
      </c>
      <c r="E21" s="10">
        <v>1000</v>
      </c>
      <c r="F21" s="2"/>
      <c r="G21" s="2"/>
      <c r="H21" s="2">
        <f t="shared" si="0"/>
        <v>0</v>
      </c>
      <c r="I21" s="10">
        <f t="shared" si="1"/>
        <v>0</v>
      </c>
    </row>
    <row r="22" spans="1:9" x14ac:dyDescent="0.2">
      <c r="A22" s="10">
        <v>15</v>
      </c>
      <c r="B22" s="1" t="s">
        <v>97</v>
      </c>
      <c r="C22" s="2" t="s">
        <v>24</v>
      </c>
      <c r="D22" s="10">
        <v>50</v>
      </c>
      <c r="E22" s="10">
        <v>2800</v>
      </c>
      <c r="F22" s="2"/>
      <c r="G22" s="2">
        <v>5600</v>
      </c>
      <c r="H22" s="2">
        <f t="shared" si="0"/>
        <v>5600</v>
      </c>
      <c r="I22" s="10">
        <f t="shared" si="1"/>
        <v>2</v>
      </c>
    </row>
    <row r="23" spans="1:9" x14ac:dyDescent="0.2">
      <c r="A23" s="10">
        <v>16</v>
      </c>
      <c r="B23" s="1" t="s">
        <v>98</v>
      </c>
      <c r="C23" s="2" t="s">
        <v>25</v>
      </c>
      <c r="D23" s="10">
        <v>50</v>
      </c>
      <c r="E23" s="10">
        <v>550</v>
      </c>
      <c r="F23" s="2"/>
      <c r="G23" s="2"/>
      <c r="H23" s="2">
        <f t="shared" si="0"/>
        <v>0</v>
      </c>
      <c r="I23" s="10">
        <f t="shared" si="1"/>
        <v>0</v>
      </c>
    </row>
    <row r="24" spans="1:9" x14ac:dyDescent="0.2">
      <c r="A24" s="10">
        <v>17</v>
      </c>
      <c r="B24" s="1" t="s">
        <v>83</v>
      </c>
      <c r="C24" s="2" t="s">
        <v>26</v>
      </c>
      <c r="D24" s="10">
        <v>10</v>
      </c>
      <c r="E24" s="10">
        <v>330</v>
      </c>
      <c r="F24" s="2"/>
      <c r="G24" s="2"/>
      <c r="H24" s="2">
        <f t="shared" si="0"/>
        <v>0</v>
      </c>
      <c r="I24" s="10">
        <f t="shared" si="1"/>
        <v>0</v>
      </c>
    </row>
    <row r="25" spans="1:9" x14ac:dyDescent="0.2">
      <c r="A25" s="10">
        <v>18</v>
      </c>
      <c r="B25" s="1" t="s">
        <v>84</v>
      </c>
      <c r="C25" s="2" t="s">
        <v>27</v>
      </c>
      <c r="D25" s="10">
        <v>10</v>
      </c>
      <c r="E25" s="10">
        <v>270</v>
      </c>
      <c r="F25" s="2"/>
      <c r="G25" s="2"/>
      <c r="H25" s="2">
        <f t="shared" si="0"/>
        <v>0</v>
      </c>
      <c r="I25" s="10">
        <f t="shared" si="1"/>
        <v>0</v>
      </c>
    </row>
    <row r="26" spans="1:9" x14ac:dyDescent="0.2">
      <c r="A26" s="10" t="s">
        <v>28</v>
      </c>
      <c r="B26" s="5">
        <v>90447000</v>
      </c>
      <c r="C26" s="2" t="s">
        <v>29</v>
      </c>
      <c r="D26" s="10">
        <v>10</v>
      </c>
      <c r="E26" s="10">
        <v>270</v>
      </c>
      <c r="F26" s="2"/>
      <c r="G26" s="2"/>
      <c r="H26" s="2">
        <f t="shared" si="0"/>
        <v>0</v>
      </c>
      <c r="I26" s="10">
        <f t="shared" si="1"/>
        <v>0</v>
      </c>
    </row>
    <row r="27" spans="1:9" x14ac:dyDescent="0.2">
      <c r="A27" s="10">
        <v>19</v>
      </c>
      <c r="B27" s="1" t="s">
        <v>30</v>
      </c>
      <c r="C27" s="2" t="s">
        <v>31</v>
      </c>
      <c r="D27" s="10">
        <v>10</v>
      </c>
      <c r="E27" s="10">
        <v>230</v>
      </c>
      <c r="F27" s="2"/>
      <c r="G27" s="2"/>
      <c r="H27" s="2">
        <f t="shared" si="0"/>
        <v>0</v>
      </c>
      <c r="I27" s="10">
        <f t="shared" si="1"/>
        <v>0</v>
      </c>
    </row>
    <row r="28" spans="1:9" x14ac:dyDescent="0.2">
      <c r="A28" s="10" t="s">
        <v>32</v>
      </c>
      <c r="B28" s="5">
        <v>90442300</v>
      </c>
      <c r="C28" s="2" t="s">
        <v>33</v>
      </c>
      <c r="D28" s="10">
        <v>10</v>
      </c>
      <c r="E28" s="10">
        <v>230</v>
      </c>
      <c r="F28" s="2"/>
      <c r="G28" s="2"/>
      <c r="H28" s="2">
        <f t="shared" si="0"/>
        <v>0</v>
      </c>
      <c r="I28" s="10">
        <f t="shared" si="1"/>
        <v>0</v>
      </c>
    </row>
    <row r="29" spans="1:9" x14ac:dyDescent="0.2">
      <c r="A29" s="10">
        <v>20</v>
      </c>
      <c r="B29" s="1" t="s">
        <v>93</v>
      </c>
      <c r="C29" s="2" t="s">
        <v>34</v>
      </c>
      <c r="D29" s="10">
        <v>5</v>
      </c>
      <c r="E29" s="10">
        <v>75</v>
      </c>
      <c r="F29" s="2"/>
      <c r="G29" s="2"/>
      <c r="H29" s="2">
        <f t="shared" si="0"/>
        <v>0</v>
      </c>
      <c r="I29" s="10">
        <f t="shared" si="1"/>
        <v>0</v>
      </c>
    </row>
    <row r="30" spans="1:9" x14ac:dyDescent="0.2">
      <c r="A30" s="10">
        <v>21</v>
      </c>
      <c r="B30" s="1" t="s">
        <v>35</v>
      </c>
      <c r="C30" s="2" t="s">
        <v>36</v>
      </c>
      <c r="D30" s="10">
        <v>5</v>
      </c>
      <c r="E30" s="10">
        <v>50</v>
      </c>
      <c r="F30" s="2"/>
      <c r="G30" s="2"/>
      <c r="H30" s="2">
        <f t="shared" si="0"/>
        <v>0</v>
      </c>
      <c r="I30" s="10">
        <f t="shared" si="1"/>
        <v>0</v>
      </c>
    </row>
    <row r="31" spans="1:9" x14ac:dyDescent="0.2">
      <c r="A31" s="10">
        <v>22</v>
      </c>
      <c r="B31" s="1" t="s">
        <v>101</v>
      </c>
      <c r="C31" s="2" t="s">
        <v>37</v>
      </c>
      <c r="D31" s="10">
        <v>50</v>
      </c>
      <c r="E31" s="10">
        <v>600</v>
      </c>
      <c r="F31" s="2"/>
      <c r="G31" s="2"/>
      <c r="H31" s="2">
        <f t="shared" si="0"/>
        <v>0</v>
      </c>
      <c r="I31" s="10">
        <f t="shared" si="1"/>
        <v>0</v>
      </c>
    </row>
    <row r="32" spans="1:9" x14ac:dyDescent="0.2">
      <c r="A32" s="10">
        <v>23</v>
      </c>
      <c r="B32" s="1" t="s">
        <v>103</v>
      </c>
      <c r="C32" s="2" t="s">
        <v>38</v>
      </c>
      <c r="D32" s="10">
        <v>50</v>
      </c>
      <c r="E32" s="10">
        <v>2000</v>
      </c>
      <c r="F32" s="2"/>
      <c r="G32" s="2"/>
      <c r="H32" s="2">
        <f t="shared" si="0"/>
        <v>0</v>
      </c>
      <c r="I32" s="10">
        <f t="shared" si="1"/>
        <v>0</v>
      </c>
    </row>
    <row r="33" spans="1:9" x14ac:dyDescent="0.2">
      <c r="A33" s="10">
        <v>24</v>
      </c>
      <c r="B33" s="1" t="s">
        <v>54</v>
      </c>
      <c r="C33" s="2" t="s">
        <v>39</v>
      </c>
      <c r="D33" s="10">
        <v>100</v>
      </c>
      <c r="E33" s="10">
        <v>2000</v>
      </c>
      <c r="F33" s="2"/>
      <c r="G33" s="2"/>
      <c r="H33" s="2">
        <f t="shared" si="0"/>
        <v>0</v>
      </c>
      <c r="I33" s="10">
        <f t="shared" si="1"/>
        <v>0</v>
      </c>
    </row>
    <row r="34" spans="1:9" x14ac:dyDescent="0.2">
      <c r="A34" s="10">
        <v>25</v>
      </c>
      <c r="B34" s="1" t="s">
        <v>100</v>
      </c>
      <c r="C34" s="2" t="s">
        <v>40</v>
      </c>
      <c r="D34" s="10">
        <v>50</v>
      </c>
      <c r="E34" s="10">
        <v>1750</v>
      </c>
      <c r="F34" s="2"/>
      <c r="G34" s="2"/>
      <c r="H34" s="2">
        <f t="shared" si="0"/>
        <v>0</v>
      </c>
      <c r="I34" s="10">
        <f t="shared" si="1"/>
        <v>0</v>
      </c>
    </row>
    <row r="35" spans="1:9" x14ac:dyDescent="0.2">
      <c r="A35" s="10">
        <v>26</v>
      </c>
      <c r="B35" s="1" t="s">
        <v>96</v>
      </c>
      <c r="C35" s="2" t="s">
        <v>41</v>
      </c>
      <c r="D35" s="10">
        <v>50</v>
      </c>
      <c r="E35" s="10">
        <v>800</v>
      </c>
      <c r="F35" s="2"/>
      <c r="G35" s="2"/>
      <c r="H35" s="2">
        <f t="shared" si="0"/>
        <v>0</v>
      </c>
      <c r="I35" s="10">
        <f t="shared" si="1"/>
        <v>0</v>
      </c>
    </row>
    <row r="36" spans="1:9" x14ac:dyDescent="0.2">
      <c r="A36" s="2"/>
      <c r="B36" s="2"/>
      <c r="C36" s="2"/>
      <c r="D36" s="409" t="s">
        <v>138</v>
      </c>
      <c r="E36" s="409"/>
      <c r="F36" s="2">
        <f>SUM(F6:F35)</f>
        <v>200710</v>
      </c>
      <c r="G36" s="2">
        <f>SUM(G6:G35)</f>
        <v>190500</v>
      </c>
      <c r="H36" s="3">
        <f>SUM(H6:H35)</f>
        <v>391210</v>
      </c>
      <c r="I36" s="10">
        <f>SUM(I6:I35)</f>
        <v>949</v>
      </c>
    </row>
  </sheetData>
  <autoFilter ref="B3:B35"/>
  <mergeCells count="5">
    <mergeCell ref="H1:I1"/>
    <mergeCell ref="D36:E36"/>
    <mergeCell ref="D3:E3"/>
    <mergeCell ref="A1:E1"/>
    <mergeCell ref="A2:E2"/>
  </mergeCells>
  <phoneticPr fontId="0" type="noConversion"/>
  <pageMargins left="0.5" right="0.5" top="0.5" bottom="0.5" header="0" footer="0"/>
  <pageSetup paperSize="9" orientation="landscape" horizontalDpi="4294967295" verticalDpi="18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opLeftCell="A16" workbookViewId="0">
      <pane xSplit="5" topLeftCell="F1" activePane="topRight" state="frozenSplit"/>
      <selection pane="topRight" activeCell="B37" sqref="B37"/>
    </sheetView>
  </sheetViews>
  <sheetFormatPr defaultRowHeight="12.75" x14ac:dyDescent="0.2"/>
  <cols>
    <col min="1" max="1" width="4.28515625" bestFit="1" customWidth="1"/>
    <col min="2" max="2" width="10.5703125" bestFit="1" customWidth="1"/>
    <col min="3" max="3" width="32.7109375" customWidth="1"/>
    <col min="4" max="4" width="5.85546875" bestFit="1" customWidth="1"/>
    <col min="5" max="5" width="5" bestFit="1" customWidth="1"/>
    <col min="6" max="10" width="10.140625" customWidth="1"/>
    <col min="11" max="11" width="11.42578125" customWidth="1"/>
    <col min="12" max="12" width="9.85546875" bestFit="1" customWidth="1"/>
    <col min="13" max="13" width="7.5703125" bestFit="1" customWidth="1"/>
  </cols>
  <sheetData>
    <row r="1" spans="1:13" x14ac:dyDescent="0.2">
      <c r="A1" s="409" t="s">
        <v>120</v>
      </c>
      <c r="B1" s="409"/>
      <c r="C1" s="409"/>
      <c r="D1" s="409"/>
      <c r="E1" s="409"/>
      <c r="F1" s="7" t="s">
        <v>50</v>
      </c>
      <c r="G1" s="7" t="s">
        <v>48</v>
      </c>
      <c r="H1" s="8" t="s">
        <v>55</v>
      </c>
      <c r="I1" s="8" t="s">
        <v>57</v>
      </c>
      <c r="J1" s="8" t="s">
        <v>59</v>
      </c>
      <c r="K1" s="8" t="s">
        <v>61</v>
      </c>
      <c r="L1" s="412" t="s">
        <v>138</v>
      </c>
      <c r="M1" s="412"/>
    </row>
    <row r="2" spans="1:13" x14ac:dyDescent="0.2">
      <c r="A2" s="409" t="s">
        <v>42</v>
      </c>
      <c r="B2" s="409"/>
      <c r="C2" s="409"/>
      <c r="D2" s="409"/>
      <c r="E2" s="409"/>
      <c r="F2" s="2" t="s">
        <v>51</v>
      </c>
      <c r="G2" s="2" t="s">
        <v>49</v>
      </c>
      <c r="H2" s="2" t="s">
        <v>56</v>
      </c>
      <c r="I2" s="2" t="s">
        <v>58</v>
      </c>
      <c r="J2" s="2" t="s">
        <v>60</v>
      </c>
      <c r="K2" s="2" t="s">
        <v>62</v>
      </c>
      <c r="L2" s="2" t="s">
        <v>139</v>
      </c>
      <c r="M2" s="2"/>
    </row>
    <row r="3" spans="1:13" ht="25.5" x14ac:dyDescent="0.2">
      <c r="A3" s="9" t="s">
        <v>1</v>
      </c>
      <c r="B3" s="4" t="s">
        <v>2</v>
      </c>
      <c r="C3" s="4" t="s">
        <v>0</v>
      </c>
      <c r="D3" s="408" t="s">
        <v>3</v>
      </c>
      <c r="E3" s="408"/>
      <c r="F3" s="2"/>
      <c r="G3" s="2"/>
      <c r="H3" s="2"/>
      <c r="I3" s="2"/>
      <c r="J3" s="2"/>
      <c r="K3" s="2"/>
      <c r="L3" s="2"/>
      <c r="M3" s="2"/>
    </row>
    <row r="4" spans="1:13" x14ac:dyDescent="0.2">
      <c r="A4" s="10"/>
      <c r="B4" s="2"/>
      <c r="C4" s="2"/>
      <c r="D4" s="5" t="s">
        <v>4</v>
      </c>
      <c r="E4" s="5" t="s">
        <v>5</v>
      </c>
      <c r="F4" s="1" t="s">
        <v>43</v>
      </c>
      <c r="G4" s="1" t="s">
        <v>43</v>
      </c>
      <c r="H4" s="1" t="s">
        <v>43</v>
      </c>
      <c r="I4" s="1" t="s">
        <v>43</v>
      </c>
      <c r="J4" s="1" t="s">
        <v>43</v>
      </c>
      <c r="K4" s="1" t="s">
        <v>43</v>
      </c>
      <c r="L4" s="1" t="s">
        <v>43</v>
      </c>
      <c r="M4" s="12" t="s">
        <v>136</v>
      </c>
    </row>
    <row r="5" spans="1:13" x14ac:dyDescent="0.2">
      <c r="A5" s="10"/>
      <c r="B5" s="2"/>
      <c r="C5" s="2"/>
      <c r="D5" s="10"/>
      <c r="E5" s="10"/>
      <c r="F5" s="2"/>
      <c r="G5" s="2"/>
      <c r="H5" s="2"/>
      <c r="I5" s="2"/>
      <c r="J5" s="2"/>
      <c r="K5" s="2"/>
      <c r="L5" s="2"/>
      <c r="M5" s="2"/>
    </row>
    <row r="6" spans="1:13" x14ac:dyDescent="0.2">
      <c r="A6" s="10">
        <v>1</v>
      </c>
      <c r="B6" s="1" t="s">
        <v>85</v>
      </c>
      <c r="C6" s="2" t="s">
        <v>6</v>
      </c>
      <c r="D6" s="10">
        <v>100</v>
      </c>
      <c r="E6" s="10">
        <v>2800</v>
      </c>
      <c r="F6" s="2">
        <v>100800</v>
      </c>
      <c r="G6" s="2">
        <v>78400</v>
      </c>
      <c r="H6" s="2"/>
      <c r="I6" s="2"/>
      <c r="J6" s="2">
        <v>50400</v>
      </c>
      <c r="K6" s="2">
        <v>36400</v>
      </c>
      <c r="L6" s="2">
        <f>SUM(F6:K6)</f>
        <v>266000</v>
      </c>
      <c r="M6" s="10">
        <f>L6/E6</f>
        <v>95</v>
      </c>
    </row>
    <row r="7" spans="1:13" x14ac:dyDescent="0.2">
      <c r="A7" s="10">
        <v>2</v>
      </c>
      <c r="B7" s="1" t="s">
        <v>81</v>
      </c>
      <c r="C7" s="2" t="s">
        <v>7</v>
      </c>
      <c r="D7" s="10">
        <v>50</v>
      </c>
      <c r="E7" s="10">
        <v>2500</v>
      </c>
      <c r="F7" s="2"/>
      <c r="G7" s="2"/>
      <c r="H7" s="2"/>
      <c r="I7" s="2"/>
      <c r="J7" s="2"/>
      <c r="K7" s="2"/>
      <c r="L7" s="2">
        <f t="shared" ref="L7:L35" si="0">SUM(F7:K7)</f>
        <v>0</v>
      </c>
      <c r="M7" s="10">
        <f t="shared" ref="M7:M35" si="1">L7/E7</f>
        <v>0</v>
      </c>
    </row>
    <row r="8" spans="1:13" x14ac:dyDescent="0.2">
      <c r="A8" s="10">
        <v>3</v>
      </c>
      <c r="B8" s="1" t="s">
        <v>86</v>
      </c>
      <c r="C8" s="2" t="s">
        <v>8</v>
      </c>
      <c r="D8" s="10">
        <v>50</v>
      </c>
      <c r="E8" s="10">
        <v>1100</v>
      </c>
      <c r="F8" s="2">
        <v>19800</v>
      </c>
      <c r="G8" s="2">
        <v>29700</v>
      </c>
      <c r="H8" s="2"/>
      <c r="I8" s="2"/>
      <c r="J8" s="2"/>
      <c r="K8" s="2">
        <v>19800</v>
      </c>
      <c r="L8" s="2">
        <f t="shared" si="0"/>
        <v>69300</v>
      </c>
      <c r="M8" s="10">
        <f t="shared" si="1"/>
        <v>63</v>
      </c>
    </row>
    <row r="9" spans="1:13" x14ac:dyDescent="0.2">
      <c r="A9" s="10">
        <v>4</v>
      </c>
      <c r="B9" s="1" t="s">
        <v>87</v>
      </c>
      <c r="C9" s="2" t="s">
        <v>9</v>
      </c>
      <c r="D9" s="10">
        <v>50</v>
      </c>
      <c r="E9" s="10">
        <v>1000</v>
      </c>
      <c r="F9" s="2">
        <v>19800</v>
      </c>
      <c r="G9" s="2">
        <v>16000</v>
      </c>
      <c r="H9" s="2"/>
      <c r="I9" s="2"/>
      <c r="J9" s="2"/>
      <c r="K9" s="2">
        <v>23000</v>
      </c>
      <c r="L9" s="2">
        <f t="shared" si="0"/>
        <v>58800</v>
      </c>
      <c r="M9" s="10">
        <v>59</v>
      </c>
    </row>
    <row r="10" spans="1:13" x14ac:dyDescent="0.2">
      <c r="A10" s="10">
        <v>5</v>
      </c>
      <c r="B10" s="1" t="s">
        <v>82</v>
      </c>
      <c r="C10" s="2" t="s">
        <v>10</v>
      </c>
      <c r="D10" s="10">
        <v>50</v>
      </c>
      <c r="E10" s="10">
        <v>800</v>
      </c>
      <c r="F10" s="2"/>
      <c r="G10" s="2"/>
      <c r="H10" s="2"/>
      <c r="I10" s="2"/>
      <c r="J10" s="2"/>
      <c r="K10" s="2"/>
      <c r="L10" s="2">
        <f t="shared" si="0"/>
        <v>0</v>
      </c>
      <c r="M10" s="10">
        <f t="shared" si="1"/>
        <v>0</v>
      </c>
    </row>
    <row r="11" spans="1:13" x14ac:dyDescent="0.2">
      <c r="A11" s="10">
        <v>6</v>
      </c>
      <c r="B11" s="1" t="s">
        <v>89</v>
      </c>
      <c r="C11" s="2" t="s">
        <v>11</v>
      </c>
      <c r="D11" s="10">
        <v>50</v>
      </c>
      <c r="E11" s="10">
        <v>600</v>
      </c>
      <c r="F11" s="2">
        <v>17400</v>
      </c>
      <c r="G11" s="2">
        <v>24000</v>
      </c>
      <c r="H11" s="2"/>
      <c r="I11" s="2"/>
      <c r="J11" s="2"/>
      <c r="K11" s="2">
        <v>30000</v>
      </c>
      <c r="L11" s="2">
        <f t="shared" si="0"/>
        <v>71400</v>
      </c>
      <c r="M11" s="10">
        <f t="shared" si="1"/>
        <v>119</v>
      </c>
    </row>
    <row r="12" spans="1:13" x14ac:dyDescent="0.2">
      <c r="A12" s="10" t="s">
        <v>12</v>
      </c>
      <c r="B12" s="1" t="s">
        <v>79</v>
      </c>
      <c r="C12" s="2" t="s">
        <v>13</v>
      </c>
      <c r="D12" s="10">
        <v>50</v>
      </c>
      <c r="E12" s="10">
        <v>600</v>
      </c>
      <c r="F12" s="2">
        <v>9000</v>
      </c>
      <c r="G12" s="2"/>
      <c r="H12" s="2"/>
      <c r="I12" s="2"/>
      <c r="J12" s="2"/>
      <c r="K12" s="2"/>
      <c r="L12" s="2">
        <f t="shared" si="0"/>
        <v>9000</v>
      </c>
      <c r="M12" s="10">
        <f t="shared" si="1"/>
        <v>15</v>
      </c>
    </row>
    <row r="13" spans="1:13" x14ac:dyDescent="0.2">
      <c r="A13" s="10">
        <v>7</v>
      </c>
      <c r="B13" s="1" t="s">
        <v>88</v>
      </c>
      <c r="C13" s="2" t="s">
        <v>14</v>
      </c>
      <c r="D13" s="10">
        <v>10</v>
      </c>
      <c r="E13" s="10">
        <v>400</v>
      </c>
      <c r="F13" s="2"/>
      <c r="G13" s="2">
        <v>10000</v>
      </c>
      <c r="H13" s="2"/>
      <c r="I13" s="2"/>
      <c r="J13" s="2"/>
      <c r="K13" s="2">
        <v>12000</v>
      </c>
      <c r="L13" s="2">
        <f t="shared" si="0"/>
        <v>22000</v>
      </c>
      <c r="M13" s="10">
        <f t="shared" si="1"/>
        <v>55</v>
      </c>
    </row>
    <row r="14" spans="1:13" x14ac:dyDescent="0.2">
      <c r="A14" s="10">
        <v>8</v>
      </c>
      <c r="B14" s="1" t="s">
        <v>90</v>
      </c>
      <c r="C14" s="2" t="s">
        <v>15</v>
      </c>
      <c r="D14" s="10">
        <v>10</v>
      </c>
      <c r="E14" s="10">
        <v>400</v>
      </c>
      <c r="F14" s="2"/>
      <c r="G14" s="2">
        <v>20000</v>
      </c>
      <c r="H14" s="2"/>
      <c r="I14" s="2"/>
      <c r="J14" s="2"/>
      <c r="K14" s="2"/>
      <c r="L14" s="2">
        <f t="shared" si="0"/>
        <v>20000</v>
      </c>
      <c r="M14" s="10">
        <f t="shared" si="1"/>
        <v>50</v>
      </c>
    </row>
    <row r="15" spans="1:13" x14ac:dyDescent="0.2">
      <c r="A15" s="10">
        <v>9</v>
      </c>
      <c r="B15" s="1" t="s">
        <v>91</v>
      </c>
      <c r="C15" s="2" t="s">
        <v>16</v>
      </c>
      <c r="D15" s="10">
        <v>10</v>
      </c>
      <c r="E15" s="10">
        <v>300</v>
      </c>
      <c r="F15" s="2">
        <v>9500</v>
      </c>
      <c r="G15" s="2">
        <v>33000</v>
      </c>
      <c r="H15" s="2"/>
      <c r="I15" s="2"/>
      <c r="J15" s="2"/>
      <c r="K15" s="2"/>
      <c r="L15" s="2">
        <f t="shared" si="0"/>
        <v>42500</v>
      </c>
      <c r="M15" s="10">
        <v>142</v>
      </c>
    </row>
    <row r="16" spans="1:13" x14ac:dyDescent="0.2">
      <c r="A16" s="10" t="s">
        <v>17</v>
      </c>
      <c r="B16" s="1" t="s">
        <v>80</v>
      </c>
      <c r="C16" s="2" t="s">
        <v>18</v>
      </c>
      <c r="D16" s="10">
        <v>10</v>
      </c>
      <c r="E16" s="10">
        <v>300</v>
      </c>
      <c r="F16" s="2">
        <v>16000</v>
      </c>
      <c r="G16" s="2"/>
      <c r="H16" s="2"/>
      <c r="I16" s="2"/>
      <c r="J16" s="2"/>
      <c r="K16" s="2"/>
      <c r="L16" s="2">
        <f t="shared" si="0"/>
        <v>16000</v>
      </c>
      <c r="M16" s="10">
        <v>54</v>
      </c>
    </row>
    <row r="17" spans="1:13" x14ac:dyDescent="0.2">
      <c r="A17" s="10">
        <v>10</v>
      </c>
      <c r="B17" s="1" t="s">
        <v>94</v>
      </c>
      <c r="C17" s="2" t="s">
        <v>19</v>
      </c>
      <c r="D17" s="11">
        <v>10</v>
      </c>
      <c r="E17" s="10">
        <v>130</v>
      </c>
      <c r="F17" s="2">
        <v>5200</v>
      </c>
      <c r="G17" s="2"/>
      <c r="H17" s="2"/>
      <c r="I17" s="2"/>
      <c r="J17" s="2"/>
      <c r="K17" s="2">
        <v>2990</v>
      </c>
      <c r="L17" s="2">
        <f t="shared" si="0"/>
        <v>8190</v>
      </c>
      <c r="M17" s="10">
        <f t="shared" si="1"/>
        <v>63</v>
      </c>
    </row>
    <row r="18" spans="1:13" x14ac:dyDescent="0.2">
      <c r="A18" s="10">
        <v>11</v>
      </c>
      <c r="B18" s="1" t="s">
        <v>92</v>
      </c>
      <c r="C18" s="2" t="s">
        <v>20</v>
      </c>
      <c r="D18" s="10">
        <v>10</v>
      </c>
      <c r="E18" s="10">
        <v>110</v>
      </c>
      <c r="F18" s="2"/>
      <c r="G18" s="2">
        <v>4950</v>
      </c>
      <c r="H18" s="2"/>
      <c r="I18" s="2"/>
      <c r="J18" s="2"/>
      <c r="K18" s="2">
        <v>6050</v>
      </c>
      <c r="L18" s="2">
        <f t="shared" si="0"/>
        <v>11000</v>
      </c>
      <c r="M18" s="10">
        <f t="shared" si="1"/>
        <v>100</v>
      </c>
    </row>
    <row r="19" spans="1:13" x14ac:dyDescent="0.2">
      <c r="A19" s="10">
        <v>12</v>
      </c>
      <c r="B19" s="1" t="s">
        <v>95</v>
      </c>
      <c r="C19" s="2" t="s">
        <v>21</v>
      </c>
      <c r="D19" s="10">
        <v>10</v>
      </c>
      <c r="E19" s="10">
        <v>80</v>
      </c>
      <c r="F19" s="2">
        <v>7200</v>
      </c>
      <c r="G19" s="2">
        <v>5840</v>
      </c>
      <c r="H19" s="2"/>
      <c r="I19" s="2"/>
      <c r="J19" s="2"/>
      <c r="K19" s="2">
        <v>11840</v>
      </c>
      <c r="L19" s="2">
        <f t="shared" si="0"/>
        <v>24880</v>
      </c>
      <c r="M19" s="10">
        <f t="shared" si="1"/>
        <v>311</v>
      </c>
    </row>
    <row r="20" spans="1:13" x14ac:dyDescent="0.2">
      <c r="A20" s="10">
        <v>13</v>
      </c>
      <c r="B20" s="1" t="s">
        <v>99</v>
      </c>
      <c r="C20" s="2" t="s">
        <v>22</v>
      </c>
      <c r="D20" s="10">
        <v>100</v>
      </c>
      <c r="E20" s="10">
        <v>1200</v>
      </c>
      <c r="F20" s="2">
        <v>54000</v>
      </c>
      <c r="G20" s="2">
        <v>97200</v>
      </c>
      <c r="H20" s="2"/>
      <c r="I20" s="2"/>
      <c r="J20" s="2"/>
      <c r="K20" s="2"/>
      <c r="L20" s="2">
        <f t="shared" si="0"/>
        <v>151200</v>
      </c>
      <c r="M20" s="10">
        <f t="shared" si="1"/>
        <v>126</v>
      </c>
    </row>
    <row r="21" spans="1:13" x14ac:dyDescent="0.2">
      <c r="A21" s="10">
        <v>14</v>
      </c>
      <c r="B21" s="1" t="s">
        <v>102</v>
      </c>
      <c r="C21" s="2" t="s">
        <v>23</v>
      </c>
      <c r="D21" s="10">
        <v>100</v>
      </c>
      <c r="E21" s="10">
        <v>1000</v>
      </c>
      <c r="F21" s="2">
        <v>45000</v>
      </c>
      <c r="G21" s="2"/>
      <c r="H21" s="2"/>
      <c r="I21" s="2"/>
      <c r="J21" s="2"/>
      <c r="K21" s="2"/>
      <c r="L21" s="2">
        <f t="shared" si="0"/>
        <v>45000</v>
      </c>
      <c r="M21" s="10">
        <f t="shared" si="1"/>
        <v>45</v>
      </c>
    </row>
    <row r="22" spans="1:13" x14ac:dyDescent="0.2">
      <c r="A22" s="10">
        <v>15</v>
      </c>
      <c r="B22" s="1" t="s">
        <v>97</v>
      </c>
      <c r="C22" s="2" t="s">
        <v>24</v>
      </c>
      <c r="D22" s="10">
        <v>50</v>
      </c>
      <c r="E22" s="10">
        <v>2800</v>
      </c>
      <c r="F22" s="2">
        <v>22400</v>
      </c>
      <c r="G22" s="2">
        <v>14000</v>
      </c>
      <c r="H22" s="2"/>
      <c r="I22" s="2"/>
      <c r="J22" s="2"/>
      <c r="K22" s="2"/>
      <c r="L22" s="2">
        <f t="shared" si="0"/>
        <v>36400</v>
      </c>
      <c r="M22" s="10">
        <f t="shared" si="1"/>
        <v>13</v>
      </c>
    </row>
    <row r="23" spans="1:13" x14ac:dyDescent="0.2">
      <c r="A23" s="10">
        <v>16</v>
      </c>
      <c r="B23" s="1" t="s">
        <v>98</v>
      </c>
      <c r="C23" s="2" t="s">
        <v>25</v>
      </c>
      <c r="D23" s="10">
        <v>50</v>
      </c>
      <c r="E23" s="10">
        <v>550</v>
      </c>
      <c r="F23" s="2">
        <v>27500</v>
      </c>
      <c r="G23" s="2"/>
      <c r="H23" s="2"/>
      <c r="I23" s="2"/>
      <c r="J23" s="2"/>
      <c r="K23" s="2"/>
      <c r="L23" s="2">
        <f t="shared" si="0"/>
        <v>27500</v>
      </c>
      <c r="M23" s="10">
        <f t="shared" si="1"/>
        <v>50</v>
      </c>
    </row>
    <row r="24" spans="1:13" x14ac:dyDescent="0.2">
      <c r="A24" s="10">
        <v>17</v>
      </c>
      <c r="B24" s="1" t="s">
        <v>83</v>
      </c>
      <c r="C24" s="2" t="s">
        <v>26</v>
      </c>
      <c r="D24" s="10">
        <v>10</v>
      </c>
      <c r="E24" s="10">
        <v>330</v>
      </c>
      <c r="F24" s="2"/>
      <c r="G24" s="2"/>
      <c r="H24" s="2"/>
      <c r="I24" s="2"/>
      <c r="J24" s="2">
        <v>2640</v>
      </c>
      <c r="K24" s="2"/>
      <c r="L24" s="2">
        <f t="shared" si="0"/>
        <v>2640</v>
      </c>
      <c r="M24" s="10">
        <f t="shared" si="1"/>
        <v>8</v>
      </c>
    </row>
    <row r="25" spans="1:13" x14ac:dyDescent="0.2">
      <c r="A25" s="10">
        <v>18</v>
      </c>
      <c r="B25" s="1" t="s">
        <v>84</v>
      </c>
      <c r="C25" s="2" t="s">
        <v>27</v>
      </c>
      <c r="D25" s="10">
        <v>10</v>
      </c>
      <c r="E25" s="10">
        <v>270</v>
      </c>
      <c r="F25" s="2"/>
      <c r="G25" s="2"/>
      <c r="H25" s="2">
        <v>9990</v>
      </c>
      <c r="I25" s="2">
        <v>9990</v>
      </c>
      <c r="J25" s="2"/>
      <c r="K25" s="2"/>
      <c r="L25" s="2">
        <f t="shared" si="0"/>
        <v>19980</v>
      </c>
      <c r="M25" s="10">
        <f t="shared" si="1"/>
        <v>74</v>
      </c>
    </row>
    <row r="26" spans="1:13" x14ac:dyDescent="0.2">
      <c r="A26" s="10" t="s">
        <v>28</v>
      </c>
      <c r="B26" s="5">
        <v>90447000</v>
      </c>
      <c r="C26" s="2" t="s">
        <v>29</v>
      </c>
      <c r="D26" s="10">
        <v>10</v>
      </c>
      <c r="E26" s="10">
        <v>270</v>
      </c>
      <c r="F26" s="2"/>
      <c r="G26" s="2"/>
      <c r="H26" s="2"/>
      <c r="I26" s="2"/>
      <c r="J26" s="2">
        <v>19710</v>
      </c>
      <c r="K26" s="2"/>
      <c r="L26" s="2">
        <f t="shared" si="0"/>
        <v>19710</v>
      </c>
      <c r="M26" s="10">
        <f t="shared" si="1"/>
        <v>73</v>
      </c>
    </row>
    <row r="27" spans="1:13" x14ac:dyDescent="0.2">
      <c r="A27" s="10">
        <v>19</v>
      </c>
      <c r="B27" s="1" t="s">
        <v>30</v>
      </c>
      <c r="C27" s="2" t="s">
        <v>31</v>
      </c>
      <c r="D27" s="10">
        <v>10</v>
      </c>
      <c r="E27" s="10">
        <v>230</v>
      </c>
      <c r="F27" s="2"/>
      <c r="G27" s="2"/>
      <c r="H27" s="2"/>
      <c r="I27" s="2"/>
      <c r="J27" s="2">
        <v>9660</v>
      </c>
      <c r="K27" s="2"/>
      <c r="L27" s="2">
        <f t="shared" si="0"/>
        <v>9660</v>
      </c>
      <c r="M27" s="10">
        <f t="shared" si="1"/>
        <v>42</v>
      </c>
    </row>
    <row r="28" spans="1:13" x14ac:dyDescent="0.2">
      <c r="A28" s="10" t="s">
        <v>32</v>
      </c>
      <c r="B28" s="5">
        <v>90442300</v>
      </c>
      <c r="C28" s="2" t="s">
        <v>33</v>
      </c>
      <c r="D28" s="10">
        <v>10</v>
      </c>
      <c r="E28" s="10">
        <v>230</v>
      </c>
      <c r="F28" s="2"/>
      <c r="G28" s="2"/>
      <c r="H28" s="2"/>
      <c r="I28" s="2"/>
      <c r="J28" s="2">
        <v>10120</v>
      </c>
      <c r="K28" s="2"/>
      <c r="L28" s="2">
        <f t="shared" si="0"/>
        <v>10120</v>
      </c>
      <c r="M28" s="10">
        <f t="shared" si="1"/>
        <v>44</v>
      </c>
    </row>
    <row r="29" spans="1:13" x14ac:dyDescent="0.2">
      <c r="A29" s="10">
        <v>20</v>
      </c>
      <c r="B29" s="1" t="s">
        <v>93</v>
      </c>
      <c r="C29" s="2" t="s">
        <v>34</v>
      </c>
      <c r="D29" s="10">
        <v>5</v>
      </c>
      <c r="E29" s="10">
        <v>75</v>
      </c>
      <c r="F29" s="2"/>
      <c r="G29" s="2"/>
      <c r="H29" s="2"/>
      <c r="I29" s="2"/>
      <c r="J29" s="2">
        <v>3000</v>
      </c>
      <c r="K29" s="2">
        <v>3000</v>
      </c>
      <c r="L29" s="2">
        <f t="shared" si="0"/>
        <v>6000</v>
      </c>
      <c r="M29" s="10">
        <f t="shared" si="1"/>
        <v>80</v>
      </c>
    </row>
    <row r="30" spans="1:13" x14ac:dyDescent="0.2">
      <c r="A30" s="10">
        <v>21</v>
      </c>
      <c r="B30" s="1" t="s">
        <v>35</v>
      </c>
      <c r="C30" s="2" t="s">
        <v>36</v>
      </c>
      <c r="D30" s="10">
        <v>5</v>
      </c>
      <c r="E30" s="10">
        <v>50</v>
      </c>
      <c r="F30" s="2"/>
      <c r="G30" s="2"/>
      <c r="H30" s="2"/>
      <c r="I30" s="2"/>
      <c r="J30" s="2">
        <v>9400</v>
      </c>
      <c r="K30" s="2">
        <v>5000</v>
      </c>
      <c r="L30" s="2">
        <f t="shared" si="0"/>
        <v>14400</v>
      </c>
      <c r="M30" s="10">
        <f t="shared" si="1"/>
        <v>288</v>
      </c>
    </row>
    <row r="31" spans="1:13" x14ac:dyDescent="0.2">
      <c r="A31" s="10">
        <v>22</v>
      </c>
      <c r="B31" s="1" t="s">
        <v>101</v>
      </c>
      <c r="C31" s="2" t="s">
        <v>37</v>
      </c>
      <c r="D31" s="10">
        <v>50</v>
      </c>
      <c r="E31" s="10">
        <v>600</v>
      </c>
      <c r="F31" s="2"/>
      <c r="G31" s="2"/>
      <c r="H31" s="2"/>
      <c r="I31" s="2"/>
      <c r="J31" s="2">
        <v>28200</v>
      </c>
      <c r="K31" s="2"/>
      <c r="L31" s="2">
        <f t="shared" si="0"/>
        <v>28200</v>
      </c>
      <c r="M31" s="10">
        <f t="shared" si="1"/>
        <v>47</v>
      </c>
    </row>
    <row r="32" spans="1:13" x14ac:dyDescent="0.2">
      <c r="A32" s="10">
        <v>23</v>
      </c>
      <c r="B32" s="1" t="s">
        <v>103</v>
      </c>
      <c r="C32" s="2" t="s">
        <v>38</v>
      </c>
      <c r="D32" s="10">
        <v>50</v>
      </c>
      <c r="E32" s="10">
        <v>2000</v>
      </c>
      <c r="F32" s="2"/>
      <c r="G32" s="2"/>
      <c r="H32" s="2"/>
      <c r="I32" s="2"/>
      <c r="J32" s="2">
        <v>16000</v>
      </c>
      <c r="K32" s="2"/>
      <c r="L32" s="2">
        <f t="shared" si="0"/>
        <v>16000</v>
      </c>
      <c r="M32" s="10">
        <f t="shared" si="1"/>
        <v>8</v>
      </c>
    </row>
    <row r="33" spans="1:13" x14ac:dyDescent="0.2">
      <c r="A33" s="10">
        <v>24</v>
      </c>
      <c r="B33" s="1" t="s">
        <v>54</v>
      </c>
      <c r="C33" s="2" t="s">
        <v>39</v>
      </c>
      <c r="D33" s="10">
        <v>100</v>
      </c>
      <c r="E33" s="10">
        <v>2000</v>
      </c>
      <c r="F33" s="2"/>
      <c r="G33" s="2"/>
      <c r="H33" s="2"/>
      <c r="I33" s="2"/>
      <c r="J33" s="2">
        <v>18000</v>
      </c>
      <c r="K33" s="2"/>
      <c r="L33" s="2">
        <f t="shared" si="0"/>
        <v>18000</v>
      </c>
      <c r="M33" s="10">
        <f t="shared" si="1"/>
        <v>9</v>
      </c>
    </row>
    <row r="34" spans="1:13" x14ac:dyDescent="0.2">
      <c r="A34" s="10">
        <v>25</v>
      </c>
      <c r="B34" s="1" t="s">
        <v>100</v>
      </c>
      <c r="C34" s="2" t="s">
        <v>40</v>
      </c>
      <c r="D34" s="10">
        <v>50</v>
      </c>
      <c r="E34" s="10">
        <v>1750</v>
      </c>
      <c r="F34" s="2"/>
      <c r="G34" s="2"/>
      <c r="H34" s="2"/>
      <c r="I34" s="2"/>
      <c r="J34" s="2">
        <v>40250</v>
      </c>
      <c r="K34" s="2"/>
      <c r="L34" s="2">
        <f t="shared" si="0"/>
        <v>40250</v>
      </c>
      <c r="M34" s="10">
        <f t="shared" si="1"/>
        <v>23</v>
      </c>
    </row>
    <row r="35" spans="1:13" x14ac:dyDescent="0.2">
      <c r="A35" s="10">
        <v>26</v>
      </c>
      <c r="B35" s="1" t="s">
        <v>96</v>
      </c>
      <c r="C35" s="2" t="s">
        <v>41</v>
      </c>
      <c r="D35" s="10">
        <v>50</v>
      </c>
      <c r="E35" s="10">
        <v>800</v>
      </c>
      <c r="F35" s="2"/>
      <c r="G35" s="2"/>
      <c r="H35" s="2"/>
      <c r="I35" s="2"/>
      <c r="J35" s="2"/>
      <c r="K35" s="2"/>
      <c r="L35" s="2">
        <f t="shared" si="0"/>
        <v>0</v>
      </c>
      <c r="M35" s="10">
        <f t="shared" si="1"/>
        <v>0</v>
      </c>
    </row>
    <row r="36" spans="1:13" x14ac:dyDescent="0.2">
      <c r="A36" s="2"/>
      <c r="B36" s="2"/>
      <c r="C36" s="2"/>
      <c r="D36" s="410" t="s">
        <v>138</v>
      </c>
      <c r="E36" s="411"/>
      <c r="F36" s="2">
        <f t="shared" ref="F36:M36" si="2">SUM(F6:F35)</f>
        <v>353600</v>
      </c>
      <c r="G36" s="2">
        <f t="shared" si="2"/>
        <v>333090</v>
      </c>
      <c r="H36" s="2">
        <f t="shared" si="2"/>
        <v>9990</v>
      </c>
      <c r="I36" s="2">
        <f t="shared" si="2"/>
        <v>9990</v>
      </c>
      <c r="J36" s="2">
        <f t="shared" si="2"/>
        <v>207380</v>
      </c>
      <c r="K36" s="2">
        <f t="shared" si="2"/>
        <v>150080</v>
      </c>
      <c r="L36" s="3">
        <f t="shared" si="2"/>
        <v>1064130</v>
      </c>
      <c r="M36" s="10">
        <f t="shared" si="2"/>
        <v>2056</v>
      </c>
    </row>
  </sheetData>
  <autoFilter ref="B3:B35"/>
  <mergeCells count="5">
    <mergeCell ref="L1:M1"/>
    <mergeCell ref="D36:E36"/>
    <mergeCell ref="D3:E3"/>
    <mergeCell ref="A1:E1"/>
    <mergeCell ref="A2:E2"/>
  </mergeCells>
  <phoneticPr fontId="0" type="noConversion"/>
  <pageMargins left="0.5" right="0.5" top="0.5" bottom="0.5" header="0" footer="0"/>
  <pageSetup paperSize="9" orientation="landscape" horizontalDpi="4294967295" verticalDpi="18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opLeftCell="A19" workbookViewId="0">
      <pane xSplit="5" topLeftCell="F1" activePane="topRight" state="frozenSplit"/>
      <selection pane="topRight" activeCell="E39" sqref="E39"/>
    </sheetView>
  </sheetViews>
  <sheetFormatPr defaultRowHeight="12.75" x14ac:dyDescent="0.2"/>
  <cols>
    <col min="1" max="1" width="4.28515625" bestFit="1" customWidth="1"/>
    <col min="2" max="2" width="10.5703125" bestFit="1" customWidth="1"/>
    <col min="3" max="3" width="32.7109375" customWidth="1"/>
    <col min="4" max="4" width="5.85546875" bestFit="1" customWidth="1"/>
    <col min="5" max="5" width="5" bestFit="1" customWidth="1"/>
    <col min="6" max="10" width="10.140625" customWidth="1"/>
    <col min="11" max="11" width="8.7109375" style="16" bestFit="1" customWidth="1"/>
    <col min="12" max="12" width="7.5703125" bestFit="1" customWidth="1"/>
  </cols>
  <sheetData>
    <row r="1" spans="1:12" x14ac:dyDescent="0.2">
      <c r="A1" s="409" t="s">
        <v>121</v>
      </c>
      <c r="B1" s="409"/>
      <c r="C1" s="409"/>
      <c r="D1" s="409"/>
      <c r="E1" s="409"/>
      <c r="F1" s="8" t="s">
        <v>63</v>
      </c>
      <c r="G1" s="8" t="s">
        <v>65</v>
      </c>
      <c r="H1" s="8" t="s">
        <v>68</v>
      </c>
      <c r="I1" s="8" t="s">
        <v>69</v>
      </c>
      <c r="J1" s="8" t="s">
        <v>71</v>
      </c>
      <c r="K1" s="412" t="s">
        <v>138</v>
      </c>
      <c r="L1" s="412"/>
    </row>
    <row r="2" spans="1:12" x14ac:dyDescent="0.2">
      <c r="A2" s="409" t="s">
        <v>42</v>
      </c>
      <c r="B2" s="409"/>
      <c r="C2" s="409"/>
      <c r="D2" s="409"/>
      <c r="E2" s="409"/>
      <c r="F2" s="2" t="s">
        <v>64</v>
      </c>
      <c r="G2" s="2" t="s">
        <v>66</v>
      </c>
      <c r="H2" s="2" t="s">
        <v>67</v>
      </c>
      <c r="I2" s="2" t="s">
        <v>70</v>
      </c>
      <c r="J2" s="2" t="s">
        <v>72</v>
      </c>
      <c r="K2" s="10"/>
      <c r="L2" s="2"/>
    </row>
    <row r="3" spans="1:12" ht="25.5" x14ac:dyDescent="0.2">
      <c r="A3" s="9" t="s">
        <v>1</v>
      </c>
      <c r="B3" s="4" t="s">
        <v>2</v>
      </c>
      <c r="C3" s="4" t="s">
        <v>0</v>
      </c>
      <c r="D3" s="408" t="s">
        <v>3</v>
      </c>
      <c r="E3" s="408"/>
      <c r="F3" s="2"/>
      <c r="G3" s="2"/>
      <c r="H3" s="2"/>
      <c r="I3" s="2"/>
      <c r="J3" s="2"/>
      <c r="K3" s="10"/>
      <c r="L3" s="2"/>
    </row>
    <row r="4" spans="1:12" x14ac:dyDescent="0.2">
      <c r="A4" s="10"/>
      <c r="B4" s="2"/>
      <c r="C4" s="2"/>
      <c r="D4" s="5" t="s">
        <v>4</v>
      </c>
      <c r="E4" s="5" t="s">
        <v>5</v>
      </c>
      <c r="F4" s="1" t="s">
        <v>43</v>
      </c>
      <c r="G4" s="1" t="s">
        <v>43</v>
      </c>
      <c r="H4" s="1" t="s">
        <v>43</v>
      </c>
      <c r="I4" s="1" t="s">
        <v>43</v>
      </c>
      <c r="J4" s="1" t="s">
        <v>43</v>
      </c>
      <c r="K4" s="5" t="s">
        <v>43</v>
      </c>
      <c r="L4" s="12" t="s">
        <v>136</v>
      </c>
    </row>
    <row r="5" spans="1:12" x14ac:dyDescent="0.2">
      <c r="A5" s="10"/>
      <c r="B5" s="2"/>
      <c r="C5" s="2"/>
      <c r="D5" s="10"/>
      <c r="E5" s="10"/>
      <c r="F5" s="2"/>
      <c r="G5" s="2"/>
      <c r="H5" s="2"/>
      <c r="I5" s="2"/>
      <c r="J5" s="2"/>
      <c r="K5" s="10"/>
      <c r="L5" s="2"/>
    </row>
    <row r="6" spans="1:12" x14ac:dyDescent="0.2">
      <c r="A6" s="10">
        <v>1</v>
      </c>
      <c r="B6" s="1" t="s">
        <v>85</v>
      </c>
      <c r="C6" s="2" t="s">
        <v>6</v>
      </c>
      <c r="D6" s="10">
        <v>100</v>
      </c>
      <c r="E6" s="10">
        <v>2800</v>
      </c>
      <c r="F6" s="2">
        <v>112000</v>
      </c>
      <c r="G6" s="2">
        <v>50400</v>
      </c>
      <c r="H6" s="2"/>
      <c r="I6" s="2"/>
      <c r="J6" s="2"/>
      <c r="K6" s="10">
        <f t="shared" ref="K6:K34" si="0">SUM(F6:J6)</f>
        <v>162400</v>
      </c>
      <c r="L6" s="10">
        <f>K6/E6</f>
        <v>58</v>
      </c>
    </row>
    <row r="7" spans="1:12" x14ac:dyDescent="0.2">
      <c r="A7" s="10">
        <v>2</v>
      </c>
      <c r="B7" s="1" t="s">
        <v>81</v>
      </c>
      <c r="C7" s="2" t="s">
        <v>7</v>
      </c>
      <c r="D7" s="10">
        <v>50</v>
      </c>
      <c r="E7" s="10">
        <v>2800</v>
      </c>
      <c r="F7" s="2"/>
      <c r="G7" s="2"/>
      <c r="H7" s="2"/>
      <c r="I7" s="2"/>
      <c r="J7" s="2"/>
      <c r="K7" s="10">
        <f t="shared" si="0"/>
        <v>0</v>
      </c>
      <c r="L7" s="10">
        <f t="shared" ref="L7:L34" si="1">K7/E7</f>
        <v>0</v>
      </c>
    </row>
    <row r="8" spans="1:12" x14ac:dyDescent="0.2">
      <c r="A8" s="10">
        <v>3</v>
      </c>
      <c r="B8" s="1" t="s">
        <v>86</v>
      </c>
      <c r="C8" s="2" t="s">
        <v>8</v>
      </c>
      <c r="D8" s="10">
        <v>50</v>
      </c>
      <c r="E8" s="10">
        <v>1100</v>
      </c>
      <c r="F8" s="2"/>
      <c r="G8" s="2">
        <v>19800</v>
      </c>
      <c r="H8" s="2"/>
      <c r="I8" s="2">
        <v>17600</v>
      </c>
      <c r="J8" s="2"/>
      <c r="K8" s="10">
        <f t="shared" si="0"/>
        <v>37400</v>
      </c>
      <c r="L8" s="10">
        <f t="shared" si="1"/>
        <v>34</v>
      </c>
    </row>
    <row r="9" spans="1:12" x14ac:dyDescent="0.2">
      <c r="A9" s="10">
        <v>4</v>
      </c>
      <c r="B9" s="1" t="s">
        <v>87</v>
      </c>
      <c r="C9" s="2" t="s">
        <v>9</v>
      </c>
      <c r="D9" s="10">
        <v>50</v>
      </c>
      <c r="E9" s="10">
        <v>1000</v>
      </c>
      <c r="F9" s="2">
        <v>1000</v>
      </c>
      <c r="G9" s="2">
        <v>10000</v>
      </c>
      <c r="H9" s="2"/>
      <c r="I9" s="2">
        <v>10000</v>
      </c>
      <c r="J9" s="2"/>
      <c r="K9" s="10">
        <f t="shared" si="0"/>
        <v>21000</v>
      </c>
      <c r="L9" s="10">
        <f t="shared" si="1"/>
        <v>21</v>
      </c>
    </row>
    <row r="10" spans="1:12" x14ac:dyDescent="0.2">
      <c r="A10" s="10">
        <v>5</v>
      </c>
      <c r="B10" s="1" t="s">
        <v>82</v>
      </c>
      <c r="C10" s="2" t="s">
        <v>10</v>
      </c>
      <c r="D10" s="10">
        <v>50</v>
      </c>
      <c r="E10" s="10">
        <v>800</v>
      </c>
      <c r="F10" s="2"/>
      <c r="G10" s="2"/>
      <c r="H10" s="2"/>
      <c r="I10" s="2"/>
      <c r="J10" s="2"/>
      <c r="K10" s="10">
        <f t="shared" si="0"/>
        <v>0</v>
      </c>
      <c r="L10" s="10">
        <f t="shared" si="1"/>
        <v>0</v>
      </c>
    </row>
    <row r="11" spans="1:12" x14ac:dyDescent="0.2">
      <c r="A11" s="10">
        <v>6</v>
      </c>
      <c r="B11" s="1" t="s">
        <v>89</v>
      </c>
      <c r="C11" s="2" t="s">
        <v>11</v>
      </c>
      <c r="D11" s="10">
        <v>50</v>
      </c>
      <c r="E11" s="10">
        <v>600</v>
      </c>
      <c r="F11" s="2"/>
      <c r="G11" s="2">
        <v>20400</v>
      </c>
      <c r="H11" s="2">
        <v>7800</v>
      </c>
      <c r="I11" s="2">
        <v>7200</v>
      </c>
      <c r="J11" s="2"/>
      <c r="K11" s="10">
        <f t="shared" si="0"/>
        <v>35400</v>
      </c>
      <c r="L11" s="10">
        <f t="shared" si="1"/>
        <v>59</v>
      </c>
    </row>
    <row r="12" spans="1:12" x14ac:dyDescent="0.2">
      <c r="A12" s="10" t="s">
        <v>12</v>
      </c>
      <c r="B12" s="1" t="s">
        <v>79</v>
      </c>
      <c r="C12" s="2" t="s">
        <v>13</v>
      </c>
      <c r="D12" s="10">
        <v>50</v>
      </c>
      <c r="E12" s="10">
        <v>600</v>
      </c>
      <c r="F12" s="2"/>
      <c r="G12" s="2"/>
      <c r="H12" s="2"/>
      <c r="I12" s="2"/>
      <c r="J12" s="2"/>
      <c r="K12" s="10">
        <f t="shared" si="0"/>
        <v>0</v>
      </c>
      <c r="L12" s="10">
        <f t="shared" si="1"/>
        <v>0</v>
      </c>
    </row>
    <row r="13" spans="1:12" x14ac:dyDescent="0.2">
      <c r="A13" s="10">
        <v>7</v>
      </c>
      <c r="B13" s="1" t="s">
        <v>88</v>
      </c>
      <c r="C13" s="2" t="s">
        <v>14</v>
      </c>
      <c r="D13" s="10">
        <v>10</v>
      </c>
      <c r="E13" s="10">
        <v>400</v>
      </c>
      <c r="F13" s="2"/>
      <c r="G13" s="2">
        <v>10000</v>
      </c>
      <c r="H13" s="2">
        <v>8000</v>
      </c>
      <c r="I13" s="2"/>
      <c r="J13" s="2"/>
      <c r="K13" s="10">
        <f t="shared" si="0"/>
        <v>18000</v>
      </c>
      <c r="L13" s="10">
        <f t="shared" si="1"/>
        <v>45</v>
      </c>
    </row>
    <row r="14" spans="1:12" x14ac:dyDescent="0.2">
      <c r="A14" s="10">
        <v>8</v>
      </c>
      <c r="B14" s="1" t="s">
        <v>90</v>
      </c>
      <c r="C14" s="2" t="s">
        <v>15</v>
      </c>
      <c r="D14" s="10">
        <v>10</v>
      </c>
      <c r="E14" s="10">
        <v>400</v>
      </c>
      <c r="F14" s="2"/>
      <c r="G14" s="2"/>
      <c r="H14" s="2">
        <v>20400</v>
      </c>
      <c r="I14" s="2"/>
      <c r="J14" s="2"/>
      <c r="K14" s="10">
        <f t="shared" si="0"/>
        <v>20400</v>
      </c>
      <c r="L14" s="10">
        <f t="shared" si="1"/>
        <v>51</v>
      </c>
    </row>
    <row r="15" spans="1:12" x14ac:dyDescent="0.2">
      <c r="A15" s="10">
        <v>9</v>
      </c>
      <c r="B15" s="1" t="s">
        <v>91</v>
      </c>
      <c r="C15" s="2" t="s">
        <v>16</v>
      </c>
      <c r="D15" s="10">
        <v>10</v>
      </c>
      <c r="E15" s="10">
        <v>300</v>
      </c>
      <c r="F15" s="2"/>
      <c r="G15" s="2"/>
      <c r="H15" s="2"/>
      <c r="I15" s="2"/>
      <c r="J15" s="2"/>
      <c r="K15" s="10">
        <f t="shared" si="0"/>
        <v>0</v>
      </c>
      <c r="L15" s="10">
        <f t="shared" si="1"/>
        <v>0</v>
      </c>
    </row>
    <row r="16" spans="1:12" x14ac:dyDescent="0.2">
      <c r="A16" s="10" t="s">
        <v>17</v>
      </c>
      <c r="B16" s="1" t="s">
        <v>80</v>
      </c>
      <c r="C16" s="2" t="s">
        <v>18</v>
      </c>
      <c r="D16" s="10">
        <v>10</v>
      </c>
      <c r="E16" s="10">
        <v>300</v>
      </c>
      <c r="F16" s="2"/>
      <c r="G16" s="2"/>
      <c r="H16" s="2"/>
      <c r="I16" s="2"/>
      <c r="J16" s="2"/>
      <c r="K16" s="10">
        <f t="shared" si="0"/>
        <v>0</v>
      </c>
      <c r="L16" s="10">
        <f t="shared" si="1"/>
        <v>0</v>
      </c>
    </row>
    <row r="17" spans="1:12" x14ac:dyDescent="0.2">
      <c r="A17" s="10">
        <v>10</v>
      </c>
      <c r="B17" s="1" t="s">
        <v>94</v>
      </c>
      <c r="C17" s="2" t="s">
        <v>19</v>
      </c>
      <c r="D17" s="11">
        <v>10</v>
      </c>
      <c r="E17" s="10">
        <v>130</v>
      </c>
      <c r="F17" s="2"/>
      <c r="G17" s="2">
        <v>2080</v>
      </c>
      <c r="H17" s="2"/>
      <c r="I17" s="2"/>
      <c r="J17" s="2"/>
      <c r="K17" s="10">
        <f t="shared" si="0"/>
        <v>2080</v>
      </c>
      <c r="L17" s="10">
        <f t="shared" si="1"/>
        <v>16</v>
      </c>
    </row>
    <row r="18" spans="1:12" x14ac:dyDescent="0.2">
      <c r="A18" s="10">
        <v>11</v>
      </c>
      <c r="B18" s="1" t="s">
        <v>92</v>
      </c>
      <c r="C18" s="2" t="s">
        <v>20</v>
      </c>
      <c r="D18" s="10">
        <v>10</v>
      </c>
      <c r="E18" s="10">
        <v>110</v>
      </c>
      <c r="F18" s="2"/>
      <c r="G18" s="2">
        <v>3080</v>
      </c>
      <c r="H18" s="2"/>
      <c r="I18" s="2"/>
      <c r="J18" s="2"/>
      <c r="K18" s="10">
        <f t="shared" si="0"/>
        <v>3080</v>
      </c>
      <c r="L18" s="10">
        <f t="shared" si="1"/>
        <v>28</v>
      </c>
    </row>
    <row r="19" spans="1:12" x14ac:dyDescent="0.2">
      <c r="A19" s="10">
        <v>12</v>
      </c>
      <c r="B19" s="1" t="s">
        <v>95</v>
      </c>
      <c r="C19" s="2" t="s">
        <v>21</v>
      </c>
      <c r="D19" s="10">
        <v>10</v>
      </c>
      <c r="E19" s="10">
        <v>80</v>
      </c>
      <c r="F19" s="2">
        <v>13200</v>
      </c>
      <c r="G19" s="2">
        <v>5040</v>
      </c>
      <c r="H19" s="2"/>
      <c r="I19" s="2"/>
      <c r="J19" s="2"/>
      <c r="K19" s="10">
        <f t="shared" si="0"/>
        <v>18240</v>
      </c>
      <c r="L19" s="10">
        <f t="shared" si="1"/>
        <v>228</v>
      </c>
    </row>
    <row r="20" spans="1:12" x14ac:dyDescent="0.2">
      <c r="A20" s="10">
        <v>13</v>
      </c>
      <c r="B20" s="1" t="s">
        <v>99</v>
      </c>
      <c r="C20" s="2" t="s">
        <v>22</v>
      </c>
      <c r="D20" s="10">
        <v>100</v>
      </c>
      <c r="E20" s="10">
        <v>1200</v>
      </c>
      <c r="F20" s="2">
        <v>57600</v>
      </c>
      <c r="G20" s="2">
        <v>20400</v>
      </c>
      <c r="H20" s="2"/>
      <c r="I20" s="2">
        <v>70800</v>
      </c>
      <c r="J20" s="2"/>
      <c r="K20" s="10">
        <f t="shared" si="0"/>
        <v>148800</v>
      </c>
      <c r="L20" s="10">
        <f t="shared" si="1"/>
        <v>124</v>
      </c>
    </row>
    <row r="21" spans="1:12" x14ac:dyDescent="0.2">
      <c r="A21" s="10">
        <v>14</v>
      </c>
      <c r="B21" s="1" t="s">
        <v>102</v>
      </c>
      <c r="C21" s="2" t="s">
        <v>23</v>
      </c>
      <c r="D21" s="10">
        <v>100</v>
      </c>
      <c r="E21" s="10">
        <v>1000</v>
      </c>
      <c r="F21" s="2">
        <v>20000</v>
      </c>
      <c r="G21" s="2">
        <v>10000</v>
      </c>
      <c r="H21" s="2"/>
      <c r="I21" s="2"/>
      <c r="J21" s="2">
        <v>14400</v>
      </c>
      <c r="K21" s="10">
        <f t="shared" si="0"/>
        <v>44400</v>
      </c>
      <c r="L21" s="10">
        <v>45</v>
      </c>
    </row>
    <row r="22" spans="1:12" x14ac:dyDescent="0.2">
      <c r="A22" s="10">
        <v>15</v>
      </c>
      <c r="B22" s="1" t="s">
        <v>97</v>
      </c>
      <c r="C22" s="2" t="s">
        <v>24</v>
      </c>
      <c r="D22" s="10">
        <v>50</v>
      </c>
      <c r="E22" s="10">
        <v>2800</v>
      </c>
      <c r="F22" s="2">
        <v>16800</v>
      </c>
      <c r="G22" s="2">
        <v>5600</v>
      </c>
      <c r="H22" s="2"/>
      <c r="I22" s="2">
        <v>22400</v>
      </c>
      <c r="J22" s="2">
        <v>11200</v>
      </c>
      <c r="K22" s="10">
        <f t="shared" si="0"/>
        <v>56000</v>
      </c>
      <c r="L22" s="10">
        <f t="shared" si="1"/>
        <v>20</v>
      </c>
    </row>
    <row r="23" spans="1:12" x14ac:dyDescent="0.2">
      <c r="A23" s="10">
        <v>16</v>
      </c>
      <c r="B23" s="1" t="s">
        <v>98</v>
      </c>
      <c r="C23" s="2" t="s">
        <v>25</v>
      </c>
      <c r="D23" s="10">
        <v>50</v>
      </c>
      <c r="E23" s="10">
        <v>550</v>
      </c>
      <c r="F23" s="2">
        <v>14850</v>
      </c>
      <c r="G23" s="2">
        <v>4950</v>
      </c>
      <c r="H23" s="2"/>
      <c r="I23" s="2">
        <v>14850</v>
      </c>
      <c r="J23" s="2"/>
      <c r="K23" s="10">
        <f t="shared" si="0"/>
        <v>34650</v>
      </c>
      <c r="L23" s="10">
        <f t="shared" si="1"/>
        <v>63</v>
      </c>
    </row>
    <row r="24" spans="1:12" x14ac:dyDescent="0.2">
      <c r="A24" s="10">
        <v>17</v>
      </c>
      <c r="B24" s="1" t="s">
        <v>83</v>
      </c>
      <c r="C24" s="2" t="s">
        <v>26</v>
      </c>
      <c r="D24" s="10">
        <v>10</v>
      </c>
      <c r="E24" s="10">
        <v>330</v>
      </c>
      <c r="F24" s="2"/>
      <c r="G24" s="2"/>
      <c r="H24" s="2"/>
      <c r="I24" s="2"/>
      <c r="J24" s="2"/>
      <c r="K24" s="10">
        <f t="shared" si="0"/>
        <v>0</v>
      </c>
      <c r="L24" s="10">
        <f t="shared" si="1"/>
        <v>0</v>
      </c>
    </row>
    <row r="25" spans="1:12" x14ac:dyDescent="0.2">
      <c r="A25" s="10">
        <v>18</v>
      </c>
      <c r="B25" s="1" t="s">
        <v>84</v>
      </c>
      <c r="C25" s="2" t="s">
        <v>27</v>
      </c>
      <c r="D25" s="10">
        <v>10</v>
      </c>
      <c r="E25" s="10">
        <v>270</v>
      </c>
      <c r="F25" s="2"/>
      <c r="G25" s="2"/>
      <c r="H25" s="2">
        <v>5130</v>
      </c>
      <c r="I25" s="2"/>
      <c r="J25" s="2"/>
      <c r="K25" s="10">
        <f t="shared" si="0"/>
        <v>5130</v>
      </c>
      <c r="L25" s="10">
        <f t="shared" si="1"/>
        <v>19</v>
      </c>
    </row>
    <row r="26" spans="1:12" x14ac:dyDescent="0.2">
      <c r="A26" s="10" t="s">
        <v>28</v>
      </c>
      <c r="B26" s="5">
        <v>90447000</v>
      </c>
      <c r="C26" s="2" t="s">
        <v>29</v>
      </c>
      <c r="D26" s="10">
        <v>10</v>
      </c>
      <c r="E26" s="10">
        <v>270</v>
      </c>
      <c r="F26" s="2"/>
      <c r="G26" s="2"/>
      <c r="H26" s="2"/>
      <c r="I26" s="2"/>
      <c r="J26" s="2"/>
      <c r="K26" s="10">
        <f t="shared" si="0"/>
        <v>0</v>
      </c>
      <c r="L26" s="10">
        <f t="shared" si="1"/>
        <v>0</v>
      </c>
    </row>
    <row r="27" spans="1:12" x14ac:dyDescent="0.2">
      <c r="A27" s="10">
        <v>19</v>
      </c>
      <c r="B27" s="1" t="s">
        <v>30</v>
      </c>
      <c r="C27" s="2" t="s">
        <v>31</v>
      </c>
      <c r="D27" s="10">
        <v>10</v>
      </c>
      <c r="E27" s="10">
        <v>230</v>
      </c>
      <c r="F27" s="2"/>
      <c r="G27" s="2">
        <v>2070</v>
      </c>
      <c r="H27" s="2">
        <v>5750</v>
      </c>
      <c r="I27" s="2"/>
      <c r="J27" s="2"/>
      <c r="K27" s="10">
        <f t="shared" si="0"/>
        <v>7820</v>
      </c>
      <c r="L27" s="10">
        <f t="shared" si="1"/>
        <v>34</v>
      </c>
    </row>
    <row r="28" spans="1:12" x14ac:dyDescent="0.2">
      <c r="A28" s="10" t="s">
        <v>32</v>
      </c>
      <c r="B28" s="5">
        <v>90442300</v>
      </c>
      <c r="C28" s="2" t="s">
        <v>33</v>
      </c>
      <c r="D28" s="10">
        <v>10</v>
      </c>
      <c r="E28" s="10">
        <v>230</v>
      </c>
      <c r="F28" s="2"/>
      <c r="G28" s="2"/>
      <c r="H28" s="2"/>
      <c r="I28" s="2"/>
      <c r="J28" s="2"/>
      <c r="K28" s="10">
        <f t="shared" si="0"/>
        <v>0</v>
      </c>
      <c r="L28" s="10">
        <f t="shared" si="1"/>
        <v>0</v>
      </c>
    </row>
    <row r="29" spans="1:12" x14ac:dyDescent="0.2">
      <c r="A29" s="10">
        <v>20</v>
      </c>
      <c r="B29" s="1" t="s">
        <v>93</v>
      </c>
      <c r="C29" s="2" t="s">
        <v>34</v>
      </c>
      <c r="D29" s="10">
        <v>5</v>
      </c>
      <c r="E29" s="10">
        <v>75</v>
      </c>
      <c r="F29" s="2"/>
      <c r="G29" s="2"/>
      <c r="H29" s="2"/>
      <c r="I29" s="2"/>
      <c r="J29" s="2"/>
      <c r="K29" s="10">
        <f t="shared" si="0"/>
        <v>0</v>
      </c>
      <c r="L29" s="10">
        <f t="shared" si="1"/>
        <v>0</v>
      </c>
    </row>
    <row r="30" spans="1:12" x14ac:dyDescent="0.2">
      <c r="A30" s="10">
        <v>21</v>
      </c>
      <c r="B30" s="1" t="s">
        <v>35</v>
      </c>
      <c r="C30" s="2" t="s">
        <v>36</v>
      </c>
      <c r="D30" s="10">
        <v>5</v>
      </c>
      <c r="E30" s="10">
        <v>50</v>
      </c>
      <c r="F30" s="2"/>
      <c r="G30" s="2">
        <v>3000</v>
      </c>
      <c r="H30" s="2">
        <v>3000</v>
      </c>
      <c r="I30" s="2"/>
      <c r="J30" s="2"/>
      <c r="K30" s="10">
        <f t="shared" si="0"/>
        <v>6000</v>
      </c>
      <c r="L30" s="10">
        <f t="shared" si="1"/>
        <v>120</v>
      </c>
    </row>
    <row r="31" spans="1:12" x14ac:dyDescent="0.2">
      <c r="A31" s="10">
        <v>22</v>
      </c>
      <c r="B31" s="1" t="s">
        <v>101</v>
      </c>
      <c r="C31" s="2" t="s">
        <v>37</v>
      </c>
      <c r="D31" s="10">
        <v>50</v>
      </c>
      <c r="E31" s="10">
        <v>600</v>
      </c>
      <c r="F31" s="2"/>
      <c r="G31" s="2"/>
      <c r="H31" s="2"/>
      <c r="I31" s="2"/>
      <c r="J31" s="2"/>
      <c r="K31" s="10">
        <f t="shared" si="0"/>
        <v>0</v>
      </c>
      <c r="L31" s="10">
        <f t="shared" si="1"/>
        <v>0</v>
      </c>
    </row>
    <row r="32" spans="1:12" x14ac:dyDescent="0.2">
      <c r="A32" s="10">
        <v>23</v>
      </c>
      <c r="B32" s="1" t="s">
        <v>103</v>
      </c>
      <c r="C32" s="2" t="s">
        <v>38</v>
      </c>
      <c r="D32" s="10">
        <v>50</v>
      </c>
      <c r="E32" s="10">
        <v>2000</v>
      </c>
      <c r="F32" s="2"/>
      <c r="G32" s="2"/>
      <c r="H32" s="2"/>
      <c r="I32" s="2"/>
      <c r="J32" s="2">
        <v>16000</v>
      </c>
      <c r="K32" s="10">
        <f t="shared" si="0"/>
        <v>16000</v>
      </c>
      <c r="L32" s="10">
        <f t="shared" si="1"/>
        <v>8</v>
      </c>
    </row>
    <row r="33" spans="1:12" x14ac:dyDescent="0.2">
      <c r="A33" s="10">
        <v>24</v>
      </c>
      <c r="B33" s="1" t="s">
        <v>54</v>
      </c>
      <c r="C33" s="2" t="s">
        <v>39</v>
      </c>
      <c r="D33" s="10">
        <v>100</v>
      </c>
      <c r="E33" s="10">
        <v>2000</v>
      </c>
      <c r="F33" s="2"/>
      <c r="G33" s="2"/>
      <c r="H33" s="2"/>
      <c r="I33" s="2"/>
      <c r="J33" s="2">
        <v>16000</v>
      </c>
      <c r="K33" s="10">
        <f t="shared" si="0"/>
        <v>16000</v>
      </c>
      <c r="L33" s="10">
        <f t="shared" si="1"/>
        <v>8</v>
      </c>
    </row>
    <row r="34" spans="1:12" x14ac:dyDescent="0.2">
      <c r="A34" s="10">
        <v>25</v>
      </c>
      <c r="B34" s="1" t="s">
        <v>100</v>
      </c>
      <c r="C34" s="2" t="s">
        <v>40</v>
      </c>
      <c r="D34" s="10">
        <v>50</v>
      </c>
      <c r="E34" s="10">
        <v>1750</v>
      </c>
      <c r="F34" s="2"/>
      <c r="G34" s="2">
        <v>17500</v>
      </c>
      <c r="H34" s="2"/>
      <c r="I34" s="2">
        <v>10500</v>
      </c>
      <c r="J34" s="2">
        <v>8750</v>
      </c>
      <c r="K34" s="10">
        <f t="shared" si="0"/>
        <v>36750</v>
      </c>
      <c r="L34" s="10">
        <f t="shared" si="1"/>
        <v>21</v>
      </c>
    </row>
    <row r="35" spans="1:12" x14ac:dyDescent="0.2">
      <c r="A35" s="2"/>
      <c r="B35" s="2"/>
      <c r="C35" s="2"/>
      <c r="D35" s="410" t="s">
        <v>138</v>
      </c>
      <c r="E35" s="411"/>
      <c r="F35" s="2">
        <f t="shared" ref="F35:L35" si="2">SUM(F6:F34)</f>
        <v>235450</v>
      </c>
      <c r="G35" s="2">
        <f t="shared" si="2"/>
        <v>184320</v>
      </c>
      <c r="H35" s="2">
        <f t="shared" si="2"/>
        <v>50080</v>
      </c>
      <c r="I35" s="2">
        <f t="shared" si="2"/>
        <v>153350</v>
      </c>
      <c r="J35" s="2">
        <f t="shared" si="2"/>
        <v>66350</v>
      </c>
      <c r="K35" s="15">
        <f t="shared" si="2"/>
        <v>689550</v>
      </c>
      <c r="L35" s="10">
        <f t="shared" si="2"/>
        <v>1002</v>
      </c>
    </row>
  </sheetData>
  <autoFilter ref="B3:B34"/>
  <mergeCells count="5">
    <mergeCell ref="K1:L1"/>
    <mergeCell ref="D35:E35"/>
    <mergeCell ref="D3:E3"/>
    <mergeCell ref="A1:E1"/>
    <mergeCell ref="A2:E2"/>
  </mergeCells>
  <phoneticPr fontId="0" type="noConversion"/>
  <pageMargins left="0.5" right="0.5" top="0.5" bottom="0.5" header="0" footer="0"/>
  <pageSetup paperSize="9" orientation="landscape" horizontalDpi="4294967295" verticalDpi="18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opLeftCell="A19" workbookViewId="0">
      <pane xSplit="5" topLeftCell="F1" activePane="topRight" state="frozenSplit"/>
      <selection pane="topRight" activeCell="C39" sqref="C39"/>
    </sheetView>
  </sheetViews>
  <sheetFormatPr defaultRowHeight="12.75" x14ac:dyDescent="0.2"/>
  <cols>
    <col min="1" max="1" width="4.28515625" bestFit="1" customWidth="1"/>
    <col min="2" max="2" width="10.5703125" bestFit="1" customWidth="1"/>
    <col min="3" max="3" width="32.7109375" customWidth="1"/>
    <col min="4" max="4" width="5.85546875" bestFit="1" customWidth="1"/>
    <col min="5" max="5" width="5" bestFit="1" customWidth="1"/>
    <col min="6" max="11" width="10.140625" bestFit="1" customWidth="1"/>
    <col min="12" max="12" width="10.140625" customWidth="1"/>
  </cols>
  <sheetData>
    <row r="1" spans="1:14" x14ac:dyDescent="0.2">
      <c r="A1" s="409" t="s">
        <v>122</v>
      </c>
      <c r="B1" s="409"/>
      <c r="C1" s="409"/>
      <c r="D1" s="409"/>
      <c r="E1" s="409"/>
      <c r="F1" s="8" t="s">
        <v>74</v>
      </c>
      <c r="G1" s="8" t="s">
        <v>75</v>
      </c>
      <c r="H1" s="8" t="s">
        <v>77</v>
      </c>
      <c r="I1" s="8" t="s">
        <v>104</v>
      </c>
      <c r="J1" s="8" t="s">
        <v>106</v>
      </c>
      <c r="K1" s="8" t="s">
        <v>108</v>
      </c>
      <c r="L1" s="8" t="s">
        <v>109</v>
      </c>
      <c r="M1" s="412" t="s">
        <v>138</v>
      </c>
      <c r="N1" s="413"/>
    </row>
    <row r="2" spans="1:14" x14ac:dyDescent="0.2">
      <c r="A2" s="409" t="s">
        <v>42</v>
      </c>
      <c r="B2" s="409"/>
      <c r="C2" s="409"/>
      <c r="D2" s="409"/>
      <c r="E2" s="409"/>
      <c r="F2" s="2" t="s">
        <v>73</v>
      </c>
      <c r="G2" s="2" t="s">
        <v>76</v>
      </c>
      <c r="H2" s="2" t="s">
        <v>78</v>
      </c>
      <c r="I2" s="3" t="s">
        <v>105</v>
      </c>
      <c r="J2" s="3" t="s">
        <v>107</v>
      </c>
      <c r="K2" s="2" t="s">
        <v>111</v>
      </c>
      <c r="L2" s="2" t="s">
        <v>112</v>
      </c>
      <c r="M2" s="2"/>
      <c r="N2" s="2"/>
    </row>
    <row r="3" spans="1:14" ht="25.5" x14ac:dyDescent="0.2">
      <c r="A3" s="9" t="s">
        <v>1</v>
      </c>
      <c r="B3" s="4" t="s">
        <v>2</v>
      </c>
      <c r="C3" s="4" t="s">
        <v>0</v>
      </c>
      <c r="D3" s="408" t="s">
        <v>3</v>
      </c>
      <c r="E3" s="408"/>
      <c r="F3" s="2"/>
      <c r="G3" s="2"/>
      <c r="H3" s="2"/>
      <c r="I3" s="2"/>
      <c r="J3" s="2"/>
      <c r="K3" s="2"/>
      <c r="L3" s="2"/>
      <c r="M3" s="2"/>
      <c r="N3" s="2"/>
    </row>
    <row r="4" spans="1:14" x14ac:dyDescent="0.2">
      <c r="A4" s="10"/>
      <c r="B4" s="2"/>
      <c r="C4" s="2"/>
      <c r="D4" s="5" t="s">
        <v>4</v>
      </c>
      <c r="E4" s="5" t="s">
        <v>5</v>
      </c>
      <c r="F4" s="1" t="s">
        <v>43</v>
      </c>
      <c r="G4" s="1" t="s">
        <v>43</v>
      </c>
      <c r="H4" s="1" t="s">
        <v>43</v>
      </c>
      <c r="I4" s="1" t="s">
        <v>43</v>
      </c>
      <c r="J4" s="1" t="s">
        <v>43</v>
      </c>
      <c r="K4" s="1" t="s">
        <v>43</v>
      </c>
      <c r="L4" s="1" t="s">
        <v>43</v>
      </c>
      <c r="M4" s="1" t="s">
        <v>43</v>
      </c>
      <c r="N4" s="12" t="s">
        <v>136</v>
      </c>
    </row>
    <row r="5" spans="1:14" x14ac:dyDescent="0.2">
      <c r="A5" s="10"/>
      <c r="B5" s="2"/>
      <c r="C5" s="2"/>
      <c r="D5" s="10"/>
      <c r="E5" s="10"/>
      <c r="F5" s="2"/>
      <c r="G5" s="2"/>
      <c r="H5" s="2"/>
      <c r="I5" s="2"/>
      <c r="J5" s="2"/>
      <c r="K5" s="2"/>
      <c r="L5" s="2"/>
      <c r="M5" s="2"/>
      <c r="N5" s="2"/>
    </row>
    <row r="6" spans="1:14" x14ac:dyDescent="0.2">
      <c r="A6" s="10">
        <v>1</v>
      </c>
      <c r="B6" s="1" t="s">
        <v>85</v>
      </c>
      <c r="C6" s="2" t="s">
        <v>6</v>
      </c>
      <c r="D6" s="10">
        <v>100</v>
      </c>
      <c r="E6" s="10">
        <v>2800</v>
      </c>
      <c r="F6" s="2"/>
      <c r="G6" s="2"/>
      <c r="H6" s="2"/>
      <c r="I6" s="2"/>
      <c r="J6" s="2"/>
      <c r="K6" s="2"/>
      <c r="L6" s="2"/>
      <c r="M6" s="2">
        <f>SUM(F6:L6)</f>
        <v>0</v>
      </c>
      <c r="N6" s="2">
        <f>M6/E6</f>
        <v>0</v>
      </c>
    </row>
    <row r="7" spans="1:14" x14ac:dyDescent="0.2">
      <c r="A7" s="10">
        <v>2</v>
      </c>
      <c r="B7" s="1" t="s">
        <v>81</v>
      </c>
      <c r="C7" s="2" t="s">
        <v>7</v>
      </c>
      <c r="D7" s="10">
        <v>100</v>
      </c>
      <c r="E7" s="10">
        <v>2800</v>
      </c>
      <c r="F7" s="2"/>
      <c r="G7" s="2"/>
      <c r="H7" s="2"/>
      <c r="I7" s="2"/>
      <c r="J7" s="2"/>
      <c r="K7" s="2"/>
      <c r="L7" s="2"/>
      <c r="M7" s="2">
        <f t="shared" ref="M7:M34" si="0">SUM(F7:L7)</f>
        <v>0</v>
      </c>
      <c r="N7" s="2">
        <f t="shared" ref="N7:N34" si="1">M7/E7</f>
        <v>0</v>
      </c>
    </row>
    <row r="8" spans="1:14" x14ac:dyDescent="0.2">
      <c r="A8" s="10">
        <v>3</v>
      </c>
      <c r="B8" s="1" t="s">
        <v>86</v>
      </c>
      <c r="C8" s="2" t="s">
        <v>8</v>
      </c>
      <c r="D8" s="10">
        <v>50</v>
      </c>
      <c r="E8" s="10">
        <v>1100</v>
      </c>
      <c r="F8" s="2">
        <v>5500</v>
      </c>
      <c r="G8" s="2">
        <v>15400</v>
      </c>
      <c r="H8" s="2">
        <v>6600</v>
      </c>
      <c r="I8" s="3">
        <v>3300</v>
      </c>
      <c r="J8" s="2"/>
      <c r="K8" s="2">
        <v>4400</v>
      </c>
      <c r="L8" s="2">
        <v>9900</v>
      </c>
      <c r="M8" s="2">
        <f t="shared" si="0"/>
        <v>45100</v>
      </c>
      <c r="N8" s="2">
        <f t="shared" si="1"/>
        <v>41</v>
      </c>
    </row>
    <row r="9" spans="1:14" x14ac:dyDescent="0.2">
      <c r="A9" s="10">
        <v>4</v>
      </c>
      <c r="B9" s="1" t="s">
        <v>87</v>
      </c>
      <c r="C9" s="2" t="s">
        <v>9</v>
      </c>
      <c r="D9" s="10">
        <v>50</v>
      </c>
      <c r="E9" s="10">
        <v>1000</v>
      </c>
      <c r="F9" s="2">
        <v>10000</v>
      </c>
      <c r="G9" s="2">
        <v>10000</v>
      </c>
      <c r="H9" s="2">
        <v>5000</v>
      </c>
      <c r="I9" s="2"/>
      <c r="J9" s="2"/>
      <c r="K9" s="2">
        <v>22000</v>
      </c>
      <c r="L9" s="2"/>
      <c r="M9" s="2">
        <f t="shared" si="0"/>
        <v>47000</v>
      </c>
      <c r="N9" s="2">
        <f t="shared" si="1"/>
        <v>47</v>
      </c>
    </row>
    <row r="10" spans="1:14" x14ac:dyDescent="0.2">
      <c r="A10" s="10">
        <v>5</v>
      </c>
      <c r="B10" s="1" t="s">
        <v>82</v>
      </c>
      <c r="C10" s="2" t="s">
        <v>10</v>
      </c>
      <c r="D10" s="10">
        <v>50</v>
      </c>
      <c r="E10" s="10">
        <v>800</v>
      </c>
      <c r="F10" s="2"/>
      <c r="G10" s="2"/>
      <c r="H10" s="2"/>
      <c r="I10" s="2"/>
      <c r="J10" s="2"/>
      <c r="K10" s="2"/>
      <c r="L10" s="2"/>
      <c r="M10" s="2">
        <f t="shared" si="0"/>
        <v>0</v>
      </c>
      <c r="N10" s="2">
        <f t="shared" si="1"/>
        <v>0</v>
      </c>
    </row>
    <row r="11" spans="1:14" x14ac:dyDescent="0.2">
      <c r="A11" s="10">
        <v>6</v>
      </c>
      <c r="B11" s="1" t="s">
        <v>89</v>
      </c>
      <c r="C11" s="2" t="s">
        <v>11</v>
      </c>
      <c r="D11" s="10">
        <v>50</v>
      </c>
      <c r="E11" s="10">
        <v>600</v>
      </c>
      <c r="F11" s="2">
        <v>10200</v>
      </c>
      <c r="G11" s="2">
        <v>12600</v>
      </c>
      <c r="H11" s="2"/>
      <c r="I11" s="3">
        <v>5400</v>
      </c>
      <c r="J11" s="2"/>
      <c r="K11" s="2"/>
      <c r="L11" s="2"/>
      <c r="M11" s="2">
        <f t="shared" si="0"/>
        <v>28200</v>
      </c>
      <c r="N11" s="2">
        <f t="shared" si="1"/>
        <v>47</v>
      </c>
    </row>
    <row r="12" spans="1:14" x14ac:dyDescent="0.2">
      <c r="A12" s="10" t="s">
        <v>12</v>
      </c>
      <c r="B12" s="1" t="s">
        <v>79</v>
      </c>
      <c r="C12" s="2" t="s">
        <v>13</v>
      </c>
      <c r="D12" s="10">
        <v>50</v>
      </c>
      <c r="E12" s="10">
        <v>600</v>
      </c>
      <c r="F12" s="2">
        <v>4800</v>
      </c>
      <c r="G12" s="2"/>
      <c r="H12" s="2"/>
      <c r="I12" s="2"/>
      <c r="J12" s="2"/>
      <c r="K12" s="2"/>
      <c r="L12" s="2"/>
      <c r="M12" s="2">
        <f t="shared" si="0"/>
        <v>4800</v>
      </c>
      <c r="N12" s="2">
        <f t="shared" si="1"/>
        <v>8</v>
      </c>
    </row>
    <row r="13" spans="1:14" x14ac:dyDescent="0.2">
      <c r="A13" s="10">
        <v>7</v>
      </c>
      <c r="B13" s="1" t="s">
        <v>88</v>
      </c>
      <c r="C13" s="2" t="s">
        <v>14</v>
      </c>
      <c r="D13" s="10">
        <v>10</v>
      </c>
      <c r="E13" s="10">
        <v>400</v>
      </c>
      <c r="F13" s="2"/>
      <c r="G13" s="2"/>
      <c r="H13" s="2"/>
      <c r="I13" s="2"/>
      <c r="J13" s="2"/>
      <c r="K13" s="2"/>
      <c r="L13" s="2"/>
      <c r="M13" s="2">
        <f t="shared" si="0"/>
        <v>0</v>
      </c>
      <c r="N13" s="2">
        <f t="shared" si="1"/>
        <v>0</v>
      </c>
    </row>
    <row r="14" spans="1:14" x14ac:dyDescent="0.2">
      <c r="A14" s="10">
        <v>8</v>
      </c>
      <c r="B14" s="1" t="s">
        <v>90</v>
      </c>
      <c r="C14" s="2" t="s">
        <v>15</v>
      </c>
      <c r="D14" s="10">
        <v>10</v>
      </c>
      <c r="E14" s="10">
        <v>400</v>
      </c>
      <c r="F14" s="2">
        <v>10000</v>
      </c>
      <c r="G14" s="2">
        <v>6000</v>
      </c>
      <c r="H14" s="2">
        <v>12000</v>
      </c>
      <c r="I14" s="3">
        <v>3600</v>
      </c>
      <c r="J14" s="3">
        <v>1600</v>
      </c>
      <c r="K14" s="2">
        <v>2000</v>
      </c>
      <c r="L14" s="2">
        <v>7200</v>
      </c>
      <c r="M14" s="2">
        <f t="shared" si="0"/>
        <v>42400</v>
      </c>
      <c r="N14" s="2">
        <f t="shared" si="1"/>
        <v>106</v>
      </c>
    </row>
    <row r="15" spans="1:14" x14ac:dyDescent="0.2">
      <c r="A15" s="10">
        <v>9</v>
      </c>
      <c r="B15" s="1" t="s">
        <v>91</v>
      </c>
      <c r="C15" s="2" t="s">
        <v>16</v>
      </c>
      <c r="D15" s="10">
        <v>10</v>
      </c>
      <c r="E15" s="10">
        <v>300</v>
      </c>
      <c r="F15" s="2"/>
      <c r="G15" s="2"/>
      <c r="H15" s="2"/>
      <c r="I15" s="2"/>
      <c r="J15" s="2"/>
      <c r="K15" s="2"/>
      <c r="L15" s="2"/>
      <c r="M15" s="2">
        <f t="shared" si="0"/>
        <v>0</v>
      </c>
      <c r="N15" s="2">
        <f t="shared" si="1"/>
        <v>0</v>
      </c>
    </row>
    <row r="16" spans="1:14" x14ac:dyDescent="0.2">
      <c r="A16" s="10" t="s">
        <v>17</v>
      </c>
      <c r="B16" s="1" t="s">
        <v>80</v>
      </c>
      <c r="C16" s="2" t="s">
        <v>18</v>
      </c>
      <c r="D16" s="10">
        <v>10</v>
      </c>
      <c r="E16" s="10">
        <v>300</v>
      </c>
      <c r="F16" s="2"/>
      <c r="G16" s="2"/>
      <c r="H16" s="2"/>
      <c r="I16" s="2"/>
      <c r="J16" s="2"/>
      <c r="K16" s="2"/>
      <c r="L16" s="2"/>
      <c r="M16" s="2">
        <f t="shared" si="0"/>
        <v>0</v>
      </c>
      <c r="N16" s="2">
        <f t="shared" si="1"/>
        <v>0</v>
      </c>
    </row>
    <row r="17" spans="1:14" x14ac:dyDescent="0.2">
      <c r="A17" s="10">
        <v>10</v>
      </c>
      <c r="B17" s="1" t="s">
        <v>94</v>
      </c>
      <c r="C17" s="2" t="s">
        <v>19</v>
      </c>
      <c r="D17" s="11">
        <v>10</v>
      </c>
      <c r="E17" s="10">
        <v>130</v>
      </c>
      <c r="F17" s="2"/>
      <c r="G17" s="2"/>
      <c r="H17" s="2"/>
      <c r="I17" s="2">
        <v>1950</v>
      </c>
      <c r="J17" s="2"/>
      <c r="K17" s="2"/>
      <c r="L17" s="2"/>
      <c r="M17" s="2">
        <f t="shared" si="0"/>
        <v>1950</v>
      </c>
      <c r="N17" s="2">
        <f t="shared" si="1"/>
        <v>15</v>
      </c>
    </row>
    <row r="18" spans="1:14" x14ac:dyDescent="0.2">
      <c r="A18" s="10">
        <v>11</v>
      </c>
      <c r="B18" s="1" t="s">
        <v>92</v>
      </c>
      <c r="C18" s="2" t="s">
        <v>20</v>
      </c>
      <c r="D18" s="10">
        <v>10</v>
      </c>
      <c r="E18" s="10">
        <v>110</v>
      </c>
      <c r="F18" s="2">
        <v>2970</v>
      </c>
      <c r="G18" s="2"/>
      <c r="H18" s="2">
        <v>3630</v>
      </c>
      <c r="I18" s="2">
        <v>1430</v>
      </c>
      <c r="J18" s="2"/>
      <c r="K18" s="2"/>
      <c r="L18" s="2">
        <v>2750</v>
      </c>
      <c r="M18" s="2">
        <f t="shared" si="0"/>
        <v>10780</v>
      </c>
      <c r="N18" s="2">
        <f t="shared" si="1"/>
        <v>98</v>
      </c>
    </row>
    <row r="19" spans="1:14" x14ac:dyDescent="0.2">
      <c r="A19" s="10">
        <v>12</v>
      </c>
      <c r="B19" s="1" t="s">
        <v>95</v>
      </c>
      <c r="C19" s="2" t="s">
        <v>21</v>
      </c>
      <c r="D19" s="10">
        <v>10</v>
      </c>
      <c r="E19" s="10">
        <v>80</v>
      </c>
      <c r="F19" s="2"/>
      <c r="G19" s="2"/>
      <c r="H19" s="2"/>
      <c r="I19" s="2"/>
      <c r="J19" s="2"/>
      <c r="K19" s="2"/>
      <c r="L19" s="2"/>
      <c r="M19" s="2">
        <f t="shared" si="0"/>
        <v>0</v>
      </c>
      <c r="N19" s="2">
        <f t="shared" si="1"/>
        <v>0</v>
      </c>
    </row>
    <row r="20" spans="1:14" x14ac:dyDescent="0.2">
      <c r="A20" s="10">
        <v>13</v>
      </c>
      <c r="B20" s="1" t="s">
        <v>99</v>
      </c>
      <c r="C20" s="2" t="s">
        <v>22</v>
      </c>
      <c r="D20" s="10">
        <v>100</v>
      </c>
      <c r="E20" s="10">
        <v>1200</v>
      </c>
      <c r="F20" s="2">
        <v>9600</v>
      </c>
      <c r="G20" s="2">
        <v>50400</v>
      </c>
      <c r="H20" s="2">
        <v>16800</v>
      </c>
      <c r="I20" s="3">
        <v>27600</v>
      </c>
      <c r="J20" s="3">
        <v>6000</v>
      </c>
      <c r="K20" s="2">
        <v>14400</v>
      </c>
      <c r="L20" s="2">
        <v>18000</v>
      </c>
      <c r="M20" s="2">
        <f t="shared" si="0"/>
        <v>142800</v>
      </c>
      <c r="N20" s="2">
        <f t="shared" si="1"/>
        <v>119</v>
      </c>
    </row>
    <row r="21" spans="1:14" x14ac:dyDescent="0.2">
      <c r="A21" s="10">
        <v>14</v>
      </c>
      <c r="B21" s="1" t="s">
        <v>102</v>
      </c>
      <c r="C21" s="2" t="s">
        <v>23</v>
      </c>
      <c r="D21" s="10">
        <v>100</v>
      </c>
      <c r="E21" s="10">
        <v>1000</v>
      </c>
      <c r="F21" s="2"/>
      <c r="G21" s="2">
        <v>12000</v>
      </c>
      <c r="H21" s="2"/>
      <c r="I21" s="3">
        <v>10000</v>
      </c>
      <c r="J21" s="2"/>
      <c r="K21" s="2"/>
      <c r="L21" s="2"/>
      <c r="M21" s="2">
        <f t="shared" si="0"/>
        <v>22000</v>
      </c>
      <c r="N21" s="2">
        <f t="shared" si="1"/>
        <v>22</v>
      </c>
    </row>
    <row r="22" spans="1:14" x14ac:dyDescent="0.2">
      <c r="A22" s="10">
        <v>15</v>
      </c>
      <c r="B22" s="1" t="s">
        <v>97</v>
      </c>
      <c r="C22" s="2" t="s">
        <v>24</v>
      </c>
      <c r="D22" s="10">
        <v>50</v>
      </c>
      <c r="E22" s="10">
        <v>2800</v>
      </c>
      <c r="F22" s="2"/>
      <c r="G22" s="2">
        <v>11200</v>
      </c>
      <c r="H22" s="2"/>
      <c r="I22" s="3">
        <v>14000</v>
      </c>
      <c r="J22" s="2"/>
      <c r="K22" s="2">
        <v>5600</v>
      </c>
      <c r="L22" s="2"/>
      <c r="M22" s="2">
        <f t="shared" si="0"/>
        <v>30800</v>
      </c>
      <c r="N22" s="2">
        <f t="shared" si="1"/>
        <v>11</v>
      </c>
    </row>
    <row r="23" spans="1:14" x14ac:dyDescent="0.2">
      <c r="A23" s="10">
        <v>16</v>
      </c>
      <c r="B23" s="1" t="s">
        <v>98</v>
      </c>
      <c r="C23" s="2" t="s">
        <v>25</v>
      </c>
      <c r="D23" s="10">
        <v>50</v>
      </c>
      <c r="E23" s="10">
        <v>550</v>
      </c>
      <c r="F23" s="2">
        <v>5500</v>
      </c>
      <c r="G23" s="2">
        <v>4950</v>
      </c>
      <c r="H23" s="2">
        <v>2200</v>
      </c>
      <c r="I23" s="3">
        <v>3300</v>
      </c>
      <c r="J23" s="2"/>
      <c r="K23" s="2">
        <v>16500</v>
      </c>
      <c r="L23" s="2"/>
      <c r="M23" s="2">
        <f t="shared" si="0"/>
        <v>32450</v>
      </c>
      <c r="N23" s="2">
        <f t="shared" si="1"/>
        <v>59</v>
      </c>
    </row>
    <row r="24" spans="1:14" x14ac:dyDescent="0.2">
      <c r="A24" s="10">
        <v>17</v>
      </c>
      <c r="B24" s="1" t="s">
        <v>83</v>
      </c>
      <c r="C24" s="2" t="s">
        <v>26</v>
      </c>
      <c r="D24" s="10">
        <v>10</v>
      </c>
      <c r="E24" s="10">
        <v>330</v>
      </c>
      <c r="F24" s="2"/>
      <c r="G24" s="2"/>
      <c r="H24" s="2"/>
      <c r="I24" s="2"/>
      <c r="J24" s="2"/>
      <c r="K24" s="2"/>
      <c r="L24" s="2"/>
      <c r="M24" s="2">
        <f t="shared" si="0"/>
        <v>0</v>
      </c>
      <c r="N24" s="2">
        <f t="shared" si="1"/>
        <v>0</v>
      </c>
    </row>
    <row r="25" spans="1:14" x14ac:dyDescent="0.2">
      <c r="A25" s="10">
        <v>18</v>
      </c>
      <c r="B25" s="1" t="s">
        <v>117</v>
      </c>
      <c r="C25" s="2" t="s">
        <v>27</v>
      </c>
      <c r="D25" s="10">
        <v>10</v>
      </c>
      <c r="E25" s="10">
        <v>270</v>
      </c>
      <c r="F25" s="2"/>
      <c r="G25" s="2"/>
      <c r="H25" s="2"/>
      <c r="I25" s="2"/>
      <c r="J25" s="2"/>
      <c r="K25" s="2"/>
      <c r="L25" s="2"/>
      <c r="M25" s="2">
        <f t="shared" si="0"/>
        <v>0</v>
      </c>
      <c r="N25" s="2">
        <f t="shared" si="1"/>
        <v>0</v>
      </c>
    </row>
    <row r="26" spans="1:14" x14ac:dyDescent="0.2">
      <c r="A26" s="10" t="s">
        <v>28</v>
      </c>
      <c r="B26" s="5">
        <v>90447000</v>
      </c>
      <c r="C26" s="2" t="s">
        <v>29</v>
      </c>
      <c r="D26" s="10">
        <v>10</v>
      </c>
      <c r="E26" s="10">
        <v>270</v>
      </c>
      <c r="F26" s="2">
        <v>5400</v>
      </c>
      <c r="G26" s="2">
        <v>4590</v>
      </c>
      <c r="H26" s="2"/>
      <c r="I26" s="2"/>
      <c r="J26" s="2"/>
      <c r="K26" s="2"/>
      <c r="L26" s="2"/>
      <c r="M26" s="2">
        <f t="shared" si="0"/>
        <v>9990</v>
      </c>
      <c r="N26" s="2">
        <f t="shared" si="1"/>
        <v>37</v>
      </c>
    </row>
    <row r="27" spans="1:14" x14ac:dyDescent="0.2">
      <c r="A27" s="10">
        <v>19</v>
      </c>
      <c r="B27" s="1" t="s">
        <v>30</v>
      </c>
      <c r="C27" s="2" t="s">
        <v>31</v>
      </c>
      <c r="D27" s="10">
        <v>10</v>
      </c>
      <c r="E27" s="10">
        <v>230</v>
      </c>
      <c r="F27" s="2"/>
      <c r="G27" s="2"/>
      <c r="H27" s="2">
        <v>2990</v>
      </c>
      <c r="I27" s="2"/>
      <c r="J27" s="2"/>
      <c r="K27" s="2"/>
      <c r="L27" s="2"/>
      <c r="M27" s="2">
        <f t="shared" si="0"/>
        <v>2990</v>
      </c>
      <c r="N27" s="2">
        <f t="shared" si="1"/>
        <v>13</v>
      </c>
    </row>
    <row r="28" spans="1:14" x14ac:dyDescent="0.2">
      <c r="A28" s="10" t="s">
        <v>32</v>
      </c>
      <c r="B28" s="5">
        <v>90442300</v>
      </c>
      <c r="C28" s="2" t="s">
        <v>33</v>
      </c>
      <c r="D28" s="10">
        <v>10</v>
      </c>
      <c r="E28" s="10">
        <v>230</v>
      </c>
      <c r="F28" s="2"/>
      <c r="G28" s="2"/>
      <c r="H28" s="2"/>
      <c r="I28" s="2"/>
      <c r="J28" s="2"/>
      <c r="K28" s="2"/>
      <c r="L28" s="2"/>
      <c r="M28" s="2">
        <f t="shared" si="0"/>
        <v>0</v>
      </c>
      <c r="N28" s="2">
        <f t="shared" si="1"/>
        <v>0</v>
      </c>
    </row>
    <row r="29" spans="1:14" x14ac:dyDescent="0.2">
      <c r="A29" s="10">
        <v>20</v>
      </c>
      <c r="B29" s="1" t="s">
        <v>93</v>
      </c>
      <c r="C29" s="2" t="s">
        <v>34</v>
      </c>
      <c r="D29" s="10">
        <v>5</v>
      </c>
      <c r="E29" s="10">
        <v>75</v>
      </c>
      <c r="F29" s="2"/>
      <c r="G29" s="2"/>
      <c r="H29" s="2"/>
      <c r="I29" s="2"/>
      <c r="J29" s="2"/>
      <c r="K29" s="2">
        <v>3000</v>
      </c>
      <c r="L29" s="2"/>
      <c r="M29" s="2">
        <f t="shared" si="0"/>
        <v>3000</v>
      </c>
      <c r="N29" s="2">
        <f t="shared" si="1"/>
        <v>40</v>
      </c>
    </row>
    <row r="30" spans="1:14" x14ac:dyDescent="0.2">
      <c r="A30" s="10">
        <v>21</v>
      </c>
      <c r="B30" s="1" t="s">
        <v>35</v>
      </c>
      <c r="C30" s="2" t="s">
        <v>36</v>
      </c>
      <c r="D30" s="10">
        <v>5</v>
      </c>
      <c r="E30" s="10">
        <v>50</v>
      </c>
      <c r="F30" s="2"/>
      <c r="G30" s="2"/>
      <c r="H30" s="2">
        <v>750</v>
      </c>
      <c r="I30" s="2">
        <v>1250</v>
      </c>
      <c r="J30" s="2">
        <v>1500</v>
      </c>
      <c r="K30" s="2"/>
      <c r="L30" s="2"/>
      <c r="M30" s="2">
        <f t="shared" si="0"/>
        <v>3500</v>
      </c>
      <c r="N30" s="2">
        <f t="shared" si="1"/>
        <v>70</v>
      </c>
    </row>
    <row r="31" spans="1:14" x14ac:dyDescent="0.2">
      <c r="A31" s="10">
        <v>22</v>
      </c>
      <c r="B31" s="1" t="s">
        <v>101</v>
      </c>
      <c r="C31" s="2" t="s">
        <v>37</v>
      </c>
      <c r="D31" s="10">
        <v>50</v>
      </c>
      <c r="E31" s="10">
        <v>600</v>
      </c>
      <c r="F31" s="2"/>
      <c r="G31" s="2"/>
      <c r="H31" s="2"/>
      <c r="I31" s="2"/>
      <c r="J31" s="2"/>
      <c r="K31" s="2"/>
      <c r="L31" s="2"/>
      <c r="M31" s="2">
        <f t="shared" si="0"/>
        <v>0</v>
      </c>
      <c r="N31" s="2">
        <f t="shared" si="1"/>
        <v>0</v>
      </c>
    </row>
    <row r="32" spans="1:14" x14ac:dyDescent="0.2">
      <c r="A32" s="10">
        <v>23</v>
      </c>
      <c r="B32" s="1" t="s">
        <v>103</v>
      </c>
      <c r="C32" s="2" t="s">
        <v>38</v>
      </c>
      <c r="D32" s="10">
        <v>50</v>
      </c>
      <c r="E32" s="10">
        <v>2000</v>
      </c>
      <c r="F32" s="2"/>
      <c r="G32" s="2"/>
      <c r="H32" s="2"/>
      <c r="I32" s="2"/>
      <c r="J32" s="2"/>
      <c r="K32" s="2"/>
      <c r="L32" s="2"/>
      <c r="M32" s="2">
        <f t="shared" si="0"/>
        <v>0</v>
      </c>
      <c r="N32" s="2">
        <f t="shared" si="1"/>
        <v>0</v>
      </c>
    </row>
    <row r="33" spans="1:14" x14ac:dyDescent="0.2">
      <c r="A33" s="10">
        <v>24</v>
      </c>
      <c r="B33" s="1" t="s">
        <v>54</v>
      </c>
      <c r="C33" s="2" t="s">
        <v>39</v>
      </c>
      <c r="D33" s="10">
        <v>100</v>
      </c>
      <c r="E33" s="10">
        <v>2000</v>
      </c>
      <c r="F33" s="2"/>
      <c r="G33" s="2"/>
      <c r="H33" s="2"/>
      <c r="I33" s="2"/>
      <c r="J33" s="2"/>
      <c r="K33" s="2"/>
      <c r="L33" s="2"/>
      <c r="M33" s="2">
        <f t="shared" si="0"/>
        <v>0</v>
      </c>
      <c r="N33" s="2">
        <f t="shared" si="1"/>
        <v>0</v>
      </c>
    </row>
    <row r="34" spans="1:14" x14ac:dyDescent="0.2">
      <c r="A34" s="10">
        <v>25</v>
      </c>
      <c r="B34" s="1" t="s">
        <v>100</v>
      </c>
      <c r="C34" s="2" t="s">
        <v>40</v>
      </c>
      <c r="D34" s="10">
        <v>50</v>
      </c>
      <c r="E34" s="10">
        <v>1750</v>
      </c>
      <c r="F34" s="2"/>
      <c r="G34" s="2">
        <v>10500</v>
      </c>
      <c r="H34" s="2"/>
      <c r="I34" s="3">
        <v>10500</v>
      </c>
      <c r="J34" s="2"/>
      <c r="K34" s="2"/>
      <c r="L34" s="2"/>
      <c r="M34" s="2">
        <f t="shared" si="0"/>
        <v>21000</v>
      </c>
      <c r="N34" s="2">
        <f t="shared" si="1"/>
        <v>12</v>
      </c>
    </row>
    <row r="35" spans="1:14" x14ac:dyDescent="0.2">
      <c r="A35" s="2"/>
      <c r="B35" s="2"/>
      <c r="C35" s="2"/>
      <c r="D35" s="409" t="s">
        <v>138</v>
      </c>
      <c r="E35" s="409"/>
      <c r="F35" s="2">
        <f t="shared" ref="F35:N35" si="2">SUM(F6:F34)</f>
        <v>63970</v>
      </c>
      <c r="G35" s="2">
        <f t="shared" si="2"/>
        <v>137640</v>
      </c>
      <c r="H35" s="2">
        <f t="shared" si="2"/>
        <v>49970</v>
      </c>
      <c r="I35" s="2">
        <f t="shared" si="2"/>
        <v>82330</v>
      </c>
      <c r="J35" s="2">
        <f t="shared" si="2"/>
        <v>9100</v>
      </c>
      <c r="K35" s="2">
        <f t="shared" si="2"/>
        <v>67900</v>
      </c>
      <c r="L35" s="2">
        <f t="shared" si="2"/>
        <v>37850</v>
      </c>
      <c r="M35" s="3">
        <f t="shared" si="2"/>
        <v>448760</v>
      </c>
      <c r="N35" s="2">
        <f t="shared" si="2"/>
        <v>745</v>
      </c>
    </row>
  </sheetData>
  <autoFilter ref="B3:B34"/>
  <mergeCells count="5">
    <mergeCell ref="M1:N1"/>
    <mergeCell ref="D35:E35"/>
    <mergeCell ref="D3:E3"/>
    <mergeCell ref="A1:E1"/>
    <mergeCell ref="A2:E2"/>
  </mergeCells>
  <phoneticPr fontId="0" type="noConversion"/>
  <pageMargins left="0.5" right="0.5" top="0.5" bottom="0.5" header="0" footer="0"/>
  <pageSetup paperSize="9" orientation="landscape" horizontalDpi="4294967295" verticalDpi="18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topLeftCell="A13" workbookViewId="0">
      <pane xSplit="5" topLeftCell="I1" activePane="topRight" state="frozenSplit"/>
      <selection pane="topRight" activeCell="A34" sqref="A34"/>
    </sheetView>
  </sheetViews>
  <sheetFormatPr defaultRowHeight="12.75" x14ac:dyDescent="0.2"/>
  <cols>
    <col min="1" max="1" width="4.28515625" bestFit="1" customWidth="1"/>
    <col min="2" max="2" width="10.85546875" bestFit="1" customWidth="1"/>
    <col min="3" max="3" width="32.7109375" customWidth="1"/>
    <col min="4" max="4" width="5.85546875" bestFit="1" customWidth="1"/>
    <col min="5" max="5" width="5" bestFit="1" customWidth="1"/>
    <col min="6" max="15" width="10.140625" bestFit="1" customWidth="1"/>
    <col min="16" max="16" width="10.7109375" bestFit="1" customWidth="1"/>
    <col min="17" max="18" width="10.140625" bestFit="1" customWidth="1"/>
    <col min="19" max="19" width="9.140625" style="17"/>
    <col min="20" max="20" width="7.42578125" style="17" bestFit="1" customWidth="1"/>
  </cols>
  <sheetData>
    <row r="1" spans="1:20" x14ac:dyDescent="0.2">
      <c r="A1" s="409" t="s">
        <v>123</v>
      </c>
      <c r="B1" s="409"/>
      <c r="C1" s="409"/>
      <c r="D1" s="409"/>
      <c r="E1" s="409"/>
      <c r="F1" s="8" t="s">
        <v>110</v>
      </c>
      <c r="G1" s="13">
        <v>345774</v>
      </c>
      <c r="H1" s="8" t="s">
        <v>114</v>
      </c>
      <c r="I1" s="14">
        <v>348362</v>
      </c>
      <c r="J1" s="14">
        <v>349823</v>
      </c>
      <c r="K1" s="14">
        <v>351649</v>
      </c>
      <c r="L1" s="14">
        <v>352745</v>
      </c>
      <c r="M1" s="14">
        <v>354571</v>
      </c>
      <c r="N1" s="14">
        <v>355302</v>
      </c>
      <c r="O1" s="14">
        <v>355667</v>
      </c>
      <c r="P1" s="14">
        <v>356032</v>
      </c>
      <c r="Q1" s="14">
        <v>356397</v>
      </c>
      <c r="R1" s="14">
        <v>357128</v>
      </c>
      <c r="S1" s="5"/>
      <c r="T1" s="5"/>
    </row>
    <row r="2" spans="1:20" x14ac:dyDescent="0.2">
      <c r="A2" s="409" t="s">
        <v>42</v>
      </c>
      <c r="B2" s="409"/>
      <c r="C2" s="409"/>
      <c r="D2" s="409"/>
      <c r="E2" s="409"/>
      <c r="F2" s="2" t="s">
        <v>113</v>
      </c>
      <c r="G2" s="2" t="s">
        <v>132</v>
      </c>
      <c r="H2" s="3" t="s">
        <v>115</v>
      </c>
      <c r="I2" s="2" t="s">
        <v>124</v>
      </c>
      <c r="J2" s="2" t="s">
        <v>125</v>
      </c>
      <c r="K2" s="2" t="s">
        <v>126</v>
      </c>
      <c r="L2" s="2" t="s">
        <v>127</v>
      </c>
      <c r="M2" s="2" t="s">
        <v>128</v>
      </c>
      <c r="N2" s="2" t="s">
        <v>129</v>
      </c>
      <c r="O2" s="2" t="s">
        <v>130</v>
      </c>
      <c r="P2" s="2" t="s">
        <v>131</v>
      </c>
      <c r="Q2" s="2" t="s">
        <v>133</v>
      </c>
      <c r="R2" s="2" t="s">
        <v>134</v>
      </c>
      <c r="S2" s="5"/>
      <c r="T2" s="5"/>
    </row>
    <row r="3" spans="1:20" ht="25.5" x14ac:dyDescent="0.2">
      <c r="A3" s="9" t="s">
        <v>1</v>
      </c>
      <c r="B3" s="4" t="s">
        <v>2</v>
      </c>
      <c r="C3" s="4" t="s">
        <v>0</v>
      </c>
      <c r="D3" s="408" t="s">
        <v>3</v>
      </c>
      <c r="E3" s="40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408" t="s">
        <v>135</v>
      </c>
      <c r="T3" s="408"/>
    </row>
    <row r="4" spans="1:20" x14ac:dyDescent="0.2">
      <c r="A4" s="10"/>
      <c r="B4" s="2"/>
      <c r="C4" s="2"/>
      <c r="D4" s="5" t="s">
        <v>4</v>
      </c>
      <c r="E4" s="5" t="s">
        <v>5</v>
      </c>
      <c r="F4" s="1" t="s">
        <v>43</v>
      </c>
      <c r="G4" s="1" t="s">
        <v>43</v>
      </c>
      <c r="H4" s="1" t="s">
        <v>43</v>
      </c>
      <c r="I4" s="1" t="s">
        <v>43</v>
      </c>
      <c r="J4" s="1" t="s">
        <v>43</v>
      </c>
      <c r="K4" s="1" t="s">
        <v>43</v>
      </c>
      <c r="L4" s="1" t="s">
        <v>43</v>
      </c>
      <c r="M4" s="1" t="s">
        <v>43</v>
      </c>
      <c r="N4" s="1" t="s">
        <v>43</v>
      </c>
      <c r="O4" s="1" t="s">
        <v>43</v>
      </c>
      <c r="P4" s="1" t="s">
        <v>43</v>
      </c>
      <c r="Q4" s="1" t="s">
        <v>43</v>
      </c>
      <c r="R4" s="1" t="s">
        <v>43</v>
      </c>
      <c r="S4" s="18" t="s">
        <v>43</v>
      </c>
      <c r="T4" s="18" t="s">
        <v>136</v>
      </c>
    </row>
    <row r="5" spans="1:20" x14ac:dyDescent="0.2">
      <c r="A5" s="10"/>
      <c r="B5" s="2"/>
      <c r="C5" s="2"/>
      <c r="D5" s="10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5"/>
      <c r="T5" s="5"/>
    </row>
    <row r="6" spans="1:20" x14ac:dyDescent="0.2">
      <c r="A6" s="10">
        <v>1</v>
      </c>
      <c r="B6" s="1" t="s">
        <v>85</v>
      </c>
      <c r="C6" s="2" t="s">
        <v>6</v>
      </c>
      <c r="D6" s="10">
        <v>100</v>
      </c>
      <c r="E6" s="10">
        <v>2800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5">
        <f>SUM(F6:R6)</f>
        <v>0</v>
      </c>
      <c r="T6" s="5">
        <f>S6/E6</f>
        <v>0</v>
      </c>
    </row>
    <row r="7" spans="1:20" x14ac:dyDescent="0.2">
      <c r="A7" s="10">
        <v>2</v>
      </c>
      <c r="B7" s="1" t="s">
        <v>81</v>
      </c>
      <c r="C7" s="2" t="s">
        <v>7</v>
      </c>
      <c r="D7" s="10">
        <v>100</v>
      </c>
      <c r="E7" s="10">
        <v>2800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5">
        <f t="shared" ref="S7:S35" si="0">SUM(F7:R7)</f>
        <v>0</v>
      </c>
      <c r="T7" s="5">
        <f t="shared" ref="T7:T34" si="1">S7/E7</f>
        <v>0</v>
      </c>
    </row>
    <row r="8" spans="1:20" x14ac:dyDescent="0.2">
      <c r="A8" s="10">
        <v>3</v>
      </c>
      <c r="B8" s="1" t="s">
        <v>86</v>
      </c>
      <c r="C8" s="2" t="s">
        <v>8</v>
      </c>
      <c r="D8" s="10">
        <v>50</v>
      </c>
      <c r="E8" s="10">
        <v>1100</v>
      </c>
      <c r="F8" s="2">
        <v>29700</v>
      </c>
      <c r="G8" s="2"/>
      <c r="H8" s="2"/>
      <c r="I8" s="2"/>
      <c r="J8" s="2"/>
      <c r="K8" s="2"/>
      <c r="L8" s="2">
        <v>9900</v>
      </c>
      <c r="M8" s="2"/>
      <c r="N8" s="2"/>
      <c r="O8" s="2"/>
      <c r="P8" s="2"/>
      <c r="Q8" s="2">
        <v>11000</v>
      </c>
      <c r="R8" s="2"/>
      <c r="S8" s="5">
        <f t="shared" si="0"/>
        <v>50600</v>
      </c>
      <c r="T8" s="5">
        <f t="shared" si="1"/>
        <v>46</v>
      </c>
    </row>
    <row r="9" spans="1:20" x14ac:dyDescent="0.2">
      <c r="A9" s="10">
        <v>4</v>
      </c>
      <c r="B9" s="1" t="s">
        <v>87</v>
      </c>
      <c r="C9" s="2" t="s">
        <v>9</v>
      </c>
      <c r="D9" s="10">
        <v>50</v>
      </c>
      <c r="E9" s="10">
        <v>1000</v>
      </c>
      <c r="F9" s="2">
        <v>9000</v>
      </c>
      <c r="G9" s="2"/>
      <c r="H9" s="2"/>
      <c r="I9" s="2"/>
      <c r="J9" s="2"/>
      <c r="K9" s="2">
        <v>15000</v>
      </c>
      <c r="L9" s="2"/>
      <c r="M9" s="2"/>
      <c r="N9" s="2"/>
      <c r="O9" s="2"/>
      <c r="P9" s="2"/>
      <c r="Q9" s="2">
        <v>11000</v>
      </c>
      <c r="R9" s="2">
        <v>6000</v>
      </c>
      <c r="S9" s="5">
        <f t="shared" si="0"/>
        <v>41000</v>
      </c>
      <c r="T9" s="5">
        <f t="shared" si="1"/>
        <v>41</v>
      </c>
    </row>
    <row r="10" spans="1:20" x14ac:dyDescent="0.2">
      <c r="A10" s="10">
        <v>5</v>
      </c>
      <c r="B10" s="1" t="s">
        <v>82</v>
      </c>
      <c r="C10" s="2" t="s">
        <v>10</v>
      </c>
      <c r="D10" s="10">
        <v>50</v>
      </c>
      <c r="E10" s="10">
        <v>800</v>
      </c>
      <c r="F10" s="2"/>
      <c r="G10" s="2"/>
      <c r="H10" s="2"/>
      <c r="I10" s="2"/>
      <c r="J10" s="2"/>
      <c r="K10" s="2"/>
      <c r="L10" s="2">
        <v>4000</v>
      </c>
      <c r="M10" s="2">
        <v>12800</v>
      </c>
      <c r="N10" s="2"/>
      <c r="O10" s="2"/>
      <c r="P10" s="2"/>
      <c r="Q10" s="2">
        <v>3200</v>
      </c>
      <c r="R10" s="2">
        <v>2400</v>
      </c>
      <c r="S10" s="5">
        <f t="shared" si="0"/>
        <v>22400</v>
      </c>
      <c r="T10" s="5">
        <f t="shared" si="1"/>
        <v>28</v>
      </c>
    </row>
    <row r="11" spans="1:20" x14ac:dyDescent="0.2">
      <c r="A11" s="10">
        <v>6</v>
      </c>
      <c r="B11" s="1" t="s">
        <v>89</v>
      </c>
      <c r="C11" s="2" t="s">
        <v>11</v>
      </c>
      <c r="D11" s="10">
        <v>50</v>
      </c>
      <c r="E11" s="10">
        <v>600</v>
      </c>
      <c r="F11" s="2"/>
      <c r="G11" s="2"/>
      <c r="H11" s="2">
        <v>27000</v>
      </c>
      <c r="I11" s="3">
        <v>9000</v>
      </c>
      <c r="J11" s="2"/>
      <c r="K11" s="2"/>
      <c r="L11" s="2"/>
      <c r="M11" s="2"/>
      <c r="N11" s="2"/>
      <c r="O11" s="2"/>
      <c r="P11" s="2"/>
      <c r="Q11" s="2"/>
      <c r="R11" s="2"/>
      <c r="S11" s="5">
        <f t="shared" si="0"/>
        <v>36000</v>
      </c>
      <c r="T11" s="5">
        <f t="shared" si="1"/>
        <v>60</v>
      </c>
    </row>
    <row r="12" spans="1:20" x14ac:dyDescent="0.2">
      <c r="A12" s="10" t="s">
        <v>12</v>
      </c>
      <c r="B12" s="1" t="s">
        <v>79</v>
      </c>
      <c r="C12" s="2" t="s">
        <v>13</v>
      </c>
      <c r="D12" s="10">
        <v>50</v>
      </c>
      <c r="E12" s="10">
        <v>600</v>
      </c>
      <c r="F12" s="2"/>
      <c r="G12" s="2"/>
      <c r="H12" s="2"/>
      <c r="I12" s="2">
        <v>5400</v>
      </c>
      <c r="J12" s="2"/>
      <c r="K12" s="2"/>
      <c r="L12" s="2"/>
      <c r="M12" s="2"/>
      <c r="N12" s="2"/>
      <c r="O12" s="2"/>
      <c r="P12" s="2"/>
      <c r="Q12" s="2">
        <v>3600</v>
      </c>
      <c r="R12" s="2">
        <v>1200</v>
      </c>
      <c r="S12" s="5">
        <f t="shared" si="0"/>
        <v>10200</v>
      </c>
      <c r="T12" s="5">
        <f t="shared" si="1"/>
        <v>17</v>
      </c>
    </row>
    <row r="13" spans="1:20" x14ac:dyDescent="0.2">
      <c r="A13" s="10">
        <v>7</v>
      </c>
      <c r="B13" s="1" t="s">
        <v>88</v>
      </c>
      <c r="C13" s="2" t="s">
        <v>14</v>
      </c>
      <c r="D13" s="10">
        <v>10</v>
      </c>
      <c r="E13" s="10">
        <v>400</v>
      </c>
      <c r="F13" s="2"/>
      <c r="G13" s="2"/>
      <c r="H13" s="2"/>
      <c r="I13" s="2">
        <v>2800</v>
      </c>
      <c r="J13" s="2"/>
      <c r="K13" s="2">
        <v>2000</v>
      </c>
      <c r="L13" s="2"/>
      <c r="M13" s="2">
        <v>3200</v>
      </c>
      <c r="N13" s="2"/>
      <c r="O13" s="2"/>
      <c r="P13" s="2"/>
      <c r="Q13" s="2">
        <v>3600</v>
      </c>
      <c r="R13" s="2"/>
      <c r="S13" s="5">
        <f t="shared" si="0"/>
        <v>11600</v>
      </c>
      <c r="T13" s="5">
        <f t="shared" si="1"/>
        <v>29</v>
      </c>
    </row>
    <row r="14" spans="1:20" x14ac:dyDescent="0.2">
      <c r="A14" s="10">
        <v>8</v>
      </c>
      <c r="B14" s="1" t="s">
        <v>90</v>
      </c>
      <c r="C14" s="2" t="s">
        <v>15</v>
      </c>
      <c r="D14" s="10">
        <v>10</v>
      </c>
      <c r="E14" s="10">
        <v>400</v>
      </c>
      <c r="F14" s="2">
        <v>8000</v>
      </c>
      <c r="G14" s="2">
        <v>2800</v>
      </c>
      <c r="H14" s="3">
        <v>6400</v>
      </c>
      <c r="I14" s="2"/>
      <c r="J14" s="2"/>
      <c r="K14" s="2">
        <v>6400</v>
      </c>
      <c r="L14" s="2"/>
      <c r="M14" s="2">
        <v>20000</v>
      </c>
      <c r="N14" s="2"/>
      <c r="O14" s="2"/>
      <c r="P14" s="2"/>
      <c r="Q14" s="2">
        <v>2000</v>
      </c>
      <c r="R14" s="2"/>
      <c r="S14" s="5">
        <f t="shared" si="0"/>
        <v>45600</v>
      </c>
      <c r="T14" s="5">
        <f t="shared" si="1"/>
        <v>114</v>
      </c>
    </row>
    <row r="15" spans="1:20" x14ac:dyDescent="0.2">
      <c r="A15" s="10">
        <v>9</v>
      </c>
      <c r="B15" s="1" t="s">
        <v>91</v>
      </c>
      <c r="C15" s="2" t="s">
        <v>16</v>
      </c>
      <c r="D15" s="10">
        <v>10</v>
      </c>
      <c r="E15" s="10">
        <v>300</v>
      </c>
      <c r="F15" s="2"/>
      <c r="G15" s="2"/>
      <c r="H15" s="2"/>
      <c r="I15" s="2">
        <v>28500</v>
      </c>
      <c r="J15" s="2"/>
      <c r="K15" s="2"/>
      <c r="L15" s="2"/>
      <c r="M15" s="2"/>
      <c r="N15" s="2"/>
      <c r="O15" s="2"/>
      <c r="P15" s="2"/>
      <c r="Q15" s="2"/>
      <c r="R15" s="2"/>
      <c r="S15" s="5">
        <f t="shared" si="0"/>
        <v>28500</v>
      </c>
      <c r="T15" s="5">
        <f t="shared" si="1"/>
        <v>95</v>
      </c>
    </row>
    <row r="16" spans="1:20" x14ac:dyDescent="0.2">
      <c r="A16" s="10" t="s">
        <v>17</v>
      </c>
      <c r="B16" s="1" t="s">
        <v>80</v>
      </c>
      <c r="C16" s="2" t="s">
        <v>18</v>
      </c>
      <c r="D16" s="10">
        <v>10</v>
      </c>
      <c r="E16" s="10">
        <v>300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5">
        <f t="shared" si="0"/>
        <v>0</v>
      </c>
      <c r="T16" s="5">
        <f t="shared" si="1"/>
        <v>0</v>
      </c>
    </row>
    <row r="17" spans="1:20" x14ac:dyDescent="0.2">
      <c r="A17" s="10">
        <v>10</v>
      </c>
      <c r="B17" s="1" t="s">
        <v>94</v>
      </c>
      <c r="C17" s="2" t="s">
        <v>19</v>
      </c>
      <c r="D17" s="11">
        <v>10</v>
      </c>
      <c r="E17" s="10">
        <v>130</v>
      </c>
      <c r="F17" s="2"/>
      <c r="G17" s="2"/>
      <c r="H17" s="2">
        <v>1040</v>
      </c>
      <c r="I17" s="2"/>
      <c r="J17" s="2"/>
      <c r="K17" s="2"/>
      <c r="L17" s="2"/>
      <c r="M17" s="2"/>
      <c r="N17" s="2"/>
      <c r="O17" s="2"/>
      <c r="P17" s="2"/>
      <c r="Q17" s="2">
        <v>1950</v>
      </c>
      <c r="R17" s="2"/>
      <c r="S17" s="5">
        <f t="shared" si="0"/>
        <v>2990</v>
      </c>
      <c r="T17" s="5">
        <f t="shared" si="1"/>
        <v>23</v>
      </c>
    </row>
    <row r="18" spans="1:20" x14ac:dyDescent="0.2">
      <c r="A18" s="10">
        <v>11</v>
      </c>
      <c r="B18" s="1" t="s">
        <v>92</v>
      </c>
      <c r="C18" s="2" t="s">
        <v>20</v>
      </c>
      <c r="D18" s="10">
        <v>10</v>
      </c>
      <c r="E18" s="10">
        <v>110</v>
      </c>
      <c r="F18" s="2">
        <v>3300</v>
      </c>
      <c r="G18" s="2"/>
      <c r="H18" s="3">
        <v>2200</v>
      </c>
      <c r="I18" s="2"/>
      <c r="J18" s="2"/>
      <c r="K18" s="2">
        <v>3630</v>
      </c>
      <c r="L18" s="2">
        <v>2200</v>
      </c>
      <c r="M18" s="2">
        <v>3300</v>
      </c>
      <c r="N18" s="2"/>
      <c r="O18" s="2"/>
      <c r="P18" s="2"/>
      <c r="Q18" s="2"/>
      <c r="R18" s="2">
        <v>550</v>
      </c>
      <c r="S18" s="5">
        <f t="shared" si="0"/>
        <v>15180</v>
      </c>
      <c r="T18" s="5">
        <f t="shared" si="1"/>
        <v>138</v>
      </c>
    </row>
    <row r="19" spans="1:20" x14ac:dyDescent="0.2">
      <c r="A19" s="10">
        <v>12</v>
      </c>
      <c r="B19" s="1" t="s">
        <v>95</v>
      </c>
      <c r="C19" s="2" t="s">
        <v>21</v>
      </c>
      <c r="D19" s="10">
        <v>10</v>
      </c>
      <c r="E19" s="10">
        <v>80</v>
      </c>
      <c r="F19" s="2"/>
      <c r="G19" s="2"/>
      <c r="H19" s="2"/>
      <c r="I19" s="2"/>
      <c r="J19" s="2">
        <v>2320</v>
      </c>
      <c r="K19" s="2"/>
      <c r="L19" s="2"/>
      <c r="M19" s="2"/>
      <c r="N19" s="2"/>
      <c r="O19" s="2"/>
      <c r="P19" s="2"/>
      <c r="Q19" s="2">
        <v>4480</v>
      </c>
      <c r="R19" s="2">
        <v>6800</v>
      </c>
      <c r="S19" s="5">
        <f t="shared" si="0"/>
        <v>13600</v>
      </c>
      <c r="T19" s="5">
        <f t="shared" si="1"/>
        <v>170</v>
      </c>
    </row>
    <row r="20" spans="1:20" x14ac:dyDescent="0.2">
      <c r="A20" s="10">
        <v>13</v>
      </c>
      <c r="B20" s="1" t="s">
        <v>99</v>
      </c>
      <c r="C20" s="2" t="s">
        <v>22</v>
      </c>
      <c r="D20" s="10">
        <v>100</v>
      </c>
      <c r="E20" s="10">
        <v>1200</v>
      </c>
      <c r="F20" s="2">
        <v>6000</v>
      </c>
      <c r="G20" s="2">
        <v>52800</v>
      </c>
      <c r="H20" s="3">
        <v>18000</v>
      </c>
      <c r="I20" s="3">
        <v>40800</v>
      </c>
      <c r="J20" s="2"/>
      <c r="K20" s="2"/>
      <c r="L20" s="2">
        <v>20400</v>
      </c>
      <c r="M20" s="2">
        <v>6000</v>
      </c>
      <c r="N20" s="2"/>
      <c r="O20" s="2"/>
      <c r="P20" s="2"/>
      <c r="Q20" s="2">
        <v>18000</v>
      </c>
      <c r="R20" s="2">
        <v>24000</v>
      </c>
      <c r="S20" s="5">
        <f t="shared" si="0"/>
        <v>186000</v>
      </c>
      <c r="T20" s="5">
        <f t="shared" si="1"/>
        <v>155</v>
      </c>
    </row>
    <row r="21" spans="1:20" x14ac:dyDescent="0.2">
      <c r="A21" s="10">
        <v>14</v>
      </c>
      <c r="B21" s="1" t="s">
        <v>102</v>
      </c>
      <c r="C21" s="2" t="s">
        <v>23</v>
      </c>
      <c r="D21" s="10">
        <v>100</v>
      </c>
      <c r="E21" s="10">
        <v>1000</v>
      </c>
      <c r="F21" s="2">
        <v>5000</v>
      </c>
      <c r="G21" s="2">
        <v>16000</v>
      </c>
      <c r="H21" s="2"/>
      <c r="I21" s="2"/>
      <c r="J21" s="2"/>
      <c r="K21" s="2"/>
      <c r="L21" s="2"/>
      <c r="M21" s="2"/>
      <c r="N21" s="2"/>
      <c r="O21" s="2"/>
      <c r="P21" s="2"/>
      <c r="Q21" s="2">
        <v>12000</v>
      </c>
      <c r="R21" s="2">
        <v>12000</v>
      </c>
      <c r="S21" s="5">
        <f t="shared" si="0"/>
        <v>45000</v>
      </c>
      <c r="T21" s="5">
        <f t="shared" si="1"/>
        <v>45</v>
      </c>
    </row>
    <row r="22" spans="1:20" x14ac:dyDescent="0.2">
      <c r="A22" s="10">
        <v>15</v>
      </c>
      <c r="B22" s="1" t="s">
        <v>97</v>
      </c>
      <c r="C22" s="2" t="s">
        <v>24</v>
      </c>
      <c r="D22" s="10">
        <v>50</v>
      </c>
      <c r="E22" s="10">
        <v>2800</v>
      </c>
      <c r="F22" s="2">
        <v>14000</v>
      </c>
      <c r="G22" s="2">
        <v>14000</v>
      </c>
      <c r="H22" s="2"/>
      <c r="I22" s="2"/>
      <c r="J22" s="2"/>
      <c r="K22" s="2">
        <v>5600</v>
      </c>
      <c r="L22" s="2"/>
      <c r="M22" s="2"/>
      <c r="N22" s="2"/>
      <c r="O22" s="2"/>
      <c r="P22" s="2"/>
      <c r="Q22" s="2">
        <v>14000</v>
      </c>
      <c r="R22" s="2">
        <v>8400</v>
      </c>
      <c r="S22" s="5">
        <f t="shared" si="0"/>
        <v>56000</v>
      </c>
      <c r="T22" s="5">
        <f t="shared" si="1"/>
        <v>20</v>
      </c>
    </row>
    <row r="23" spans="1:20" x14ac:dyDescent="0.2">
      <c r="A23" s="10">
        <v>16</v>
      </c>
      <c r="B23" s="1" t="s">
        <v>98</v>
      </c>
      <c r="C23" s="2" t="s">
        <v>25</v>
      </c>
      <c r="D23" s="10">
        <v>50</v>
      </c>
      <c r="E23" s="10">
        <v>550</v>
      </c>
      <c r="F23" s="2">
        <v>16500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5">
        <f t="shared" si="0"/>
        <v>16500</v>
      </c>
      <c r="T23" s="5">
        <f t="shared" si="1"/>
        <v>30</v>
      </c>
    </row>
    <row r="24" spans="1:20" x14ac:dyDescent="0.2">
      <c r="A24" s="10">
        <v>17</v>
      </c>
      <c r="B24" s="1" t="s">
        <v>83</v>
      </c>
      <c r="C24" s="2" t="s">
        <v>26</v>
      </c>
      <c r="D24" s="10">
        <v>10</v>
      </c>
      <c r="E24" s="10">
        <v>330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5">
        <f t="shared" si="0"/>
        <v>0</v>
      </c>
      <c r="T24" s="5">
        <f t="shared" si="1"/>
        <v>0</v>
      </c>
    </row>
    <row r="25" spans="1:20" x14ac:dyDescent="0.2">
      <c r="A25" s="10">
        <v>18</v>
      </c>
      <c r="B25" s="1" t="s">
        <v>117</v>
      </c>
      <c r="C25" s="2" t="s">
        <v>27</v>
      </c>
      <c r="D25" s="10">
        <v>10</v>
      </c>
      <c r="E25" s="10">
        <v>270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5">
        <f t="shared" si="0"/>
        <v>0</v>
      </c>
      <c r="T25" s="5">
        <f t="shared" si="1"/>
        <v>0</v>
      </c>
    </row>
    <row r="26" spans="1:20" x14ac:dyDescent="0.2">
      <c r="A26" s="10" t="s">
        <v>28</v>
      </c>
      <c r="B26" s="5">
        <v>90447000</v>
      </c>
      <c r="C26" s="2" t="s">
        <v>29</v>
      </c>
      <c r="D26" s="10">
        <v>10</v>
      </c>
      <c r="E26" s="10">
        <v>270</v>
      </c>
      <c r="F26" s="2">
        <v>5130</v>
      </c>
      <c r="G26" s="2"/>
      <c r="H26" s="2">
        <v>3780</v>
      </c>
      <c r="I26" s="3">
        <v>8100</v>
      </c>
      <c r="J26" s="2"/>
      <c r="K26" s="2"/>
      <c r="L26" s="2"/>
      <c r="M26" s="2"/>
      <c r="N26" s="2">
        <v>2160</v>
      </c>
      <c r="O26" s="2">
        <v>2430</v>
      </c>
      <c r="P26" s="2">
        <v>2700</v>
      </c>
      <c r="Q26" s="2">
        <v>2700</v>
      </c>
      <c r="R26" s="2">
        <v>1620</v>
      </c>
      <c r="S26" s="5">
        <f t="shared" si="0"/>
        <v>28620</v>
      </c>
      <c r="T26" s="5">
        <f t="shared" si="1"/>
        <v>106</v>
      </c>
    </row>
    <row r="27" spans="1:20" x14ac:dyDescent="0.2">
      <c r="A27" s="10">
        <v>19</v>
      </c>
      <c r="B27" s="1" t="s">
        <v>30</v>
      </c>
      <c r="C27" s="2" t="s">
        <v>31</v>
      </c>
      <c r="D27" s="10">
        <v>10</v>
      </c>
      <c r="E27" s="10">
        <v>230</v>
      </c>
      <c r="F27" s="2"/>
      <c r="G27" s="2"/>
      <c r="H27" s="2">
        <v>6900</v>
      </c>
      <c r="I27" s="2"/>
      <c r="J27" s="2"/>
      <c r="K27" s="2"/>
      <c r="L27" s="2"/>
      <c r="M27" s="2"/>
      <c r="N27" s="2"/>
      <c r="O27" s="2"/>
      <c r="P27" s="2"/>
      <c r="Q27" s="2">
        <v>1380</v>
      </c>
      <c r="R27" s="2">
        <v>1610</v>
      </c>
      <c r="S27" s="5">
        <f t="shared" si="0"/>
        <v>9890</v>
      </c>
      <c r="T27" s="5">
        <f t="shared" si="1"/>
        <v>43</v>
      </c>
    </row>
    <row r="28" spans="1:20" x14ac:dyDescent="0.2">
      <c r="A28" s="10" t="s">
        <v>32</v>
      </c>
      <c r="B28" s="5">
        <v>90442300</v>
      </c>
      <c r="C28" s="2" t="s">
        <v>33</v>
      </c>
      <c r="D28" s="10">
        <v>10</v>
      </c>
      <c r="E28" s="10">
        <v>230</v>
      </c>
      <c r="F28" s="2"/>
      <c r="G28" s="2"/>
      <c r="H28" s="2"/>
      <c r="I28" s="2">
        <v>9200</v>
      </c>
      <c r="J28" s="2"/>
      <c r="K28" s="2"/>
      <c r="L28" s="2"/>
      <c r="M28" s="2"/>
      <c r="N28" s="2"/>
      <c r="O28" s="2"/>
      <c r="P28" s="2"/>
      <c r="Q28" s="2"/>
      <c r="R28" s="2"/>
      <c r="S28" s="5">
        <f t="shared" si="0"/>
        <v>9200</v>
      </c>
      <c r="T28" s="5">
        <f t="shared" si="1"/>
        <v>40</v>
      </c>
    </row>
    <row r="29" spans="1:20" x14ac:dyDescent="0.2">
      <c r="A29" s="10">
        <v>20</v>
      </c>
      <c r="B29" s="1" t="s">
        <v>93</v>
      </c>
      <c r="C29" s="2" t="s">
        <v>34</v>
      </c>
      <c r="D29" s="10">
        <v>5</v>
      </c>
      <c r="E29" s="10">
        <v>75</v>
      </c>
      <c r="F29" s="2"/>
      <c r="G29" s="2"/>
      <c r="H29" s="2">
        <v>750</v>
      </c>
      <c r="I29" s="2"/>
      <c r="J29" s="2"/>
      <c r="K29" s="2"/>
      <c r="L29" s="2"/>
      <c r="M29" s="2">
        <v>525</v>
      </c>
      <c r="N29" s="2"/>
      <c r="O29" s="2"/>
      <c r="P29" s="2"/>
      <c r="Q29" s="2"/>
      <c r="R29" s="2"/>
      <c r="S29" s="5">
        <f t="shared" si="0"/>
        <v>1275</v>
      </c>
      <c r="T29" s="5">
        <f t="shared" si="1"/>
        <v>17</v>
      </c>
    </row>
    <row r="30" spans="1:20" x14ac:dyDescent="0.2">
      <c r="A30" s="10">
        <v>21</v>
      </c>
      <c r="B30" s="1" t="s">
        <v>35</v>
      </c>
      <c r="C30" s="2" t="s">
        <v>36</v>
      </c>
      <c r="D30" s="10">
        <v>5</v>
      </c>
      <c r="E30" s="10">
        <v>50</v>
      </c>
      <c r="F30" s="2"/>
      <c r="G30" s="2"/>
      <c r="H30" s="2">
        <v>3000</v>
      </c>
      <c r="I30" s="2"/>
      <c r="J30" s="2"/>
      <c r="K30" s="2">
        <v>2000</v>
      </c>
      <c r="L30" s="2">
        <v>4000</v>
      </c>
      <c r="M30" s="2">
        <v>4500</v>
      </c>
      <c r="N30" s="2"/>
      <c r="O30" s="2"/>
      <c r="P30" s="2"/>
      <c r="Q30" s="2">
        <v>2400</v>
      </c>
      <c r="R30" s="2"/>
      <c r="S30" s="5">
        <f t="shared" si="0"/>
        <v>15900</v>
      </c>
      <c r="T30" s="5">
        <f t="shared" si="1"/>
        <v>318</v>
      </c>
    </row>
    <row r="31" spans="1:20" x14ac:dyDescent="0.2">
      <c r="A31" s="10">
        <v>22</v>
      </c>
      <c r="B31" s="1" t="s">
        <v>101</v>
      </c>
      <c r="C31" s="2" t="s">
        <v>37</v>
      </c>
      <c r="D31" s="10">
        <v>50</v>
      </c>
      <c r="E31" s="10">
        <v>600</v>
      </c>
      <c r="F31" s="2"/>
      <c r="G31" s="2"/>
      <c r="H31" s="2"/>
      <c r="I31" s="2"/>
      <c r="J31" s="2"/>
      <c r="K31" s="2">
        <v>6000</v>
      </c>
      <c r="L31" s="2"/>
      <c r="M31" s="2"/>
      <c r="N31" s="2"/>
      <c r="O31" s="2"/>
      <c r="P31" s="2"/>
      <c r="Q31" s="2"/>
      <c r="R31" s="2"/>
      <c r="S31" s="5">
        <f t="shared" si="0"/>
        <v>6000</v>
      </c>
      <c r="T31" s="5">
        <f t="shared" si="1"/>
        <v>10</v>
      </c>
    </row>
    <row r="32" spans="1:20" x14ac:dyDescent="0.2">
      <c r="A32" s="10">
        <v>23</v>
      </c>
      <c r="B32" s="1" t="s">
        <v>103</v>
      </c>
      <c r="C32" s="2" t="s">
        <v>38</v>
      </c>
      <c r="D32" s="10">
        <v>50</v>
      </c>
      <c r="E32" s="10">
        <v>2000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5">
        <f t="shared" si="0"/>
        <v>0</v>
      </c>
      <c r="T32" s="5">
        <f t="shared" si="1"/>
        <v>0</v>
      </c>
    </row>
    <row r="33" spans="1:20" x14ac:dyDescent="0.2">
      <c r="A33" s="10">
        <v>24</v>
      </c>
      <c r="B33" s="1" t="s">
        <v>54</v>
      </c>
      <c r="C33" s="2" t="s">
        <v>39</v>
      </c>
      <c r="D33" s="10">
        <v>100</v>
      </c>
      <c r="E33" s="10">
        <v>2000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5">
        <f t="shared" si="0"/>
        <v>0</v>
      </c>
      <c r="T33" s="5">
        <f t="shared" si="1"/>
        <v>0</v>
      </c>
    </row>
    <row r="34" spans="1:20" x14ac:dyDescent="0.2">
      <c r="A34" s="10">
        <v>25</v>
      </c>
      <c r="B34" s="1" t="s">
        <v>100</v>
      </c>
      <c r="C34" s="2" t="s">
        <v>40</v>
      </c>
      <c r="D34" s="10">
        <v>50</v>
      </c>
      <c r="E34" s="10">
        <v>1750</v>
      </c>
      <c r="F34" s="2"/>
      <c r="G34" s="2">
        <v>7000</v>
      </c>
      <c r="H34" s="2">
        <v>21000</v>
      </c>
      <c r="I34" s="2"/>
      <c r="J34" s="2"/>
      <c r="K34" s="2"/>
      <c r="L34" s="2"/>
      <c r="M34" s="2"/>
      <c r="N34" s="2"/>
      <c r="O34" s="2"/>
      <c r="P34" s="2"/>
      <c r="Q34" s="2">
        <v>7000</v>
      </c>
      <c r="R34" s="2">
        <v>15750</v>
      </c>
      <c r="S34" s="5">
        <f t="shared" si="0"/>
        <v>50750</v>
      </c>
      <c r="T34" s="5">
        <f t="shared" si="1"/>
        <v>29</v>
      </c>
    </row>
    <row r="35" spans="1:20" x14ac:dyDescent="0.2">
      <c r="A35" s="15"/>
      <c r="B35" s="12"/>
      <c r="C35" s="2"/>
      <c r="D35" s="410" t="s">
        <v>135</v>
      </c>
      <c r="E35" s="411"/>
      <c r="F35" s="2">
        <f t="shared" ref="F35:P35" si="2">SUM(F6:F34)</f>
        <v>96630</v>
      </c>
      <c r="G35" s="2">
        <f t="shared" si="2"/>
        <v>92600</v>
      </c>
      <c r="H35" s="2">
        <f t="shared" si="2"/>
        <v>90070</v>
      </c>
      <c r="I35" s="2">
        <f t="shared" si="2"/>
        <v>103800</v>
      </c>
      <c r="J35" s="2">
        <f t="shared" si="2"/>
        <v>2320</v>
      </c>
      <c r="K35" s="2">
        <f t="shared" si="2"/>
        <v>40630</v>
      </c>
      <c r="L35" s="2">
        <f t="shared" si="2"/>
        <v>40500</v>
      </c>
      <c r="M35" s="2">
        <f t="shared" si="2"/>
        <v>50325</v>
      </c>
      <c r="N35" s="2">
        <f t="shared" si="2"/>
        <v>2160</v>
      </c>
      <c r="O35" s="2">
        <f t="shared" si="2"/>
        <v>2430</v>
      </c>
      <c r="P35" s="2">
        <f t="shared" si="2"/>
        <v>2700</v>
      </c>
      <c r="Q35" s="2">
        <f>SUM(Q7:Q34)</f>
        <v>98310</v>
      </c>
      <c r="R35" s="2">
        <f>SUM(R8:R34)</f>
        <v>80330</v>
      </c>
      <c r="S35" s="5">
        <f t="shared" si="0"/>
        <v>702805</v>
      </c>
      <c r="T35" s="5">
        <f>SUM(T6:T34)</f>
        <v>1574</v>
      </c>
    </row>
  </sheetData>
  <autoFilter ref="B3:B34"/>
  <mergeCells count="5">
    <mergeCell ref="D35:E35"/>
    <mergeCell ref="S3:T3"/>
    <mergeCell ref="D3:E3"/>
    <mergeCell ref="A1:E1"/>
    <mergeCell ref="A2:E2"/>
  </mergeCells>
  <phoneticPr fontId="0" type="noConversion"/>
  <pageMargins left="0.5" right="0.5" top="0.5" bottom="0.5" header="0" footer="0"/>
  <pageSetup paperSize="9" orientation="landscape" horizontalDpi="4294967295" verticalDpi="18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opLeftCell="A16" workbookViewId="0">
      <pane xSplit="5" topLeftCell="F1" activePane="topRight" state="frozenSplit"/>
      <selection pane="topRight" activeCell="A39" sqref="A39"/>
    </sheetView>
  </sheetViews>
  <sheetFormatPr defaultRowHeight="12.75" x14ac:dyDescent="0.2"/>
  <cols>
    <col min="1" max="1" width="4.28515625" bestFit="1" customWidth="1"/>
    <col min="2" max="2" width="10.85546875" bestFit="1" customWidth="1"/>
    <col min="3" max="3" width="32.7109375" customWidth="1"/>
    <col min="4" max="4" width="5.85546875" bestFit="1" customWidth="1"/>
    <col min="5" max="5" width="5" bestFit="1" customWidth="1"/>
    <col min="6" max="7" width="8.140625" bestFit="1" customWidth="1"/>
    <col min="8" max="11" width="8.140625" style="16" bestFit="1" customWidth="1"/>
    <col min="12" max="12" width="8.140625" bestFit="1" customWidth="1"/>
    <col min="14" max="15" width="9.140625" style="16"/>
  </cols>
  <sheetData>
    <row r="1" spans="1:15" x14ac:dyDescent="0.2">
      <c r="A1" s="409" t="s">
        <v>137</v>
      </c>
      <c r="B1" s="409"/>
      <c r="C1" s="409"/>
      <c r="D1" s="409"/>
      <c r="E1" s="410"/>
      <c r="F1" s="10">
        <v>2882</v>
      </c>
      <c r="G1" s="10">
        <v>2887</v>
      </c>
      <c r="H1" s="10">
        <v>2895</v>
      </c>
      <c r="I1" s="15">
        <v>2897</v>
      </c>
      <c r="J1" s="15">
        <v>2904</v>
      </c>
      <c r="K1" s="15">
        <v>2907</v>
      </c>
      <c r="L1" s="15">
        <v>2913</v>
      </c>
      <c r="N1" s="408" t="s">
        <v>138</v>
      </c>
      <c r="O1" s="408"/>
    </row>
    <row r="2" spans="1:15" x14ac:dyDescent="0.2">
      <c r="A2" s="409" t="s">
        <v>42</v>
      </c>
      <c r="B2" s="409"/>
      <c r="C2" s="409"/>
      <c r="D2" s="409"/>
      <c r="E2" s="410"/>
      <c r="F2" s="10" t="s">
        <v>145</v>
      </c>
      <c r="G2" s="10" t="s">
        <v>144</v>
      </c>
      <c r="H2" s="10" t="s">
        <v>146</v>
      </c>
      <c r="I2" s="15" t="s">
        <v>147</v>
      </c>
      <c r="J2" s="15" t="s">
        <v>148</v>
      </c>
      <c r="K2" s="15" t="s">
        <v>149</v>
      </c>
      <c r="L2" s="15" t="s">
        <v>150</v>
      </c>
      <c r="N2" s="5" t="s">
        <v>116</v>
      </c>
      <c r="O2" s="18" t="s">
        <v>5</v>
      </c>
    </row>
    <row r="3" spans="1:15" x14ac:dyDescent="0.2">
      <c r="A3" s="19"/>
      <c r="B3" s="19"/>
      <c r="C3" s="19"/>
      <c r="D3" s="410" t="s">
        <v>140</v>
      </c>
      <c r="E3" s="414"/>
      <c r="F3" s="10">
        <v>430</v>
      </c>
      <c r="G3" s="10">
        <v>479</v>
      </c>
      <c r="H3" s="10">
        <v>483</v>
      </c>
      <c r="I3" s="15">
        <v>503</v>
      </c>
      <c r="J3" s="15">
        <v>478</v>
      </c>
      <c r="K3" s="15">
        <v>483</v>
      </c>
      <c r="L3" s="15">
        <v>500</v>
      </c>
      <c r="N3" s="10"/>
      <c r="O3" s="10"/>
    </row>
    <row r="4" spans="1:15" ht="25.5" x14ac:dyDescent="0.2">
      <c r="A4" s="9" t="s">
        <v>1</v>
      </c>
      <c r="B4" s="4" t="s">
        <v>2</v>
      </c>
      <c r="C4" s="4" t="s">
        <v>0</v>
      </c>
      <c r="D4" s="408" t="s">
        <v>3</v>
      </c>
      <c r="E4" s="415"/>
      <c r="F4" s="10"/>
      <c r="G4" s="2"/>
      <c r="H4" s="10"/>
      <c r="I4" s="10"/>
      <c r="J4" s="10"/>
      <c r="K4" s="10"/>
      <c r="L4" s="2"/>
      <c r="N4" s="10"/>
      <c r="O4" s="10"/>
    </row>
    <row r="5" spans="1:15" x14ac:dyDescent="0.2">
      <c r="A5" s="10"/>
      <c r="B5" s="2"/>
      <c r="C5" s="2"/>
      <c r="D5" s="5" t="s">
        <v>4</v>
      </c>
      <c r="E5" s="21" t="s">
        <v>5</v>
      </c>
      <c r="F5" s="10"/>
      <c r="G5" s="10"/>
      <c r="H5" s="10"/>
      <c r="I5" s="10"/>
      <c r="J5" s="10"/>
      <c r="K5" s="10"/>
      <c r="L5" s="2"/>
      <c r="N5" s="10"/>
      <c r="O5" s="10"/>
    </row>
    <row r="6" spans="1:15" x14ac:dyDescent="0.2">
      <c r="A6" s="10"/>
      <c r="B6" s="2"/>
      <c r="C6" s="2"/>
      <c r="D6" s="10"/>
      <c r="E6" s="20"/>
      <c r="F6" s="10"/>
      <c r="G6" s="10"/>
      <c r="H6" s="10"/>
      <c r="I6" s="10"/>
      <c r="J6" s="10"/>
      <c r="K6" s="10"/>
      <c r="L6" s="2"/>
      <c r="N6" s="10"/>
      <c r="O6" s="10"/>
    </row>
    <row r="7" spans="1:15" x14ac:dyDescent="0.2">
      <c r="A7" s="10">
        <v>1</v>
      </c>
      <c r="B7" s="1" t="s">
        <v>85</v>
      </c>
      <c r="C7" s="2" t="s">
        <v>6</v>
      </c>
      <c r="D7" s="10">
        <v>100</v>
      </c>
      <c r="E7" s="20">
        <v>2800</v>
      </c>
      <c r="F7" s="10"/>
      <c r="G7" s="10"/>
      <c r="H7" s="10"/>
      <c r="I7" s="10"/>
      <c r="J7" s="10"/>
      <c r="K7" s="10"/>
      <c r="L7" s="2"/>
      <c r="N7" s="10">
        <f>SUM(F7:M7)</f>
        <v>0</v>
      </c>
      <c r="O7" s="10">
        <f>N7/E7</f>
        <v>0</v>
      </c>
    </row>
    <row r="8" spans="1:15" x14ac:dyDescent="0.2">
      <c r="A8" s="10">
        <v>2</v>
      </c>
      <c r="B8" s="1" t="s">
        <v>81</v>
      </c>
      <c r="C8" s="2" t="s">
        <v>7</v>
      </c>
      <c r="D8" s="10">
        <v>100</v>
      </c>
      <c r="E8" s="20">
        <v>2800</v>
      </c>
      <c r="F8" s="10"/>
      <c r="G8" s="10"/>
      <c r="H8" s="10"/>
      <c r="I8" s="10"/>
      <c r="J8" s="10"/>
      <c r="K8" s="10"/>
      <c r="L8" s="2"/>
      <c r="N8" s="10">
        <f t="shared" ref="N8:N39" si="0">SUM(F8:M8)</f>
        <v>0</v>
      </c>
      <c r="O8" s="10">
        <f t="shared" ref="O8:O38" si="1">N8/E8</f>
        <v>0</v>
      </c>
    </row>
    <row r="9" spans="1:15" x14ac:dyDescent="0.2">
      <c r="A9" s="10">
        <v>3</v>
      </c>
      <c r="B9" s="1" t="s">
        <v>86</v>
      </c>
      <c r="C9" s="2" t="s">
        <v>8</v>
      </c>
      <c r="D9" s="10">
        <v>50</v>
      </c>
      <c r="E9" s="20">
        <v>1100</v>
      </c>
      <c r="F9" s="15">
        <v>3300</v>
      </c>
      <c r="G9" s="15">
        <v>5500</v>
      </c>
      <c r="H9" s="10"/>
      <c r="I9" s="15">
        <v>22000</v>
      </c>
      <c r="J9" s="10"/>
      <c r="K9" s="15">
        <v>9900</v>
      </c>
      <c r="L9" s="15">
        <v>5500</v>
      </c>
      <c r="N9" s="10">
        <f t="shared" si="0"/>
        <v>46200</v>
      </c>
      <c r="O9" s="10">
        <f t="shared" si="1"/>
        <v>42</v>
      </c>
    </row>
    <row r="10" spans="1:15" x14ac:dyDescent="0.2">
      <c r="A10" s="10">
        <v>4</v>
      </c>
      <c r="B10" s="1" t="s">
        <v>87</v>
      </c>
      <c r="C10" s="2" t="s">
        <v>9</v>
      </c>
      <c r="D10" s="10">
        <v>50</v>
      </c>
      <c r="E10" s="20">
        <v>1000</v>
      </c>
      <c r="F10" s="10"/>
      <c r="G10" s="10">
        <v>5000</v>
      </c>
      <c r="H10" s="15">
        <v>10000</v>
      </c>
      <c r="I10" s="15">
        <v>15000</v>
      </c>
      <c r="J10" s="10"/>
      <c r="K10" s="10"/>
      <c r="L10" s="15">
        <v>6000</v>
      </c>
      <c r="N10" s="10">
        <f t="shared" si="0"/>
        <v>36000</v>
      </c>
      <c r="O10" s="10">
        <f t="shared" si="1"/>
        <v>36</v>
      </c>
    </row>
    <row r="11" spans="1:15" x14ac:dyDescent="0.2">
      <c r="A11" s="10">
        <v>5</v>
      </c>
      <c r="B11" s="1" t="s">
        <v>82</v>
      </c>
      <c r="C11" s="2" t="s">
        <v>10</v>
      </c>
      <c r="D11" s="10">
        <v>50</v>
      </c>
      <c r="E11" s="20">
        <v>800</v>
      </c>
      <c r="F11" s="10"/>
      <c r="G11" s="10"/>
      <c r="H11" s="10"/>
      <c r="I11" s="10">
        <v>6400</v>
      </c>
      <c r="J11" s="10"/>
      <c r="K11" s="10"/>
      <c r="L11" s="10">
        <v>8800</v>
      </c>
      <c r="N11" s="10">
        <f t="shared" si="0"/>
        <v>15200</v>
      </c>
      <c r="O11" s="10">
        <f t="shared" si="1"/>
        <v>19</v>
      </c>
    </row>
    <row r="12" spans="1:15" x14ac:dyDescent="0.2">
      <c r="A12" s="10">
        <v>6</v>
      </c>
      <c r="B12" s="1" t="s">
        <v>89</v>
      </c>
      <c r="C12" s="2" t="s">
        <v>11</v>
      </c>
      <c r="D12" s="10">
        <v>50</v>
      </c>
      <c r="E12" s="20">
        <v>600</v>
      </c>
      <c r="F12" s="10"/>
      <c r="G12" s="10">
        <v>6000</v>
      </c>
      <c r="H12" s="15">
        <v>7800</v>
      </c>
      <c r="I12" s="15">
        <v>7200</v>
      </c>
      <c r="J12" s="10"/>
      <c r="K12" s="15">
        <v>5400</v>
      </c>
      <c r="L12" s="15">
        <v>9600</v>
      </c>
      <c r="N12" s="10">
        <f t="shared" si="0"/>
        <v>36000</v>
      </c>
      <c r="O12" s="10">
        <f t="shared" si="1"/>
        <v>60</v>
      </c>
    </row>
    <row r="13" spans="1:15" x14ac:dyDescent="0.2">
      <c r="A13" s="10" t="s">
        <v>12</v>
      </c>
      <c r="B13" s="1" t="s">
        <v>79</v>
      </c>
      <c r="C13" s="2" t="s">
        <v>13</v>
      </c>
      <c r="D13" s="10">
        <v>50</v>
      </c>
      <c r="E13" s="20">
        <v>600</v>
      </c>
      <c r="F13" s="10"/>
      <c r="G13" s="10"/>
      <c r="H13" s="10"/>
      <c r="I13" s="10"/>
      <c r="J13" s="10"/>
      <c r="K13" s="10">
        <v>1200</v>
      </c>
      <c r="L13" s="15">
        <v>1200</v>
      </c>
      <c r="N13" s="10">
        <f t="shared" si="0"/>
        <v>2400</v>
      </c>
      <c r="O13" s="10">
        <f t="shared" si="1"/>
        <v>4</v>
      </c>
    </row>
    <row r="14" spans="1:15" x14ac:dyDescent="0.2">
      <c r="A14" s="10">
        <v>7</v>
      </c>
      <c r="B14" s="1" t="s">
        <v>88</v>
      </c>
      <c r="C14" s="2" t="s">
        <v>14</v>
      </c>
      <c r="D14" s="10">
        <v>10</v>
      </c>
      <c r="E14" s="20">
        <v>400</v>
      </c>
      <c r="F14" s="10"/>
      <c r="G14" s="10"/>
      <c r="H14" s="10"/>
      <c r="I14" s="15">
        <v>4000</v>
      </c>
      <c r="J14" s="10"/>
      <c r="K14" s="10">
        <v>1200</v>
      </c>
      <c r="L14" s="15">
        <v>2000</v>
      </c>
      <c r="N14" s="10">
        <f t="shared" si="0"/>
        <v>7200</v>
      </c>
      <c r="O14" s="10">
        <f t="shared" si="1"/>
        <v>18</v>
      </c>
    </row>
    <row r="15" spans="1:15" x14ac:dyDescent="0.2">
      <c r="A15" s="10">
        <v>8</v>
      </c>
      <c r="B15" s="1" t="s">
        <v>90</v>
      </c>
      <c r="C15" s="2" t="s">
        <v>15</v>
      </c>
      <c r="D15" s="10">
        <v>10</v>
      </c>
      <c r="E15" s="20">
        <v>400</v>
      </c>
      <c r="F15" s="10"/>
      <c r="G15" s="10">
        <v>8000</v>
      </c>
      <c r="H15" s="15">
        <v>1200</v>
      </c>
      <c r="I15" s="15">
        <v>12000</v>
      </c>
      <c r="J15" s="10"/>
      <c r="K15" s="15">
        <v>12000</v>
      </c>
      <c r="L15" s="2"/>
      <c r="N15" s="10">
        <f t="shared" si="0"/>
        <v>33200</v>
      </c>
      <c r="O15" s="10">
        <f t="shared" si="1"/>
        <v>83</v>
      </c>
    </row>
    <row r="16" spans="1:15" x14ac:dyDescent="0.2">
      <c r="A16" s="10">
        <v>9</v>
      </c>
      <c r="B16" s="1" t="s">
        <v>91</v>
      </c>
      <c r="C16" s="2" t="s">
        <v>16</v>
      </c>
      <c r="D16" s="10">
        <v>10</v>
      </c>
      <c r="E16" s="20">
        <v>300</v>
      </c>
      <c r="F16" s="10"/>
      <c r="G16" s="10"/>
      <c r="H16" s="10">
        <v>12000</v>
      </c>
      <c r="I16" s="10"/>
      <c r="J16" s="10">
        <v>29100</v>
      </c>
      <c r="K16" s="10">
        <v>11700</v>
      </c>
      <c r="L16" s="2"/>
      <c r="N16" s="10">
        <f t="shared" si="0"/>
        <v>52800</v>
      </c>
      <c r="O16" s="10">
        <f t="shared" si="1"/>
        <v>176</v>
      </c>
    </row>
    <row r="17" spans="1:15" x14ac:dyDescent="0.2">
      <c r="A17" s="10" t="s">
        <v>17</v>
      </c>
      <c r="B17" s="1" t="s">
        <v>80</v>
      </c>
      <c r="C17" s="2" t="s">
        <v>18</v>
      </c>
      <c r="D17" s="10">
        <v>10</v>
      </c>
      <c r="E17" s="20">
        <v>300</v>
      </c>
      <c r="F17" s="10"/>
      <c r="G17" s="10"/>
      <c r="H17" s="10"/>
      <c r="I17" s="10"/>
      <c r="J17" s="10"/>
      <c r="K17" s="10">
        <v>3900</v>
      </c>
      <c r="L17" s="2"/>
      <c r="N17" s="10">
        <f t="shared" si="0"/>
        <v>3900</v>
      </c>
      <c r="O17" s="10">
        <f t="shared" si="1"/>
        <v>13</v>
      </c>
    </row>
    <row r="18" spans="1:15" x14ac:dyDescent="0.2">
      <c r="A18" s="10">
        <v>10</v>
      </c>
      <c r="B18" s="1" t="s">
        <v>94</v>
      </c>
      <c r="C18" s="2" t="s">
        <v>19</v>
      </c>
      <c r="D18" s="11">
        <v>10</v>
      </c>
      <c r="E18" s="20">
        <v>130</v>
      </c>
      <c r="F18" s="10">
        <v>1300</v>
      </c>
      <c r="G18" s="10">
        <v>650</v>
      </c>
      <c r="H18" s="15">
        <v>1300</v>
      </c>
      <c r="I18" s="15">
        <v>1300</v>
      </c>
      <c r="J18" s="10"/>
      <c r="K18" s="15">
        <v>780</v>
      </c>
      <c r="L18" s="2"/>
      <c r="N18" s="10">
        <f t="shared" si="0"/>
        <v>5330</v>
      </c>
      <c r="O18" s="10">
        <f t="shared" si="1"/>
        <v>41</v>
      </c>
    </row>
    <row r="19" spans="1:15" x14ac:dyDescent="0.2">
      <c r="A19" s="10">
        <v>11</v>
      </c>
      <c r="B19" s="1" t="s">
        <v>92</v>
      </c>
      <c r="C19" s="2" t="s">
        <v>20</v>
      </c>
      <c r="D19" s="10">
        <v>10</v>
      </c>
      <c r="E19" s="20">
        <v>110</v>
      </c>
      <c r="F19" s="15">
        <v>3300</v>
      </c>
      <c r="G19" s="10"/>
      <c r="H19" s="10"/>
      <c r="I19" s="15">
        <v>3740</v>
      </c>
      <c r="J19" s="15">
        <v>440</v>
      </c>
      <c r="K19" s="15">
        <v>4070</v>
      </c>
      <c r="L19" s="2"/>
      <c r="N19" s="10">
        <f t="shared" si="0"/>
        <v>11550</v>
      </c>
      <c r="O19" s="10">
        <f t="shared" si="1"/>
        <v>105</v>
      </c>
    </row>
    <row r="20" spans="1:15" x14ac:dyDescent="0.2">
      <c r="A20" s="10">
        <v>12</v>
      </c>
      <c r="B20" s="1" t="s">
        <v>95</v>
      </c>
      <c r="C20" s="2" t="s">
        <v>21</v>
      </c>
      <c r="D20" s="10">
        <v>10</v>
      </c>
      <c r="E20" s="20">
        <v>80</v>
      </c>
      <c r="F20" s="10"/>
      <c r="G20" s="10"/>
      <c r="H20" s="10"/>
      <c r="I20" s="10"/>
      <c r="J20" s="10"/>
      <c r="K20" s="15">
        <v>2400</v>
      </c>
      <c r="L20" s="2"/>
      <c r="N20" s="10">
        <f t="shared" si="0"/>
        <v>2400</v>
      </c>
      <c r="O20" s="10">
        <f t="shared" si="1"/>
        <v>30</v>
      </c>
    </row>
    <row r="21" spans="1:15" x14ac:dyDescent="0.2">
      <c r="A21" s="10">
        <v>13</v>
      </c>
      <c r="B21" s="1" t="s">
        <v>99</v>
      </c>
      <c r="C21" s="2" t="s">
        <v>22</v>
      </c>
      <c r="D21" s="10">
        <v>100</v>
      </c>
      <c r="E21" s="20">
        <v>1200</v>
      </c>
      <c r="F21" s="10"/>
      <c r="G21" s="10">
        <v>8400</v>
      </c>
      <c r="H21" s="15">
        <v>6000</v>
      </c>
      <c r="I21" s="15">
        <v>12000</v>
      </c>
      <c r="J21" s="15">
        <v>8400</v>
      </c>
      <c r="K21" s="15">
        <v>3600</v>
      </c>
      <c r="L21" s="15">
        <v>40800</v>
      </c>
      <c r="N21" s="10">
        <f t="shared" si="0"/>
        <v>79200</v>
      </c>
      <c r="O21" s="10">
        <f t="shared" si="1"/>
        <v>66</v>
      </c>
    </row>
    <row r="22" spans="1:15" x14ac:dyDescent="0.2">
      <c r="A22" s="10">
        <v>14</v>
      </c>
      <c r="B22" s="1" t="s">
        <v>102</v>
      </c>
      <c r="C22" s="2" t="s">
        <v>23</v>
      </c>
      <c r="D22" s="10">
        <v>100</v>
      </c>
      <c r="E22" s="20">
        <v>1000</v>
      </c>
      <c r="F22" s="10"/>
      <c r="G22" s="10">
        <v>10000</v>
      </c>
      <c r="H22" s="10"/>
      <c r="I22" s="15">
        <v>5000</v>
      </c>
      <c r="J22" s="10"/>
      <c r="K22" s="15">
        <v>10000</v>
      </c>
      <c r="L22" s="15">
        <v>2000</v>
      </c>
      <c r="N22" s="10">
        <f t="shared" si="0"/>
        <v>27000</v>
      </c>
      <c r="O22" s="10">
        <f t="shared" si="1"/>
        <v>27</v>
      </c>
    </row>
    <row r="23" spans="1:15" x14ac:dyDescent="0.2">
      <c r="A23" s="10">
        <v>15</v>
      </c>
      <c r="B23" s="1" t="s">
        <v>97</v>
      </c>
      <c r="C23" s="2" t="s">
        <v>24</v>
      </c>
      <c r="D23" s="10">
        <v>50</v>
      </c>
      <c r="E23" s="20">
        <v>2800</v>
      </c>
      <c r="F23" s="10"/>
      <c r="G23" s="10">
        <v>5600</v>
      </c>
      <c r="H23" s="10"/>
      <c r="I23" s="15">
        <v>14000</v>
      </c>
      <c r="J23" s="10"/>
      <c r="K23" s="15">
        <v>11200</v>
      </c>
      <c r="L23" s="15">
        <v>5600</v>
      </c>
      <c r="N23" s="10">
        <f t="shared" si="0"/>
        <v>36400</v>
      </c>
      <c r="O23" s="10">
        <f t="shared" si="1"/>
        <v>13</v>
      </c>
    </row>
    <row r="24" spans="1:15" x14ac:dyDescent="0.2">
      <c r="A24" s="10">
        <v>16</v>
      </c>
      <c r="B24" s="1" t="s">
        <v>98</v>
      </c>
      <c r="C24" s="2" t="s">
        <v>25</v>
      </c>
      <c r="D24" s="10">
        <v>50</v>
      </c>
      <c r="E24" s="20">
        <v>550</v>
      </c>
      <c r="F24" s="10"/>
      <c r="G24" s="10"/>
      <c r="H24" s="10">
        <v>12650</v>
      </c>
      <c r="I24" s="15">
        <v>3850</v>
      </c>
      <c r="J24" s="10"/>
      <c r="K24" s="15">
        <v>5500</v>
      </c>
      <c r="L24" s="15">
        <v>4950</v>
      </c>
      <c r="N24" s="10">
        <f t="shared" si="0"/>
        <v>26950</v>
      </c>
      <c r="O24" s="10">
        <f t="shared" si="1"/>
        <v>49</v>
      </c>
    </row>
    <row r="25" spans="1:15" x14ac:dyDescent="0.2">
      <c r="A25" s="10" t="s">
        <v>141</v>
      </c>
      <c r="B25" s="1" t="s">
        <v>142</v>
      </c>
      <c r="C25" s="2" t="s">
        <v>143</v>
      </c>
      <c r="D25" s="10">
        <v>50</v>
      </c>
      <c r="E25" s="20">
        <v>550</v>
      </c>
      <c r="F25" s="10"/>
      <c r="G25" s="10">
        <v>5500</v>
      </c>
      <c r="H25" s="10"/>
      <c r="I25" s="15">
        <v>6600</v>
      </c>
      <c r="J25" s="15">
        <v>3300</v>
      </c>
      <c r="K25" s="10"/>
      <c r="L25" s="15">
        <v>4950</v>
      </c>
      <c r="N25" s="10">
        <f t="shared" si="0"/>
        <v>20350</v>
      </c>
      <c r="O25" s="10">
        <f t="shared" si="1"/>
        <v>37</v>
      </c>
    </row>
    <row r="26" spans="1:15" x14ac:dyDescent="0.2">
      <c r="A26" s="10">
        <v>17</v>
      </c>
      <c r="B26" s="1" t="s">
        <v>83</v>
      </c>
      <c r="C26" s="2" t="s">
        <v>26</v>
      </c>
      <c r="D26" s="10">
        <v>10</v>
      </c>
      <c r="E26" s="20">
        <v>330</v>
      </c>
      <c r="F26" s="10"/>
      <c r="G26" s="10"/>
      <c r="H26" s="10"/>
      <c r="I26" s="10"/>
      <c r="J26" s="10"/>
      <c r="K26" s="10"/>
      <c r="L26" s="2"/>
      <c r="N26" s="10">
        <f t="shared" si="0"/>
        <v>0</v>
      </c>
      <c r="O26" s="10">
        <f t="shared" si="1"/>
        <v>0</v>
      </c>
    </row>
    <row r="27" spans="1:15" x14ac:dyDescent="0.2">
      <c r="A27" s="10">
        <v>18</v>
      </c>
      <c r="B27" s="1" t="s">
        <v>117</v>
      </c>
      <c r="C27" s="2" t="s">
        <v>27</v>
      </c>
      <c r="D27" s="10">
        <v>10</v>
      </c>
      <c r="E27" s="20">
        <v>270</v>
      </c>
      <c r="F27" s="10"/>
      <c r="G27" s="10"/>
      <c r="H27" s="10"/>
      <c r="I27" s="10"/>
      <c r="J27" s="10"/>
      <c r="K27" s="10"/>
      <c r="L27" s="2"/>
      <c r="N27" s="10">
        <f t="shared" si="0"/>
        <v>0</v>
      </c>
      <c r="O27" s="10">
        <f t="shared" si="1"/>
        <v>0</v>
      </c>
    </row>
    <row r="28" spans="1:15" x14ac:dyDescent="0.2">
      <c r="A28" s="10" t="s">
        <v>28</v>
      </c>
      <c r="B28" s="5">
        <v>90447000</v>
      </c>
      <c r="C28" s="2" t="s">
        <v>29</v>
      </c>
      <c r="D28" s="10">
        <v>10</v>
      </c>
      <c r="E28" s="20">
        <v>270</v>
      </c>
      <c r="F28" s="15">
        <v>10800</v>
      </c>
      <c r="G28" s="15">
        <v>10800</v>
      </c>
      <c r="H28" s="15">
        <v>12960</v>
      </c>
      <c r="I28" s="15">
        <v>3240</v>
      </c>
      <c r="J28" s="15">
        <v>4050</v>
      </c>
      <c r="K28" s="10"/>
      <c r="L28" s="2"/>
      <c r="N28" s="10">
        <f t="shared" si="0"/>
        <v>41850</v>
      </c>
      <c r="O28" s="10">
        <f t="shared" si="1"/>
        <v>155</v>
      </c>
    </row>
    <row r="29" spans="1:15" x14ac:dyDescent="0.2">
      <c r="A29" s="10">
        <v>19</v>
      </c>
      <c r="B29" s="1" t="s">
        <v>30</v>
      </c>
      <c r="C29" s="2" t="s">
        <v>31</v>
      </c>
      <c r="D29" s="10">
        <v>10</v>
      </c>
      <c r="E29" s="20">
        <v>230</v>
      </c>
      <c r="F29" s="10"/>
      <c r="G29" s="10">
        <v>690</v>
      </c>
      <c r="H29" s="10"/>
      <c r="I29" s="15">
        <v>920</v>
      </c>
      <c r="J29" s="10"/>
      <c r="K29" s="10"/>
      <c r="L29" s="2"/>
      <c r="N29" s="10">
        <f t="shared" si="0"/>
        <v>1610</v>
      </c>
      <c r="O29" s="10">
        <f t="shared" si="1"/>
        <v>7</v>
      </c>
    </row>
    <row r="30" spans="1:15" x14ac:dyDescent="0.2">
      <c r="A30" s="10" t="s">
        <v>32</v>
      </c>
      <c r="B30" s="5">
        <v>90442300</v>
      </c>
      <c r="C30" s="2" t="s">
        <v>33</v>
      </c>
      <c r="D30" s="10">
        <v>10</v>
      </c>
      <c r="E30" s="20">
        <v>230</v>
      </c>
      <c r="F30" s="10"/>
      <c r="G30" s="10"/>
      <c r="H30" s="10"/>
      <c r="I30" s="10"/>
      <c r="J30" s="10"/>
      <c r="K30" s="10"/>
      <c r="L30" s="2"/>
      <c r="N30" s="10">
        <f t="shared" si="0"/>
        <v>0</v>
      </c>
      <c r="O30" s="10">
        <f t="shared" si="1"/>
        <v>0</v>
      </c>
    </row>
    <row r="31" spans="1:15" x14ac:dyDescent="0.2">
      <c r="A31" s="10">
        <v>20</v>
      </c>
      <c r="B31" s="1" t="s">
        <v>93</v>
      </c>
      <c r="C31" s="2" t="s">
        <v>34</v>
      </c>
      <c r="D31" s="10">
        <v>5</v>
      </c>
      <c r="E31" s="20">
        <v>75</v>
      </c>
      <c r="F31" s="15">
        <v>2025</v>
      </c>
      <c r="G31" s="10"/>
      <c r="H31" s="15">
        <v>1050</v>
      </c>
      <c r="I31" s="15">
        <v>750</v>
      </c>
      <c r="J31" s="10"/>
      <c r="K31" s="15">
        <v>1200</v>
      </c>
      <c r="L31" s="15">
        <v>1200</v>
      </c>
      <c r="N31" s="10">
        <f t="shared" si="0"/>
        <v>6225</v>
      </c>
      <c r="O31" s="10">
        <f t="shared" si="1"/>
        <v>83</v>
      </c>
    </row>
    <row r="32" spans="1:15" x14ac:dyDescent="0.2">
      <c r="A32" s="10">
        <v>21</v>
      </c>
      <c r="B32" s="1" t="s">
        <v>35</v>
      </c>
      <c r="C32" s="2" t="s">
        <v>36</v>
      </c>
      <c r="D32" s="10">
        <v>5</v>
      </c>
      <c r="E32" s="20">
        <v>50</v>
      </c>
      <c r="F32" s="10"/>
      <c r="G32" s="10">
        <v>250</v>
      </c>
      <c r="H32" s="10"/>
      <c r="I32" s="10"/>
      <c r="J32" s="10"/>
      <c r="K32" s="10">
        <v>1000</v>
      </c>
      <c r="L32" s="2"/>
      <c r="N32" s="10">
        <f t="shared" si="0"/>
        <v>1250</v>
      </c>
      <c r="O32" s="10">
        <f t="shared" si="1"/>
        <v>25</v>
      </c>
    </row>
    <row r="33" spans="1:16" x14ac:dyDescent="0.2">
      <c r="A33" s="10">
        <v>22</v>
      </c>
      <c r="B33" s="1" t="s">
        <v>101</v>
      </c>
      <c r="C33" s="2" t="s">
        <v>37</v>
      </c>
      <c r="D33" s="10">
        <v>50</v>
      </c>
      <c r="E33" s="20">
        <v>600</v>
      </c>
      <c r="F33" s="2"/>
      <c r="G33" s="10"/>
      <c r="H33" s="10">
        <v>6000</v>
      </c>
      <c r="I33" s="15">
        <v>4800</v>
      </c>
      <c r="J33" s="15">
        <v>600</v>
      </c>
      <c r="K33" s="15">
        <v>4800</v>
      </c>
      <c r="L33" s="15">
        <v>1800</v>
      </c>
      <c r="N33" s="10">
        <f t="shared" si="0"/>
        <v>18000</v>
      </c>
      <c r="O33" s="10">
        <f t="shared" si="1"/>
        <v>30</v>
      </c>
    </row>
    <row r="34" spans="1:16" x14ac:dyDescent="0.2">
      <c r="A34" s="10">
        <v>23</v>
      </c>
      <c r="B34" s="1" t="s">
        <v>103</v>
      </c>
      <c r="C34" s="2" t="s">
        <v>38</v>
      </c>
      <c r="D34" s="10">
        <v>50</v>
      </c>
      <c r="E34" s="20">
        <v>2000</v>
      </c>
      <c r="F34" s="2"/>
      <c r="G34" s="10"/>
      <c r="H34" s="10"/>
      <c r="I34" s="10"/>
      <c r="J34" s="10"/>
      <c r="K34" s="10"/>
      <c r="L34" s="2"/>
      <c r="N34" s="10">
        <f t="shared" si="0"/>
        <v>0</v>
      </c>
      <c r="O34" s="10">
        <f t="shared" si="1"/>
        <v>0</v>
      </c>
    </row>
    <row r="35" spans="1:16" x14ac:dyDescent="0.2">
      <c r="A35" s="10">
        <v>24</v>
      </c>
      <c r="B35" s="1" t="s">
        <v>54</v>
      </c>
      <c r="C35" s="2" t="s">
        <v>39</v>
      </c>
      <c r="D35" s="10">
        <v>100</v>
      </c>
      <c r="E35" s="20">
        <v>2000</v>
      </c>
      <c r="F35" s="2"/>
      <c r="G35" s="10"/>
      <c r="H35" s="10"/>
      <c r="I35" s="10"/>
      <c r="J35" s="10"/>
      <c r="K35" s="10"/>
      <c r="L35" s="2"/>
      <c r="N35" s="10">
        <f t="shared" si="0"/>
        <v>0</v>
      </c>
      <c r="O35" s="10">
        <f t="shared" si="1"/>
        <v>0</v>
      </c>
    </row>
    <row r="36" spans="1:16" x14ac:dyDescent="0.2">
      <c r="A36" s="10">
        <v>25</v>
      </c>
      <c r="B36" s="1" t="s">
        <v>100</v>
      </c>
      <c r="C36" s="2" t="s">
        <v>40</v>
      </c>
      <c r="D36" s="10">
        <v>50</v>
      </c>
      <c r="E36" s="20">
        <v>1750</v>
      </c>
      <c r="F36" s="2"/>
      <c r="G36" s="10">
        <v>3500</v>
      </c>
      <c r="H36" s="10"/>
      <c r="I36" s="15">
        <v>10500</v>
      </c>
      <c r="J36" s="10"/>
      <c r="K36" s="10"/>
      <c r="L36" s="10">
        <v>10500</v>
      </c>
      <c r="N36" s="10">
        <f t="shared" si="0"/>
        <v>24500</v>
      </c>
      <c r="O36" s="10">
        <f t="shared" si="1"/>
        <v>14</v>
      </c>
    </row>
    <row r="37" spans="1:16" s="47" customFormat="1" x14ac:dyDescent="0.2">
      <c r="A37" s="15">
        <v>26</v>
      </c>
      <c r="B37" s="12" t="s">
        <v>151</v>
      </c>
      <c r="C37" s="3" t="s">
        <v>154</v>
      </c>
      <c r="D37" s="15">
        <v>0</v>
      </c>
      <c r="E37" s="15">
        <v>360</v>
      </c>
      <c r="F37" s="3"/>
      <c r="G37" s="15"/>
      <c r="H37" s="15"/>
      <c r="I37" s="15"/>
      <c r="J37" s="15"/>
      <c r="K37" s="15"/>
      <c r="L37" s="390">
        <v>5040</v>
      </c>
      <c r="N37" s="15">
        <f t="shared" si="0"/>
        <v>5040</v>
      </c>
      <c r="O37" s="15">
        <f t="shared" si="1"/>
        <v>14</v>
      </c>
    </row>
    <row r="38" spans="1:16" s="47" customFormat="1" x14ac:dyDescent="0.2">
      <c r="A38" s="15">
        <v>27</v>
      </c>
      <c r="B38" s="12" t="s">
        <v>152</v>
      </c>
      <c r="C38" s="3" t="s">
        <v>153</v>
      </c>
      <c r="D38" s="15">
        <v>0</v>
      </c>
      <c r="E38" s="15">
        <v>150</v>
      </c>
      <c r="F38" s="3"/>
      <c r="G38" s="15"/>
      <c r="H38" s="15"/>
      <c r="I38" s="15"/>
      <c r="J38" s="15"/>
      <c r="K38" s="15"/>
      <c r="L38" s="15">
        <v>1500</v>
      </c>
      <c r="N38" s="15">
        <f t="shared" si="0"/>
        <v>1500</v>
      </c>
      <c r="O38" s="15">
        <f t="shared" si="1"/>
        <v>10</v>
      </c>
      <c r="P38"/>
    </row>
    <row r="39" spans="1:16" x14ac:dyDescent="0.2">
      <c r="A39" s="15"/>
      <c r="B39" s="12"/>
      <c r="C39" s="2"/>
      <c r="D39" s="410" t="s">
        <v>135</v>
      </c>
      <c r="E39" s="414"/>
      <c r="F39" s="10">
        <f>SUM(F7:F36)</f>
        <v>20725</v>
      </c>
      <c r="G39" s="10">
        <f>SUM(G5:G36)</f>
        <v>69890</v>
      </c>
      <c r="H39" s="10">
        <f>SUM(H10:H36)</f>
        <v>70960</v>
      </c>
      <c r="I39" s="10">
        <f>SUM(I5:I36)</f>
        <v>133300</v>
      </c>
      <c r="J39" s="10">
        <f>SUM(J16:J36)</f>
        <v>45890</v>
      </c>
      <c r="K39" s="10">
        <f>SUM(K9:K36)</f>
        <v>89850</v>
      </c>
      <c r="L39" s="10">
        <f>SUM(L5:L38)</f>
        <v>111440</v>
      </c>
      <c r="N39" s="10">
        <f t="shared" si="0"/>
        <v>542055</v>
      </c>
      <c r="O39" s="10">
        <f>SUM(O7:O38)</f>
        <v>1157</v>
      </c>
    </row>
  </sheetData>
  <autoFilter ref="B4:B36"/>
  <mergeCells count="6">
    <mergeCell ref="N1:O1"/>
    <mergeCell ref="D39:E39"/>
    <mergeCell ref="D4:E4"/>
    <mergeCell ref="A1:E1"/>
    <mergeCell ref="A2:E2"/>
    <mergeCell ref="D3:E3"/>
  </mergeCells>
  <phoneticPr fontId="0" type="noConversion"/>
  <pageMargins left="0.5" right="0.5" top="0.5" bottom="0.5" header="0" footer="0"/>
  <pageSetup paperSize="9" scale="95" orientation="landscape" horizontalDpi="4294967295" verticalDpi="18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8"/>
  <sheetViews>
    <sheetView topLeftCell="A16" workbookViewId="0">
      <pane xSplit="5" topLeftCell="F1" activePane="topRight" state="frozenSplit"/>
      <selection pane="topRight" activeCell="A38" sqref="A38"/>
    </sheetView>
  </sheetViews>
  <sheetFormatPr defaultRowHeight="12.75" x14ac:dyDescent="0.2"/>
  <cols>
    <col min="1" max="1" width="4.28515625" bestFit="1" customWidth="1"/>
    <col min="2" max="2" width="10.85546875" bestFit="1" customWidth="1"/>
    <col min="3" max="3" width="34.5703125" bestFit="1" customWidth="1"/>
    <col min="4" max="4" width="5.85546875" bestFit="1" customWidth="1"/>
    <col min="5" max="5" width="5" bestFit="1" customWidth="1"/>
    <col min="6" max="6" width="6.140625" bestFit="1" customWidth="1"/>
    <col min="7" max="10" width="8.140625" bestFit="1" customWidth="1"/>
    <col min="11" max="11" width="7.140625" bestFit="1" customWidth="1"/>
    <col min="12" max="15" width="8.140625" bestFit="1" customWidth="1"/>
    <col min="16" max="17" width="8.140625" customWidth="1"/>
    <col min="18" max="18" width="6.140625" customWidth="1"/>
    <col min="19" max="20" width="9.140625" style="16"/>
  </cols>
  <sheetData>
    <row r="1" spans="1:20" x14ac:dyDescent="0.2">
      <c r="A1" s="416" t="s">
        <v>155</v>
      </c>
      <c r="B1" s="417"/>
      <c r="C1" s="417"/>
      <c r="D1" s="417"/>
      <c r="E1" s="418"/>
      <c r="F1" s="25">
        <v>2916</v>
      </c>
      <c r="G1" s="25">
        <v>2919</v>
      </c>
      <c r="H1" s="25">
        <v>2924</v>
      </c>
      <c r="I1" s="25">
        <v>2927</v>
      </c>
      <c r="J1" s="25">
        <v>2929</v>
      </c>
      <c r="K1" s="25">
        <v>2936</v>
      </c>
      <c r="L1" s="25">
        <v>2938</v>
      </c>
      <c r="M1" s="25">
        <v>2943</v>
      </c>
      <c r="N1" s="25">
        <v>2944</v>
      </c>
      <c r="O1" s="25">
        <v>2949</v>
      </c>
      <c r="P1" s="25">
        <v>2955</v>
      </c>
      <c r="Q1" s="25">
        <v>2964</v>
      </c>
      <c r="R1" s="25"/>
      <c r="S1" s="408" t="s">
        <v>138</v>
      </c>
      <c r="T1" s="408"/>
    </row>
    <row r="2" spans="1:20" x14ac:dyDescent="0.2">
      <c r="A2" s="409" t="s">
        <v>42</v>
      </c>
      <c r="B2" s="409"/>
      <c r="C2" s="409"/>
      <c r="D2" s="409"/>
      <c r="E2" s="410"/>
      <c r="F2" s="22" t="s">
        <v>156</v>
      </c>
      <c r="G2" s="22" t="s">
        <v>163</v>
      </c>
      <c r="H2" s="22" t="s">
        <v>164</v>
      </c>
      <c r="I2" s="22" t="s">
        <v>165</v>
      </c>
      <c r="J2" s="22" t="s">
        <v>166</v>
      </c>
      <c r="K2" s="22" t="s">
        <v>167</v>
      </c>
      <c r="L2" s="22" t="s">
        <v>174</v>
      </c>
      <c r="M2" s="22" t="s">
        <v>175</v>
      </c>
      <c r="N2" s="22" t="s">
        <v>176</v>
      </c>
      <c r="O2" s="22" t="s">
        <v>177</v>
      </c>
      <c r="P2" s="22" t="s">
        <v>178</v>
      </c>
      <c r="Q2" s="22" t="s">
        <v>183</v>
      </c>
      <c r="R2" s="22"/>
      <c r="S2" s="5" t="s">
        <v>116</v>
      </c>
      <c r="T2" s="18" t="s">
        <v>5</v>
      </c>
    </row>
    <row r="3" spans="1:20" x14ac:dyDescent="0.2">
      <c r="A3" s="19"/>
      <c r="B3" s="19"/>
      <c r="C3" s="19"/>
      <c r="D3" s="410" t="s">
        <v>140</v>
      </c>
      <c r="E3" s="414"/>
      <c r="F3" s="23">
        <v>445</v>
      </c>
      <c r="G3" s="5">
        <v>400</v>
      </c>
      <c r="H3" s="5">
        <v>500</v>
      </c>
      <c r="I3" s="5">
        <v>9</v>
      </c>
      <c r="J3" s="5">
        <v>471</v>
      </c>
      <c r="K3" s="5">
        <v>500</v>
      </c>
      <c r="L3" s="5">
        <v>8</v>
      </c>
      <c r="M3" s="5">
        <v>476</v>
      </c>
      <c r="N3" s="5">
        <v>524</v>
      </c>
      <c r="O3" s="5">
        <v>451</v>
      </c>
      <c r="P3" s="5">
        <v>531</v>
      </c>
      <c r="Q3" s="5">
        <v>422</v>
      </c>
      <c r="R3" s="23"/>
      <c r="S3" s="10"/>
      <c r="T3" s="10"/>
    </row>
    <row r="4" spans="1:20" ht="25.5" x14ac:dyDescent="0.2">
      <c r="A4" s="9" t="s">
        <v>1</v>
      </c>
      <c r="B4" s="4" t="s">
        <v>2</v>
      </c>
      <c r="C4" s="4" t="s">
        <v>0</v>
      </c>
      <c r="D4" s="408" t="s">
        <v>3</v>
      </c>
      <c r="E4" s="415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10"/>
      <c r="T4" s="10"/>
    </row>
    <row r="5" spans="1:20" x14ac:dyDescent="0.2">
      <c r="A5" s="10"/>
      <c r="B5" s="2"/>
      <c r="C5" s="2"/>
      <c r="D5" s="5" t="s">
        <v>4</v>
      </c>
      <c r="E5" s="21" t="s">
        <v>5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10"/>
      <c r="T5" s="10"/>
    </row>
    <row r="6" spans="1:20" x14ac:dyDescent="0.2">
      <c r="A6" s="10"/>
      <c r="B6" s="2"/>
      <c r="C6" s="2"/>
      <c r="D6" s="1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10"/>
      <c r="T6" s="10"/>
    </row>
    <row r="7" spans="1:20" x14ac:dyDescent="0.2">
      <c r="A7" s="10">
        <v>1</v>
      </c>
      <c r="B7" s="1" t="s">
        <v>85</v>
      </c>
      <c r="C7" s="2" t="s">
        <v>6</v>
      </c>
      <c r="D7" s="10">
        <v>100</v>
      </c>
      <c r="E7" s="20">
        <v>2800</v>
      </c>
      <c r="F7" s="20">
        <v>50400</v>
      </c>
      <c r="G7" s="20">
        <v>28000</v>
      </c>
      <c r="H7" s="20">
        <v>22400</v>
      </c>
      <c r="I7" s="20"/>
      <c r="J7" s="20">
        <v>11200</v>
      </c>
      <c r="K7" s="20">
        <v>28000</v>
      </c>
      <c r="L7" s="20"/>
      <c r="M7" s="20">
        <v>8400</v>
      </c>
      <c r="N7" s="20">
        <v>14000</v>
      </c>
      <c r="O7" s="20">
        <v>5600</v>
      </c>
      <c r="P7" s="20"/>
      <c r="Q7" s="20"/>
      <c r="R7" s="20"/>
      <c r="S7" s="10">
        <f>SUM(F7:Q7)</f>
        <v>168000</v>
      </c>
      <c r="T7" s="10">
        <f t="shared" ref="T7:T37" si="0">S7/E7</f>
        <v>60</v>
      </c>
    </row>
    <row r="8" spans="1:20" x14ac:dyDescent="0.2">
      <c r="A8" s="10">
        <v>3</v>
      </c>
      <c r="B8" s="1" t="s">
        <v>86</v>
      </c>
      <c r="C8" s="2" t="s">
        <v>8</v>
      </c>
      <c r="D8" s="10">
        <v>50</v>
      </c>
      <c r="E8" s="20">
        <v>1100</v>
      </c>
      <c r="F8" s="20"/>
      <c r="G8" s="20">
        <v>15400</v>
      </c>
      <c r="H8" s="20">
        <v>3300</v>
      </c>
      <c r="I8" s="20"/>
      <c r="J8" s="20"/>
      <c r="K8" s="20"/>
      <c r="L8" s="20"/>
      <c r="M8" s="20">
        <v>6600</v>
      </c>
      <c r="N8" s="20">
        <v>5500</v>
      </c>
      <c r="O8" s="20">
        <v>7700</v>
      </c>
      <c r="P8" s="20"/>
      <c r="Q8" s="20">
        <v>8800</v>
      </c>
      <c r="R8" s="20"/>
      <c r="S8" s="10">
        <f t="shared" ref="S8:S37" si="1">SUM(F8:Q8)</f>
        <v>47300</v>
      </c>
      <c r="T8" s="10">
        <f t="shared" si="0"/>
        <v>43</v>
      </c>
    </row>
    <row r="9" spans="1:20" x14ac:dyDescent="0.2">
      <c r="A9" s="10">
        <v>4</v>
      </c>
      <c r="B9" s="1" t="s">
        <v>87</v>
      </c>
      <c r="C9" s="2" t="s">
        <v>9</v>
      </c>
      <c r="D9" s="10">
        <v>50</v>
      </c>
      <c r="E9" s="20">
        <v>1000</v>
      </c>
      <c r="F9" s="20"/>
      <c r="G9" s="20">
        <v>6000</v>
      </c>
      <c r="H9" s="20">
        <v>9000</v>
      </c>
      <c r="I9" s="20"/>
      <c r="J9" s="20"/>
      <c r="K9" s="20">
        <v>6000</v>
      </c>
      <c r="L9" s="20"/>
      <c r="M9" s="20">
        <v>5000</v>
      </c>
      <c r="N9" s="20"/>
      <c r="O9" s="20">
        <v>10000</v>
      </c>
      <c r="P9" s="20"/>
      <c r="Q9" s="20">
        <v>10000</v>
      </c>
      <c r="R9" s="20"/>
      <c r="S9" s="10">
        <f t="shared" si="1"/>
        <v>46000</v>
      </c>
      <c r="T9" s="10">
        <f t="shared" si="0"/>
        <v>46</v>
      </c>
    </row>
    <row r="10" spans="1:20" x14ac:dyDescent="0.2">
      <c r="A10" s="10">
        <v>5</v>
      </c>
      <c r="B10" s="1" t="s">
        <v>82</v>
      </c>
      <c r="C10" s="2" t="s">
        <v>10</v>
      </c>
      <c r="D10" s="10">
        <v>50</v>
      </c>
      <c r="E10" s="20">
        <v>800</v>
      </c>
      <c r="F10" s="20"/>
      <c r="G10" s="20">
        <v>6400</v>
      </c>
      <c r="H10" s="20">
        <v>4800</v>
      </c>
      <c r="I10" s="20"/>
      <c r="J10" s="20"/>
      <c r="K10" s="20"/>
      <c r="L10" s="20"/>
      <c r="M10" s="20">
        <v>3200</v>
      </c>
      <c r="N10" s="20"/>
      <c r="O10" s="20">
        <v>7200</v>
      </c>
      <c r="P10" s="20"/>
      <c r="Q10" s="20">
        <v>8000</v>
      </c>
      <c r="R10" s="20"/>
      <c r="S10" s="10">
        <f t="shared" si="1"/>
        <v>29600</v>
      </c>
      <c r="T10" s="10">
        <f t="shared" si="0"/>
        <v>37</v>
      </c>
    </row>
    <row r="11" spans="1:20" x14ac:dyDescent="0.2">
      <c r="A11" s="10">
        <v>6</v>
      </c>
      <c r="B11" s="1" t="s">
        <v>89</v>
      </c>
      <c r="C11" s="2" t="s">
        <v>11</v>
      </c>
      <c r="D11" s="10">
        <v>50</v>
      </c>
      <c r="E11" s="20">
        <v>600</v>
      </c>
      <c r="F11" s="20"/>
      <c r="G11" s="20">
        <v>7200</v>
      </c>
      <c r="H11" s="20">
        <v>7800</v>
      </c>
      <c r="I11" s="20"/>
      <c r="J11" s="20"/>
      <c r="K11" s="20">
        <v>4800</v>
      </c>
      <c r="L11" s="20"/>
      <c r="M11" s="20">
        <v>3600</v>
      </c>
      <c r="N11" s="20">
        <v>21600</v>
      </c>
      <c r="O11" s="20"/>
      <c r="P11" s="20"/>
      <c r="Q11" s="20"/>
      <c r="R11" s="20"/>
      <c r="S11" s="10">
        <f t="shared" si="1"/>
        <v>45000</v>
      </c>
      <c r="T11" s="10">
        <f t="shared" si="0"/>
        <v>75</v>
      </c>
    </row>
    <row r="12" spans="1:20" x14ac:dyDescent="0.2">
      <c r="A12" s="10" t="s">
        <v>12</v>
      </c>
      <c r="B12" s="1" t="s">
        <v>79</v>
      </c>
      <c r="C12" s="2" t="s">
        <v>13</v>
      </c>
      <c r="D12" s="10">
        <v>50</v>
      </c>
      <c r="E12" s="20">
        <v>600</v>
      </c>
      <c r="F12" s="20"/>
      <c r="G12" s="20"/>
      <c r="H12" s="20"/>
      <c r="I12" s="20"/>
      <c r="J12" s="20"/>
      <c r="K12" s="20"/>
      <c r="L12" s="20"/>
      <c r="M12" s="20">
        <v>3000</v>
      </c>
      <c r="N12" s="20">
        <v>6000</v>
      </c>
      <c r="O12" s="20">
        <v>1200</v>
      </c>
      <c r="P12" s="20"/>
      <c r="Q12" s="20"/>
      <c r="R12" s="20"/>
      <c r="S12" s="10">
        <f t="shared" si="1"/>
        <v>10200</v>
      </c>
      <c r="T12" s="10">
        <f t="shared" si="0"/>
        <v>17</v>
      </c>
    </row>
    <row r="13" spans="1:20" x14ac:dyDescent="0.2">
      <c r="A13" s="10">
        <v>7</v>
      </c>
      <c r="B13" s="1" t="s">
        <v>88</v>
      </c>
      <c r="C13" s="2" t="s">
        <v>14</v>
      </c>
      <c r="D13" s="10">
        <v>10</v>
      </c>
      <c r="E13" s="20">
        <v>400</v>
      </c>
      <c r="F13" s="20"/>
      <c r="G13" s="20"/>
      <c r="H13" s="20"/>
      <c r="I13" s="20"/>
      <c r="J13" s="20">
        <v>2000</v>
      </c>
      <c r="K13" s="20"/>
      <c r="L13" s="20"/>
      <c r="M13" s="20">
        <v>2000</v>
      </c>
      <c r="N13" s="20"/>
      <c r="O13" s="20">
        <v>4000</v>
      </c>
      <c r="P13" s="20"/>
      <c r="Q13" s="20"/>
      <c r="R13" s="20"/>
      <c r="S13" s="10">
        <f t="shared" si="1"/>
        <v>8000</v>
      </c>
      <c r="T13" s="10">
        <f t="shared" si="0"/>
        <v>20</v>
      </c>
    </row>
    <row r="14" spans="1:20" x14ac:dyDescent="0.2">
      <c r="A14" s="10">
        <v>8</v>
      </c>
      <c r="B14" s="1" t="s">
        <v>90</v>
      </c>
      <c r="C14" s="2" t="s">
        <v>15</v>
      </c>
      <c r="D14" s="10">
        <v>10</v>
      </c>
      <c r="E14" s="20">
        <v>400</v>
      </c>
      <c r="F14" s="20"/>
      <c r="G14" s="20">
        <v>6800</v>
      </c>
      <c r="H14" s="20">
        <v>8000</v>
      </c>
      <c r="I14" s="20"/>
      <c r="J14" s="20">
        <v>4400</v>
      </c>
      <c r="K14" s="20">
        <v>4800</v>
      </c>
      <c r="L14" s="20"/>
      <c r="M14" s="20">
        <v>4000</v>
      </c>
      <c r="N14" s="20"/>
      <c r="O14" s="20">
        <v>8000</v>
      </c>
      <c r="P14" s="20"/>
      <c r="Q14" s="20">
        <v>8000</v>
      </c>
      <c r="R14" s="20"/>
      <c r="S14" s="10">
        <f t="shared" si="1"/>
        <v>44000</v>
      </c>
      <c r="T14" s="10">
        <f t="shared" si="0"/>
        <v>110</v>
      </c>
    </row>
    <row r="15" spans="1:20" x14ac:dyDescent="0.2">
      <c r="A15" s="10">
        <v>9</v>
      </c>
      <c r="B15" s="1" t="s">
        <v>91</v>
      </c>
      <c r="C15" s="2" t="s">
        <v>16</v>
      </c>
      <c r="D15" s="10">
        <v>10</v>
      </c>
      <c r="E15" s="20">
        <v>300</v>
      </c>
      <c r="F15" s="20"/>
      <c r="G15" s="20">
        <v>6000</v>
      </c>
      <c r="H15" s="20">
        <v>6000</v>
      </c>
      <c r="I15" s="20"/>
      <c r="J15" s="20">
        <v>3600</v>
      </c>
      <c r="K15" s="20">
        <v>3900</v>
      </c>
      <c r="L15" s="20"/>
      <c r="M15" s="20">
        <v>6000</v>
      </c>
      <c r="N15" s="20">
        <v>3000</v>
      </c>
      <c r="O15" s="20">
        <v>21000</v>
      </c>
      <c r="P15" s="20"/>
      <c r="Q15" s="20">
        <v>20100</v>
      </c>
      <c r="R15" s="20"/>
      <c r="S15" s="10">
        <f t="shared" si="1"/>
        <v>69600</v>
      </c>
      <c r="T15" s="10">
        <f t="shared" si="0"/>
        <v>232</v>
      </c>
    </row>
    <row r="16" spans="1:20" x14ac:dyDescent="0.2">
      <c r="A16" s="10" t="s">
        <v>17</v>
      </c>
      <c r="B16" s="5">
        <v>90441300</v>
      </c>
      <c r="C16" s="2" t="s">
        <v>179</v>
      </c>
      <c r="D16" s="10">
        <v>10</v>
      </c>
      <c r="E16" s="20">
        <v>300</v>
      </c>
      <c r="F16" s="20"/>
      <c r="G16" s="20"/>
      <c r="H16" s="20"/>
      <c r="I16" s="20"/>
      <c r="J16" s="20">
        <v>900</v>
      </c>
      <c r="K16" s="20"/>
      <c r="L16" s="20"/>
      <c r="M16" s="20"/>
      <c r="N16" s="20">
        <v>1800</v>
      </c>
      <c r="O16" s="20">
        <v>3300</v>
      </c>
      <c r="P16" s="20">
        <v>2100</v>
      </c>
      <c r="Q16" s="20"/>
      <c r="R16" s="20"/>
      <c r="S16" s="10">
        <f t="shared" si="1"/>
        <v>8100</v>
      </c>
      <c r="T16" s="10">
        <f t="shared" si="0"/>
        <v>27</v>
      </c>
    </row>
    <row r="17" spans="1:20" x14ac:dyDescent="0.2">
      <c r="A17" s="10" t="s">
        <v>180</v>
      </c>
      <c r="B17" s="1" t="s">
        <v>168</v>
      </c>
      <c r="C17" s="2" t="s">
        <v>169</v>
      </c>
      <c r="D17" s="10">
        <v>10</v>
      </c>
      <c r="E17" s="20">
        <v>300</v>
      </c>
      <c r="F17" s="20"/>
      <c r="G17" s="20"/>
      <c r="H17" s="20"/>
      <c r="I17" s="20"/>
      <c r="J17" s="20"/>
      <c r="K17" s="20">
        <v>2100</v>
      </c>
      <c r="L17" s="20"/>
      <c r="M17" s="20"/>
      <c r="N17" s="20">
        <v>8100</v>
      </c>
      <c r="O17" s="20"/>
      <c r="P17" s="20"/>
      <c r="Q17" s="20"/>
      <c r="R17" s="20"/>
      <c r="S17" s="10">
        <f t="shared" si="1"/>
        <v>10200</v>
      </c>
      <c r="T17" s="10">
        <f t="shared" si="0"/>
        <v>34</v>
      </c>
    </row>
    <row r="18" spans="1:20" x14ac:dyDescent="0.2">
      <c r="A18" s="10">
        <v>10</v>
      </c>
      <c r="B18" s="1" t="s">
        <v>94</v>
      </c>
      <c r="C18" s="2" t="s">
        <v>19</v>
      </c>
      <c r="D18" s="11">
        <v>10</v>
      </c>
      <c r="E18" s="20">
        <v>130</v>
      </c>
      <c r="F18" s="20"/>
      <c r="G18" s="20"/>
      <c r="H18" s="20">
        <v>910</v>
      </c>
      <c r="I18" s="20"/>
      <c r="J18" s="20">
        <v>780</v>
      </c>
      <c r="K18" s="20">
        <v>2340</v>
      </c>
      <c r="L18" s="20"/>
      <c r="M18" s="20">
        <v>650</v>
      </c>
      <c r="N18" s="20">
        <v>1300</v>
      </c>
      <c r="O18" s="20"/>
      <c r="P18" s="20"/>
      <c r="Q18" s="20"/>
      <c r="R18" s="20"/>
      <c r="S18" s="10">
        <f t="shared" si="1"/>
        <v>5980</v>
      </c>
      <c r="T18" s="10">
        <f t="shared" si="0"/>
        <v>46</v>
      </c>
    </row>
    <row r="19" spans="1:20" x14ac:dyDescent="0.2">
      <c r="A19" s="10">
        <v>11</v>
      </c>
      <c r="B19" s="1" t="s">
        <v>92</v>
      </c>
      <c r="C19" s="2" t="s">
        <v>20</v>
      </c>
      <c r="D19" s="10">
        <v>10</v>
      </c>
      <c r="E19" s="20">
        <v>110</v>
      </c>
      <c r="F19" s="20"/>
      <c r="G19" s="20"/>
      <c r="H19" s="20"/>
      <c r="I19" s="20"/>
      <c r="J19" s="20"/>
      <c r="K19" s="20">
        <v>2640</v>
      </c>
      <c r="L19" s="20"/>
      <c r="M19" s="20">
        <v>330</v>
      </c>
      <c r="N19" s="20">
        <v>880</v>
      </c>
      <c r="O19" s="20"/>
      <c r="P19" s="20"/>
      <c r="Q19" s="20"/>
      <c r="R19" s="20"/>
      <c r="S19" s="10">
        <f t="shared" si="1"/>
        <v>3850</v>
      </c>
      <c r="T19" s="10">
        <f t="shared" si="0"/>
        <v>35</v>
      </c>
    </row>
    <row r="20" spans="1:20" x14ac:dyDescent="0.2">
      <c r="A20" s="10">
        <v>12</v>
      </c>
      <c r="B20" s="1" t="s">
        <v>95</v>
      </c>
      <c r="C20" s="2" t="s">
        <v>21</v>
      </c>
      <c r="D20" s="10">
        <v>10</v>
      </c>
      <c r="E20" s="20">
        <v>80</v>
      </c>
      <c r="F20" s="20"/>
      <c r="G20" s="20"/>
      <c r="H20" s="20"/>
      <c r="I20" s="20"/>
      <c r="J20" s="20">
        <v>1520</v>
      </c>
      <c r="K20" s="20">
        <v>2640</v>
      </c>
      <c r="L20" s="20"/>
      <c r="M20" s="20">
        <v>1200</v>
      </c>
      <c r="N20" s="20"/>
      <c r="O20" s="20">
        <v>1840</v>
      </c>
      <c r="P20" s="20">
        <v>2000</v>
      </c>
      <c r="Q20" s="20"/>
      <c r="R20" s="20"/>
      <c r="S20" s="10">
        <f t="shared" si="1"/>
        <v>9200</v>
      </c>
      <c r="T20" s="10">
        <f t="shared" si="0"/>
        <v>115</v>
      </c>
    </row>
    <row r="21" spans="1:20" x14ac:dyDescent="0.2">
      <c r="A21" s="10">
        <v>13</v>
      </c>
      <c r="B21" s="1" t="s">
        <v>99</v>
      </c>
      <c r="C21" s="2" t="s">
        <v>22</v>
      </c>
      <c r="D21" s="10">
        <v>100</v>
      </c>
      <c r="E21" s="20">
        <v>1200</v>
      </c>
      <c r="F21" s="20">
        <v>9600</v>
      </c>
      <c r="G21" s="20">
        <v>15600</v>
      </c>
      <c r="H21" s="20">
        <v>18000</v>
      </c>
      <c r="I21" s="20"/>
      <c r="J21" s="20"/>
      <c r="K21" s="20">
        <v>12000</v>
      </c>
      <c r="L21" s="20"/>
      <c r="M21" s="20">
        <v>18000</v>
      </c>
      <c r="N21" s="20"/>
      <c r="O21" s="20">
        <v>18000</v>
      </c>
      <c r="P21" s="20"/>
      <c r="Q21" s="20"/>
      <c r="R21" s="20"/>
      <c r="S21" s="10">
        <f t="shared" si="1"/>
        <v>91200</v>
      </c>
      <c r="T21" s="10">
        <f t="shared" si="0"/>
        <v>76</v>
      </c>
    </row>
    <row r="22" spans="1:20" x14ac:dyDescent="0.2">
      <c r="A22" s="10">
        <v>14</v>
      </c>
      <c r="B22" s="1" t="s">
        <v>102</v>
      </c>
      <c r="C22" s="2" t="s">
        <v>23</v>
      </c>
      <c r="D22" s="10">
        <v>100</v>
      </c>
      <c r="E22" s="20">
        <v>1000</v>
      </c>
      <c r="F22" s="20">
        <v>8000</v>
      </c>
      <c r="G22" s="20"/>
      <c r="H22" s="20"/>
      <c r="I22" s="20"/>
      <c r="J22" s="20"/>
      <c r="K22" s="20"/>
      <c r="L22" s="20"/>
      <c r="M22" s="20">
        <v>10000</v>
      </c>
      <c r="N22" s="20">
        <v>10000</v>
      </c>
      <c r="O22" s="20"/>
      <c r="P22" s="20"/>
      <c r="Q22" s="20"/>
      <c r="R22" s="20"/>
      <c r="S22" s="10">
        <f t="shared" si="1"/>
        <v>28000</v>
      </c>
      <c r="T22" s="10">
        <f t="shared" si="0"/>
        <v>28</v>
      </c>
    </row>
    <row r="23" spans="1:20" x14ac:dyDescent="0.2">
      <c r="A23" s="10">
        <v>15</v>
      </c>
      <c r="B23" s="1" t="s">
        <v>97</v>
      </c>
      <c r="C23" s="2" t="s">
        <v>24</v>
      </c>
      <c r="D23" s="10">
        <v>50</v>
      </c>
      <c r="E23" s="20">
        <v>2800</v>
      </c>
      <c r="F23" s="20"/>
      <c r="G23" s="20">
        <v>5600</v>
      </c>
      <c r="H23" s="20">
        <v>8400</v>
      </c>
      <c r="I23" s="20"/>
      <c r="J23" s="20"/>
      <c r="K23" s="20"/>
      <c r="L23" s="20"/>
      <c r="M23" s="20">
        <v>11200</v>
      </c>
      <c r="N23" s="20"/>
      <c r="O23" s="20">
        <v>8400</v>
      </c>
      <c r="P23" s="20"/>
      <c r="Q23" s="20"/>
      <c r="R23" s="20"/>
      <c r="S23" s="10">
        <f t="shared" si="1"/>
        <v>33600</v>
      </c>
      <c r="T23" s="10">
        <f t="shared" si="0"/>
        <v>12</v>
      </c>
    </row>
    <row r="24" spans="1:20" x14ac:dyDescent="0.2">
      <c r="A24" s="10">
        <v>16</v>
      </c>
      <c r="B24" s="1" t="s">
        <v>98</v>
      </c>
      <c r="C24" s="2" t="s">
        <v>25</v>
      </c>
      <c r="D24" s="10">
        <v>50</v>
      </c>
      <c r="E24" s="20">
        <v>550</v>
      </c>
      <c r="F24" s="20">
        <v>550</v>
      </c>
      <c r="G24" s="20"/>
      <c r="H24" s="20">
        <v>5500</v>
      </c>
      <c r="I24" s="20"/>
      <c r="J24" s="20">
        <v>3850</v>
      </c>
      <c r="K24" s="20">
        <v>550</v>
      </c>
      <c r="L24" s="20"/>
      <c r="M24" s="20">
        <v>3300</v>
      </c>
      <c r="N24" s="20"/>
      <c r="O24" s="20">
        <v>6600</v>
      </c>
      <c r="P24" s="20"/>
      <c r="Q24" s="20"/>
      <c r="R24" s="20"/>
      <c r="S24" s="10">
        <f t="shared" si="1"/>
        <v>20350</v>
      </c>
      <c r="T24" s="10">
        <f t="shared" si="0"/>
        <v>37</v>
      </c>
    </row>
    <row r="25" spans="1:20" x14ac:dyDescent="0.2">
      <c r="A25" s="10" t="s">
        <v>141</v>
      </c>
      <c r="B25" s="1" t="s">
        <v>142</v>
      </c>
      <c r="C25" s="2" t="s">
        <v>143</v>
      </c>
      <c r="D25" s="10">
        <v>50</v>
      </c>
      <c r="E25" s="20">
        <v>550</v>
      </c>
      <c r="F25" s="20">
        <v>550</v>
      </c>
      <c r="G25" s="20"/>
      <c r="H25" s="20">
        <v>7150</v>
      </c>
      <c r="I25" s="20"/>
      <c r="J25" s="20">
        <v>3850</v>
      </c>
      <c r="K25" s="20"/>
      <c r="L25" s="20"/>
      <c r="M25" s="20">
        <v>3850</v>
      </c>
      <c r="N25" s="20"/>
      <c r="O25" s="20">
        <v>11000</v>
      </c>
      <c r="P25" s="20"/>
      <c r="Q25" s="20"/>
      <c r="R25" s="20"/>
      <c r="S25" s="10">
        <f t="shared" si="1"/>
        <v>26400</v>
      </c>
      <c r="T25" s="10">
        <f t="shared" si="0"/>
        <v>48</v>
      </c>
    </row>
    <row r="26" spans="1:20" x14ac:dyDescent="0.2">
      <c r="A26" s="10" t="s">
        <v>181</v>
      </c>
      <c r="B26" s="1" t="s">
        <v>170</v>
      </c>
      <c r="C26" s="2" t="s">
        <v>171</v>
      </c>
      <c r="D26" s="10">
        <v>10</v>
      </c>
      <c r="E26" s="20">
        <v>1200</v>
      </c>
      <c r="F26" s="20"/>
      <c r="G26" s="20"/>
      <c r="H26" s="20"/>
      <c r="I26" s="20"/>
      <c r="J26" s="20"/>
      <c r="K26" s="20">
        <v>6000</v>
      </c>
      <c r="L26" s="20"/>
      <c r="M26" s="20">
        <v>9600</v>
      </c>
      <c r="N26" s="20"/>
      <c r="O26" s="20">
        <v>10800</v>
      </c>
      <c r="P26" s="20"/>
      <c r="Q26" s="20"/>
      <c r="R26" s="20"/>
      <c r="S26" s="10">
        <f t="shared" si="1"/>
        <v>26400</v>
      </c>
      <c r="T26" s="10">
        <f t="shared" si="0"/>
        <v>22</v>
      </c>
    </row>
    <row r="27" spans="1:20" x14ac:dyDescent="0.2">
      <c r="A27" s="10">
        <v>17</v>
      </c>
      <c r="B27" s="1" t="s">
        <v>83</v>
      </c>
      <c r="C27" s="2" t="s">
        <v>26</v>
      </c>
      <c r="D27" s="10">
        <v>10</v>
      </c>
      <c r="E27" s="20">
        <v>330</v>
      </c>
      <c r="F27" s="20"/>
      <c r="G27" s="20"/>
      <c r="H27" s="20"/>
      <c r="I27" s="20"/>
      <c r="J27" s="20"/>
      <c r="K27" s="20">
        <v>660</v>
      </c>
      <c r="L27" s="20"/>
      <c r="M27" s="20"/>
      <c r="N27" s="20"/>
      <c r="O27" s="20"/>
      <c r="P27" s="20"/>
      <c r="Q27" s="20"/>
      <c r="R27" s="20"/>
      <c r="S27" s="10">
        <f t="shared" si="1"/>
        <v>660</v>
      </c>
      <c r="T27" s="10">
        <f t="shared" si="0"/>
        <v>2</v>
      </c>
    </row>
    <row r="28" spans="1:20" x14ac:dyDescent="0.2">
      <c r="A28" s="10" t="s">
        <v>28</v>
      </c>
      <c r="B28" s="5">
        <v>90447000</v>
      </c>
      <c r="C28" s="2" t="s">
        <v>29</v>
      </c>
      <c r="D28" s="10">
        <v>10</v>
      </c>
      <c r="E28" s="20">
        <v>270</v>
      </c>
      <c r="F28" s="20"/>
      <c r="G28" s="20">
        <v>5400</v>
      </c>
      <c r="H28" s="20">
        <v>9990</v>
      </c>
      <c r="I28" s="20"/>
      <c r="J28" s="20"/>
      <c r="K28" s="20">
        <v>7560</v>
      </c>
      <c r="L28" s="20"/>
      <c r="M28" s="20">
        <v>1620</v>
      </c>
      <c r="N28" s="20">
        <v>3780</v>
      </c>
      <c r="O28" s="20"/>
      <c r="P28" s="20">
        <v>3240</v>
      </c>
      <c r="Q28" s="20"/>
      <c r="R28" s="20"/>
      <c r="S28" s="10">
        <f t="shared" si="1"/>
        <v>31590</v>
      </c>
      <c r="T28" s="10">
        <f t="shared" si="0"/>
        <v>117</v>
      </c>
    </row>
    <row r="29" spans="1:20" x14ac:dyDescent="0.2">
      <c r="A29" s="10">
        <v>19</v>
      </c>
      <c r="B29" s="1" t="s">
        <v>30</v>
      </c>
      <c r="C29" s="2" t="s">
        <v>31</v>
      </c>
      <c r="D29" s="10">
        <v>10</v>
      </c>
      <c r="E29" s="20">
        <v>230</v>
      </c>
      <c r="F29" s="20"/>
      <c r="G29" s="20">
        <v>1840</v>
      </c>
      <c r="H29" s="20">
        <v>230</v>
      </c>
      <c r="I29" s="20"/>
      <c r="J29" s="20"/>
      <c r="K29" s="20"/>
      <c r="L29" s="20"/>
      <c r="M29" s="20">
        <v>2530</v>
      </c>
      <c r="N29" s="20">
        <v>2530</v>
      </c>
      <c r="O29" s="20"/>
      <c r="P29" s="20"/>
      <c r="Q29" s="20"/>
      <c r="R29" s="20"/>
      <c r="S29" s="10">
        <f t="shared" si="1"/>
        <v>7130</v>
      </c>
      <c r="T29" s="10">
        <f t="shared" si="0"/>
        <v>31</v>
      </c>
    </row>
    <row r="30" spans="1:20" x14ac:dyDescent="0.2">
      <c r="A30" s="10" t="s">
        <v>32</v>
      </c>
      <c r="B30" s="5">
        <v>90442300</v>
      </c>
      <c r="C30" s="2" t="s">
        <v>173</v>
      </c>
      <c r="D30" s="10">
        <v>10</v>
      </c>
      <c r="E30" s="20">
        <v>230</v>
      </c>
      <c r="F30" s="20"/>
      <c r="G30" s="20"/>
      <c r="H30" s="20"/>
      <c r="I30" s="20"/>
      <c r="J30" s="20"/>
      <c r="K30" s="20">
        <v>3450</v>
      </c>
      <c r="L30" s="20"/>
      <c r="M30" s="20">
        <v>690</v>
      </c>
      <c r="N30" s="20">
        <v>2300</v>
      </c>
      <c r="O30" s="20"/>
      <c r="P30" s="20"/>
      <c r="Q30" s="20"/>
      <c r="R30" s="20"/>
      <c r="S30" s="10">
        <f t="shared" si="1"/>
        <v>6440</v>
      </c>
      <c r="T30" s="10">
        <f t="shared" si="0"/>
        <v>28</v>
      </c>
    </row>
    <row r="31" spans="1:20" x14ac:dyDescent="0.2">
      <c r="A31" s="10">
        <v>20</v>
      </c>
      <c r="B31" s="1" t="s">
        <v>93</v>
      </c>
      <c r="C31" s="2" t="s">
        <v>34</v>
      </c>
      <c r="D31" s="10">
        <v>5</v>
      </c>
      <c r="E31" s="20">
        <v>75</v>
      </c>
      <c r="F31" s="20"/>
      <c r="G31" s="20"/>
      <c r="H31" s="20"/>
      <c r="I31" s="20"/>
      <c r="J31" s="20"/>
      <c r="K31" s="20">
        <v>525</v>
      </c>
      <c r="L31" s="20"/>
      <c r="M31" s="20">
        <v>225</v>
      </c>
      <c r="N31" s="20"/>
      <c r="O31" s="20">
        <v>600</v>
      </c>
      <c r="P31" s="20"/>
      <c r="Q31" s="20"/>
      <c r="R31" s="20"/>
      <c r="S31" s="10">
        <f t="shared" si="1"/>
        <v>1350</v>
      </c>
      <c r="T31" s="10">
        <f t="shared" si="0"/>
        <v>18</v>
      </c>
    </row>
    <row r="32" spans="1:20" x14ac:dyDescent="0.2">
      <c r="A32" s="10">
        <v>21</v>
      </c>
      <c r="B32" s="1" t="s">
        <v>35</v>
      </c>
      <c r="C32" s="2" t="s">
        <v>36</v>
      </c>
      <c r="D32" s="10">
        <v>5</v>
      </c>
      <c r="E32" s="20">
        <v>50</v>
      </c>
      <c r="F32" s="20"/>
      <c r="G32" s="20">
        <v>400</v>
      </c>
      <c r="H32" s="20"/>
      <c r="I32" s="20"/>
      <c r="J32" s="20">
        <v>950</v>
      </c>
      <c r="K32" s="20">
        <v>1150</v>
      </c>
      <c r="L32" s="20"/>
      <c r="M32" s="20">
        <v>2000</v>
      </c>
      <c r="N32" s="20">
        <v>2000</v>
      </c>
      <c r="O32" s="20"/>
      <c r="P32" s="20">
        <v>2000</v>
      </c>
      <c r="Q32" s="20"/>
      <c r="R32" s="20"/>
      <c r="S32" s="10">
        <f t="shared" si="1"/>
        <v>8500</v>
      </c>
      <c r="T32" s="10">
        <f t="shared" si="0"/>
        <v>170</v>
      </c>
    </row>
    <row r="33" spans="1:20" x14ac:dyDescent="0.2">
      <c r="A33" s="10">
        <v>23</v>
      </c>
      <c r="B33" s="5" t="s">
        <v>157</v>
      </c>
      <c r="C33" s="2" t="s">
        <v>160</v>
      </c>
      <c r="D33" s="10">
        <v>10</v>
      </c>
      <c r="E33" s="10">
        <v>160</v>
      </c>
      <c r="F33" s="20">
        <v>3200</v>
      </c>
      <c r="G33" s="20">
        <v>1600</v>
      </c>
      <c r="H33" s="20">
        <v>2720</v>
      </c>
      <c r="I33" s="20"/>
      <c r="J33" s="20"/>
      <c r="K33" s="20"/>
      <c r="L33" s="20"/>
      <c r="M33" s="20">
        <v>960</v>
      </c>
      <c r="N33" s="20">
        <v>2080</v>
      </c>
      <c r="O33" s="20"/>
      <c r="P33" s="20">
        <v>1120</v>
      </c>
      <c r="Q33" s="20"/>
      <c r="R33" s="20"/>
      <c r="S33" s="10">
        <f t="shared" si="1"/>
        <v>11680</v>
      </c>
      <c r="T33" s="10">
        <f t="shared" si="0"/>
        <v>73</v>
      </c>
    </row>
    <row r="34" spans="1:20" x14ac:dyDescent="0.2">
      <c r="A34" s="10" t="s">
        <v>182</v>
      </c>
      <c r="B34" s="5">
        <v>90443300</v>
      </c>
      <c r="C34" s="2" t="s">
        <v>172</v>
      </c>
      <c r="D34" s="10">
        <v>10</v>
      </c>
      <c r="E34" s="10">
        <v>160</v>
      </c>
      <c r="F34" s="20"/>
      <c r="G34" s="20"/>
      <c r="H34" s="20"/>
      <c r="I34" s="20"/>
      <c r="J34" s="20"/>
      <c r="K34" s="20">
        <v>3040</v>
      </c>
      <c r="L34" s="20"/>
      <c r="M34" s="20"/>
      <c r="N34" s="20">
        <v>3040</v>
      </c>
      <c r="O34" s="20"/>
      <c r="P34" s="20">
        <v>3040</v>
      </c>
      <c r="Q34" s="20"/>
      <c r="R34" s="20"/>
      <c r="S34" s="10">
        <f t="shared" si="1"/>
        <v>9120</v>
      </c>
      <c r="T34" s="10">
        <f t="shared" si="0"/>
        <v>57</v>
      </c>
    </row>
    <row r="35" spans="1:20" x14ac:dyDescent="0.2">
      <c r="A35" s="10">
        <v>24</v>
      </c>
      <c r="B35" s="5" t="s">
        <v>158</v>
      </c>
      <c r="C35" s="2" t="s">
        <v>161</v>
      </c>
      <c r="D35" s="10">
        <v>5</v>
      </c>
      <c r="E35" s="10">
        <v>35</v>
      </c>
      <c r="F35" s="20">
        <v>770</v>
      </c>
      <c r="G35" s="20">
        <v>245</v>
      </c>
      <c r="H35" s="20">
        <v>70</v>
      </c>
      <c r="I35" s="20"/>
      <c r="J35" s="20"/>
      <c r="K35" s="20">
        <v>315</v>
      </c>
      <c r="L35" s="20"/>
      <c r="M35" s="20">
        <v>315</v>
      </c>
      <c r="N35" s="20">
        <v>595</v>
      </c>
      <c r="O35" s="20"/>
      <c r="P35" s="20"/>
      <c r="Q35" s="20">
        <v>1015</v>
      </c>
      <c r="R35" s="20"/>
      <c r="S35" s="10">
        <f t="shared" si="1"/>
        <v>3325</v>
      </c>
      <c r="T35" s="10">
        <f t="shared" si="0"/>
        <v>95</v>
      </c>
    </row>
    <row r="36" spans="1:20" x14ac:dyDescent="0.2">
      <c r="A36" s="10">
        <v>25</v>
      </c>
      <c r="B36" s="5" t="s">
        <v>159</v>
      </c>
      <c r="C36" s="2" t="s">
        <v>162</v>
      </c>
      <c r="D36" s="10">
        <v>50</v>
      </c>
      <c r="E36" s="10">
        <v>350</v>
      </c>
      <c r="F36" s="20">
        <v>7700</v>
      </c>
      <c r="G36" s="20">
        <v>2450</v>
      </c>
      <c r="H36" s="20">
        <v>5600</v>
      </c>
      <c r="I36" s="20"/>
      <c r="J36" s="20">
        <v>2100</v>
      </c>
      <c r="K36" s="20"/>
      <c r="L36" s="20"/>
      <c r="M36" s="20">
        <v>700</v>
      </c>
      <c r="N36" s="20">
        <v>3150</v>
      </c>
      <c r="O36" s="20">
        <v>1050</v>
      </c>
      <c r="P36" s="20"/>
      <c r="Q36" s="20"/>
      <c r="R36" s="20"/>
      <c r="S36" s="10">
        <f t="shared" si="1"/>
        <v>22750</v>
      </c>
      <c r="T36" s="10">
        <f t="shared" si="0"/>
        <v>65</v>
      </c>
    </row>
    <row r="37" spans="1:20" x14ac:dyDescent="0.2">
      <c r="A37" s="10">
        <v>26</v>
      </c>
      <c r="B37" s="1" t="s">
        <v>100</v>
      </c>
      <c r="C37" s="2" t="s">
        <v>40</v>
      </c>
      <c r="D37" s="10">
        <v>50</v>
      </c>
      <c r="E37" s="20">
        <v>1750</v>
      </c>
      <c r="F37" s="20"/>
      <c r="G37" s="20"/>
      <c r="H37" s="20"/>
      <c r="I37" s="20"/>
      <c r="J37" s="20">
        <v>10500</v>
      </c>
      <c r="K37" s="20">
        <v>7000</v>
      </c>
      <c r="L37" s="20"/>
      <c r="M37" s="20">
        <v>5250</v>
      </c>
      <c r="N37" s="20">
        <v>10500</v>
      </c>
      <c r="O37" s="20"/>
      <c r="P37" s="20"/>
      <c r="Q37" s="20"/>
      <c r="R37" s="20"/>
      <c r="S37" s="10">
        <f t="shared" si="1"/>
        <v>33250</v>
      </c>
      <c r="T37" s="10">
        <f t="shared" si="0"/>
        <v>19</v>
      </c>
    </row>
    <row r="38" spans="1:20" x14ac:dyDescent="0.2">
      <c r="A38" s="15"/>
      <c r="B38" s="12"/>
      <c r="C38" s="2"/>
      <c r="D38" s="410" t="s">
        <v>135</v>
      </c>
      <c r="E38" s="414"/>
      <c r="F38" s="19">
        <f t="shared" ref="F38:Q38" si="2">SUM(F7:F37)</f>
        <v>80770</v>
      </c>
      <c r="G38" s="19">
        <f t="shared" si="2"/>
        <v>108935</v>
      </c>
      <c r="H38" s="19">
        <f t="shared" si="2"/>
        <v>119870</v>
      </c>
      <c r="I38" s="19">
        <f t="shared" si="2"/>
        <v>0</v>
      </c>
      <c r="J38" s="19">
        <f t="shared" si="2"/>
        <v>45650</v>
      </c>
      <c r="K38" s="19">
        <f t="shared" si="2"/>
        <v>99470</v>
      </c>
      <c r="L38" s="19">
        <f t="shared" si="2"/>
        <v>0</v>
      </c>
      <c r="M38" s="19">
        <f t="shared" si="2"/>
        <v>114220</v>
      </c>
      <c r="N38" s="19">
        <f t="shared" si="2"/>
        <v>102155</v>
      </c>
      <c r="O38" s="19">
        <f t="shared" si="2"/>
        <v>126290</v>
      </c>
      <c r="P38" s="19">
        <f t="shared" si="2"/>
        <v>13500</v>
      </c>
      <c r="Q38" s="19">
        <f t="shared" si="2"/>
        <v>55915</v>
      </c>
      <c r="R38" s="19"/>
      <c r="S38" s="10">
        <f>SUM(S7:S37)</f>
        <v>866775</v>
      </c>
      <c r="T38" s="10">
        <f>SUM(T7:T37)</f>
        <v>1795</v>
      </c>
    </row>
  </sheetData>
  <autoFilter ref="B4:B37"/>
  <mergeCells count="6">
    <mergeCell ref="S1:T1"/>
    <mergeCell ref="D38:E38"/>
    <mergeCell ref="D4:E4"/>
    <mergeCell ref="A1:E1"/>
    <mergeCell ref="A2:E2"/>
    <mergeCell ref="D3:E3"/>
  </mergeCells>
  <phoneticPr fontId="0" type="noConversion"/>
  <pageMargins left="0.5" right="0.5" top="0.5" bottom="0.5" header="0" footer="0"/>
  <pageSetup paperSize="9" scale="80" orientation="landscape" verticalDpi="18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9"/>
  <sheetViews>
    <sheetView workbookViewId="0">
      <pane xSplit="5" ySplit="5" topLeftCell="F21" activePane="bottomRight" state="frozenSplit"/>
      <selection pane="topRight" activeCell="G1" sqref="G1"/>
      <selection pane="bottomLeft" activeCell="A17" sqref="A17"/>
      <selection pane="bottomRight" activeCell="E8" sqref="E8"/>
    </sheetView>
  </sheetViews>
  <sheetFormatPr defaultRowHeight="12.75" x14ac:dyDescent="0.2"/>
  <cols>
    <col min="1" max="1" width="4.28515625" bestFit="1" customWidth="1"/>
    <col min="2" max="2" width="10.85546875" bestFit="1" customWidth="1"/>
    <col min="3" max="3" width="34.5703125" bestFit="1" customWidth="1"/>
    <col min="4" max="4" width="5.85546875" bestFit="1" customWidth="1"/>
    <col min="5" max="5" width="5" bestFit="1" customWidth="1"/>
    <col min="6" max="15" width="8.140625" customWidth="1"/>
    <col min="16" max="17" width="9.140625" style="16"/>
  </cols>
  <sheetData>
    <row r="1" spans="1:17" x14ac:dyDescent="0.2">
      <c r="A1" s="415" t="s">
        <v>218</v>
      </c>
      <c r="B1" s="420"/>
      <c r="C1" s="420"/>
      <c r="D1" s="420"/>
      <c r="E1" s="419"/>
      <c r="F1" s="24">
        <v>2969</v>
      </c>
      <c r="G1" s="24">
        <v>2974</v>
      </c>
      <c r="H1" s="24">
        <v>2978</v>
      </c>
      <c r="I1" s="24">
        <v>2983</v>
      </c>
      <c r="J1" s="24">
        <v>2991</v>
      </c>
      <c r="K1" s="26">
        <v>2999</v>
      </c>
      <c r="L1" s="26">
        <v>3004</v>
      </c>
      <c r="M1" s="26">
        <v>3011</v>
      </c>
      <c r="N1" s="26">
        <v>3024</v>
      </c>
      <c r="O1" s="26">
        <v>3028</v>
      </c>
      <c r="P1" s="415" t="s">
        <v>138</v>
      </c>
      <c r="Q1" s="419"/>
    </row>
    <row r="2" spans="1:17" x14ac:dyDescent="0.2">
      <c r="A2" s="409" t="s">
        <v>42</v>
      </c>
      <c r="B2" s="409"/>
      <c r="C2" s="409"/>
      <c r="D2" s="409"/>
      <c r="E2" s="410"/>
      <c r="F2" s="24" t="s">
        <v>185</v>
      </c>
      <c r="G2" s="24" t="s">
        <v>186</v>
      </c>
      <c r="H2" s="24" t="s">
        <v>187</v>
      </c>
      <c r="I2" s="24" t="s">
        <v>188</v>
      </c>
      <c r="J2" s="24" t="s">
        <v>189</v>
      </c>
      <c r="K2" s="24" t="s">
        <v>190</v>
      </c>
      <c r="L2" s="24" t="s">
        <v>191</v>
      </c>
      <c r="M2" s="24" t="s">
        <v>192</v>
      </c>
      <c r="N2" s="24" t="s">
        <v>202</v>
      </c>
      <c r="O2" s="24" t="s">
        <v>203</v>
      </c>
      <c r="P2" s="5" t="s">
        <v>116</v>
      </c>
      <c r="Q2" s="18" t="s">
        <v>5</v>
      </c>
    </row>
    <row r="3" spans="1:17" x14ac:dyDescent="0.2">
      <c r="A3" s="19"/>
      <c r="B3" s="19"/>
      <c r="C3" s="19"/>
      <c r="D3" s="410" t="s">
        <v>140</v>
      </c>
      <c r="E3" s="414"/>
      <c r="F3" s="24">
        <v>133</v>
      </c>
      <c r="G3" s="24">
        <v>140</v>
      </c>
      <c r="H3" s="24">
        <v>62</v>
      </c>
      <c r="I3" s="24">
        <v>88</v>
      </c>
      <c r="J3" s="24">
        <v>199</v>
      </c>
      <c r="K3" s="24">
        <v>201</v>
      </c>
      <c r="L3" s="24">
        <v>142</v>
      </c>
      <c r="M3" s="24">
        <v>264</v>
      </c>
      <c r="N3" s="24">
        <v>93</v>
      </c>
      <c r="O3" s="24">
        <v>118</v>
      </c>
      <c r="P3" s="10"/>
      <c r="Q3" s="10"/>
    </row>
    <row r="4" spans="1:17" ht="25.5" x14ac:dyDescent="0.2">
      <c r="A4" s="9" t="s">
        <v>1</v>
      </c>
      <c r="B4" s="4" t="s">
        <v>2</v>
      </c>
      <c r="C4" s="4" t="s">
        <v>0</v>
      </c>
      <c r="D4" s="408" t="s">
        <v>3</v>
      </c>
      <c r="E4" s="415"/>
      <c r="F4" s="26" t="s">
        <v>116</v>
      </c>
      <c r="G4" s="26" t="s">
        <v>116</v>
      </c>
      <c r="H4" s="26" t="s">
        <v>116</v>
      </c>
      <c r="I4" s="26" t="s">
        <v>116</v>
      </c>
      <c r="J4" s="26" t="s">
        <v>116</v>
      </c>
      <c r="K4" s="26" t="s">
        <v>116</v>
      </c>
      <c r="L4" s="24" t="s">
        <v>116</v>
      </c>
      <c r="M4" s="24" t="s">
        <v>116</v>
      </c>
      <c r="N4" s="24" t="s">
        <v>116</v>
      </c>
      <c r="O4" s="24" t="s">
        <v>116</v>
      </c>
      <c r="P4" s="10"/>
      <c r="Q4" s="10"/>
    </row>
    <row r="5" spans="1:17" x14ac:dyDescent="0.2">
      <c r="A5" s="10"/>
      <c r="B5" s="2"/>
      <c r="C5" s="2"/>
      <c r="D5" s="5" t="s">
        <v>4</v>
      </c>
      <c r="E5" s="21" t="s">
        <v>5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10"/>
      <c r="Q5" s="10"/>
    </row>
    <row r="6" spans="1:17" x14ac:dyDescent="0.2">
      <c r="A6" s="29"/>
      <c r="B6" s="30"/>
      <c r="C6" s="30"/>
      <c r="D6" s="2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29"/>
      <c r="Q6" s="29"/>
    </row>
    <row r="7" spans="1:17" x14ac:dyDescent="0.2">
      <c r="A7" s="32">
        <v>1</v>
      </c>
      <c r="B7" s="33" t="s">
        <v>85</v>
      </c>
      <c r="C7" s="34" t="s">
        <v>6</v>
      </c>
      <c r="D7" s="32">
        <v>100</v>
      </c>
      <c r="E7" s="35">
        <v>2800</v>
      </c>
      <c r="F7" s="35">
        <v>30800</v>
      </c>
      <c r="G7" s="35">
        <v>14000</v>
      </c>
      <c r="H7" s="35"/>
      <c r="I7" s="35"/>
      <c r="J7" s="35">
        <v>33600</v>
      </c>
      <c r="K7" s="35">
        <v>39200</v>
      </c>
      <c r="L7" s="35">
        <v>28000</v>
      </c>
      <c r="M7" s="35">
        <v>28000</v>
      </c>
      <c r="N7" s="35"/>
      <c r="O7" s="35"/>
      <c r="P7" s="32">
        <f t="shared" ref="P7:P36" si="0">SUM(F7:O7)</f>
        <v>173600</v>
      </c>
      <c r="Q7" s="32">
        <f t="shared" ref="Q7:Q24" si="1">P7/E7</f>
        <v>62</v>
      </c>
    </row>
    <row r="8" spans="1:17" s="28" customFormat="1" x14ac:dyDescent="0.2">
      <c r="A8" s="36">
        <v>2</v>
      </c>
      <c r="B8" s="37" t="s">
        <v>81</v>
      </c>
      <c r="C8" s="38" t="s">
        <v>7</v>
      </c>
      <c r="D8" s="36">
        <v>100</v>
      </c>
      <c r="E8" s="39">
        <v>2000</v>
      </c>
      <c r="F8" s="39"/>
      <c r="G8" s="39"/>
      <c r="H8" s="39"/>
      <c r="I8" s="39"/>
      <c r="J8" s="39"/>
      <c r="K8" s="39"/>
      <c r="L8" s="39">
        <v>10000</v>
      </c>
      <c r="M8" s="39">
        <v>20000</v>
      </c>
      <c r="N8" s="39"/>
      <c r="O8" s="39"/>
      <c r="P8" s="36">
        <f t="shared" si="0"/>
        <v>30000</v>
      </c>
      <c r="Q8" s="36">
        <f t="shared" si="1"/>
        <v>15</v>
      </c>
    </row>
    <row r="9" spans="1:17" x14ac:dyDescent="0.2">
      <c r="A9" s="32">
        <v>3</v>
      </c>
      <c r="B9" s="33" t="s">
        <v>86</v>
      </c>
      <c r="C9" s="34" t="s">
        <v>8</v>
      </c>
      <c r="D9" s="32">
        <v>50</v>
      </c>
      <c r="E9" s="35">
        <v>1100</v>
      </c>
      <c r="F9" s="35">
        <v>5500</v>
      </c>
      <c r="G9" s="35"/>
      <c r="H9" s="35">
        <v>4400</v>
      </c>
      <c r="I9" s="35">
        <v>6600</v>
      </c>
      <c r="J9" s="35"/>
      <c r="K9" s="35">
        <v>22000</v>
      </c>
      <c r="L9" s="35">
        <v>9900</v>
      </c>
      <c r="M9" s="35">
        <v>1100</v>
      </c>
      <c r="N9" s="35"/>
      <c r="O9" s="35"/>
      <c r="P9" s="32">
        <f t="shared" si="0"/>
        <v>49500</v>
      </c>
      <c r="Q9" s="32">
        <f t="shared" si="1"/>
        <v>45</v>
      </c>
    </row>
    <row r="10" spans="1:17" s="28" customFormat="1" x14ac:dyDescent="0.2">
      <c r="A10" s="36">
        <v>4</v>
      </c>
      <c r="B10" s="37" t="s">
        <v>87</v>
      </c>
      <c r="C10" s="38" t="s">
        <v>9</v>
      </c>
      <c r="D10" s="36">
        <v>50</v>
      </c>
      <c r="E10" s="39">
        <v>1000</v>
      </c>
      <c r="F10" s="39">
        <v>5000</v>
      </c>
      <c r="G10" s="39">
        <v>10000</v>
      </c>
      <c r="H10" s="39"/>
      <c r="I10" s="39"/>
      <c r="J10" s="39">
        <v>10000</v>
      </c>
      <c r="K10" s="39">
        <v>10000</v>
      </c>
      <c r="L10" s="39">
        <v>10000</v>
      </c>
      <c r="M10" s="39"/>
      <c r="N10" s="39"/>
      <c r="O10" s="39"/>
      <c r="P10" s="36">
        <f t="shared" si="0"/>
        <v>45000</v>
      </c>
      <c r="Q10" s="36">
        <f t="shared" si="1"/>
        <v>45</v>
      </c>
    </row>
    <row r="11" spans="1:17" x14ac:dyDescent="0.2">
      <c r="A11" s="32">
        <v>5</v>
      </c>
      <c r="B11" s="33" t="s">
        <v>82</v>
      </c>
      <c r="C11" s="34" t="s">
        <v>10</v>
      </c>
      <c r="D11" s="32">
        <v>50</v>
      </c>
      <c r="E11" s="35">
        <v>800</v>
      </c>
      <c r="F11" s="35">
        <v>4800</v>
      </c>
      <c r="G11" s="35"/>
      <c r="H11" s="35"/>
      <c r="I11" s="35">
        <v>8000</v>
      </c>
      <c r="J11" s="35">
        <v>8000</v>
      </c>
      <c r="K11" s="35">
        <v>8000</v>
      </c>
      <c r="L11" s="35">
        <v>8000</v>
      </c>
      <c r="M11" s="35"/>
      <c r="N11" s="35"/>
      <c r="O11" s="35"/>
      <c r="P11" s="32">
        <f t="shared" si="0"/>
        <v>36800</v>
      </c>
      <c r="Q11" s="32">
        <f t="shared" si="1"/>
        <v>46</v>
      </c>
    </row>
    <row r="12" spans="1:17" s="28" customFormat="1" x14ac:dyDescent="0.2">
      <c r="A12" s="36">
        <v>6</v>
      </c>
      <c r="B12" s="37" t="s">
        <v>89</v>
      </c>
      <c r="C12" s="38" t="s">
        <v>11</v>
      </c>
      <c r="D12" s="36">
        <v>50</v>
      </c>
      <c r="E12" s="39">
        <v>600</v>
      </c>
      <c r="F12" s="39"/>
      <c r="G12" s="39">
        <v>3000</v>
      </c>
      <c r="H12" s="39">
        <v>2400</v>
      </c>
      <c r="I12" s="39"/>
      <c r="J12" s="39">
        <v>6000</v>
      </c>
      <c r="K12" s="39">
        <v>6000</v>
      </c>
      <c r="L12" s="39">
        <v>6000</v>
      </c>
      <c r="M12" s="39">
        <v>6000</v>
      </c>
      <c r="N12" s="39"/>
      <c r="O12" s="39">
        <v>6000</v>
      </c>
      <c r="P12" s="36">
        <f t="shared" si="0"/>
        <v>35400</v>
      </c>
      <c r="Q12" s="36">
        <f t="shared" si="1"/>
        <v>59</v>
      </c>
    </row>
    <row r="13" spans="1:17" s="28" customFormat="1" x14ac:dyDescent="0.2">
      <c r="A13" s="36">
        <v>7</v>
      </c>
      <c r="B13" s="37" t="s">
        <v>88</v>
      </c>
      <c r="C13" s="38" t="s">
        <v>14</v>
      </c>
      <c r="D13" s="36">
        <v>10</v>
      </c>
      <c r="E13" s="39">
        <v>400</v>
      </c>
      <c r="F13" s="39"/>
      <c r="G13" s="39"/>
      <c r="H13" s="39"/>
      <c r="I13" s="39"/>
      <c r="J13" s="39"/>
      <c r="K13" s="39">
        <v>1200</v>
      </c>
      <c r="L13" s="39">
        <v>1200</v>
      </c>
      <c r="M13" s="39">
        <v>2000</v>
      </c>
      <c r="N13" s="39"/>
      <c r="O13" s="39"/>
      <c r="P13" s="36">
        <f t="shared" si="0"/>
        <v>4400</v>
      </c>
      <c r="Q13" s="36">
        <f t="shared" si="1"/>
        <v>11</v>
      </c>
    </row>
    <row r="14" spans="1:17" x14ac:dyDescent="0.2">
      <c r="A14" s="32">
        <v>8</v>
      </c>
      <c r="B14" s="33" t="s">
        <v>90</v>
      </c>
      <c r="C14" s="34" t="s">
        <v>15</v>
      </c>
      <c r="D14" s="32">
        <v>10</v>
      </c>
      <c r="E14" s="35">
        <v>400</v>
      </c>
      <c r="F14" s="35">
        <v>4000</v>
      </c>
      <c r="G14" s="35">
        <v>6800</v>
      </c>
      <c r="H14" s="35">
        <v>3200</v>
      </c>
      <c r="I14" s="35"/>
      <c r="J14" s="35">
        <v>8000</v>
      </c>
      <c r="K14" s="35">
        <v>8000</v>
      </c>
      <c r="L14" s="35">
        <v>4000</v>
      </c>
      <c r="M14" s="35">
        <v>12000</v>
      </c>
      <c r="N14" s="35"/>
      <c r="O14" s="35"/>
      <c r="P14" s="32">
        <f t="shared" si="0"/>
        <v>46000</v>
      </c>
      <c r="Q14" s="32">
        <f t="shared" si="1"/>
        <v>115</v>
      </c>
    </row>
    <row r="15" spans="1:17" s="28" customFormat="1" x14ac:dyDescent="0.2">
      <c r="A15" s="36">
        <v>9</v>
      </c>
      <c r="B15" s="37" t="s">
        <v>91</v>
      </c>
      <c r="C15" s="38" t="s">
        <v>16</v>
      </c>
      <c r="D15" s="36">
        <v>10</v>
      </c>
      <c r="E15" s="39">
        <v>300</v>
      </c>
      <c r="F15" s="39">
        <v>6000</v>
      </c>
      <c r="G15" s="39"/>
      <c r="H15" s="39"/>
      <c r="I15" s="39"/>
      <c r="J15" s="39"/>
      <c r="K15" s="39"/>
      <c r="L15" s="39"/>
      <c r="M15" s="39"/>
      <c r="N15" s="39">
        <v>900</v>
      </c>
      <c r="O15" s="39">
        <v>900</v>
      </c>
      <c r="P15" s="36">
        <f t="shared" si="0"/>
        <v>7800</v>
      </c>
      <c r="Q15" s="36">
        <f t="shared" si="1"/>
        <v>26</v>
      </c>
    </row>
    <row r="16" spans="1:17" x14ac:dyDescent="0.2">
      <c r="A16" s="32">
        <v>10</v>
      </c>
      <c r="B16" s="33" t="s">
        <v>94</v>
      </c>
      <c r="C16" s="34" t="s">
        <v>19</v>
      </c>
      <c r="D16" s="41">
        <v>10</v>
      </c>
      <c r="E16" s="35">
        <v>130</v>
      </c>
      <c r="F16" s="35"/>
      <c r="G16" s="35"/>
      <c r="H16" s="35"/>
      <c r="I16" s="35"/>
      <c r="J16" s="35">
        <v>1300</v>
      </c>
      <c r="K16" s="35">
        <v>1300</v>
      </c>
      <c r="L16" s="35"/>
      <c r="M16" s="35">
        <v>2600</v>
      </c>
      <c r="N16" s="35">
        <v>1300</v>
      </c>
      <c r="O16" s="35">
        <v>1300</v>
      </c>
      <c r="P16" s="32">
        <f t="shared" si="0"/>
        <v>7800</v>
      </c>
      <c r="Q16" s="32">
        <f t="shared" si="1"/>
        <v>60</v>
      </c>
    </row>
    <row r="17" spans="1:17" s="28" customFormat="1" x14ac:dyDescent="0.2">
      <c r="A17" s="36">
        <v>11</v>
      </c>
      <c r="B17" s="37" t="s">
        <v>92</v>
      </c>
      <c r="C17" s="38" t="s">
        <v>20</v>
      </c>
      <c r="D17" s="36">
        <v>10</v>
      </c>
      <c r="E17" s="39">
        <v>110</v>
      </c>
      <c r="F17" s="39">
        <v>1100</v>
      </c>
      <c r="G17" s="39">
        <v>770</v>
      </c>
      <c r="H17" s="39"/>
      <c r="I17" s="39">
        <v>2310</v>
      </c>
      <c r="J17" s="39">
        <v>1100</v>
      </c>
      <c r="K17" s="39">
        <v>1100</v>
      </c>
      <c r="L17" s="39">
        <v>1100</v>
      </c>
      <c r="M17" s="39">
        <v>1100</v>
      </c>
      <c r="N17" s="39">
        <v>1100</v>
      </c>
      <c r="O17" s="39">
        <v>1100</v>
      </c>
      <c r="P17" s="36">
        <f t="shared" si="0"/>
        <v>10780</v>
      </c>
      <c r="Q17" s="36">
        <f t="shared" si="1"/>
        <v>98</v>
      </c>
    </row>
    <row r="18" spans="1:17" x14ac:dyDescent="0.2">
      <c r="A18" s="32">
        <v>12</v>
      </c>
      <c r="B18" s="33" t="s">
        <v>95</v>
      </c>
      <c r="C18" s="34" t="s">
        <v>21</v>
      </c>
      <c r="D18" s="32">
        <v>10</v>
      </c>
      <c r="E18" s="35">
        <v>80</v>
      </c>
      <c r="F18" s="35"/>
      <c r="G18" s="35">
        <v>1600</v>
      </c>
      <c r="H18" s="35"/>
      <c r="I18" s="35"/>
      <c r="J18" s="35"/>
      <c r="K18" s="35"/>
      <c r="L18" s="35"/>
      <c r="M18" s="35"/>
      <c r="N18" s="35">
        <v>800</v>
      </c>
      <c r="O18" s="35">
        <v>800</v>
      </c>
      <c r="P18" s="32">
        <f t="shared" si="0"/>
        <v>3200</v>
      </c>
      <c r="Q18" s="32">
        <f t="shared" si="1"/>
        <v>40</v>
      </c>
    </row>
    <row r="19" spans="1:17" s="28" customFormat="1" x14ac:dyDescent="0.2">
      <c r="A19" s="36">
        <v>13</v>
      </c>
      <c r="B19" s="37" t="s">
        <v>99</v>
      </c>
      <c r="C19" s="38" t="s">
        <v>22</v>
      </c>
      <c r="D19" s="36">
        <v>100</v>
      </c>
      <c r="E19" s="39">
        <v>1200</v>
      </c>
      <c r="F19" s="39">
        <v>24000</v>
      </c>
      <c r="G19" s="39">
        <v>18000</v>
      </c>
      <c r="H19" s="39"/>
      <c r="I19" s="39">
        <v>12000</v>
      </c>
      <c r="J19" s="39">
        <v>36000</v>
      </c>
      <c r="K19" s="39">
        <v>12000</v>
      </c>
      <c r="L19" s="39">
        <v>12000</v>
      </c>
      <c r="M19" s="39">
        <v>12000</v>
      </c>
      <c r="N19" s="39"/>
      <c r="O19" s="39"/>
      <c r="P19" s="36">
        <f t="shared" si="0"/>
        <v>126000</v>
      </c>
      <c r="Q19" s="36">
        <f t="shared" si="1"/>
        <v>105</v>
      </c>
    </row>
    <row r="20" spans="1:17" x14ac:dyDescent="0.2">
      <c r="A20" s="32">
        <v>14</v>
      </c>
      <c r="B20" s="33" t="s">
        <v>102</v>
      </c>
      <c r="C20" s="34" t="s">
        <v>23</v>
      </c>
      <c r="D20" s="32">
        <v>100</v>
      </c>
      <c r="E20" s="35">
        <v>1000</v>
      </c>
      <c r="F20" s="35"/>
      <c r="G20" s="35"/>
      <c r="H20" s="35"/>
      <c r="I20" s="35"/>
      <c r="J20" s="35"/>
      <c r="K20" s="35"/>
      <c r="L20" s="35"/>
      <c r="M20" s="35"/>
      <c r="N20" s="35">
        <v>10000</v>
      </c>
      <c r="O20" s="35"/>
      <c r="P20" s="32">
        <f t="shared" si="0"/>
        <v>10000</v>
      </c>
      <c r="Q20" s="32">
        <f t="shared" si="1"/>
        <v>10</v>
      </c>
    </row>
    <row r="21" spans="1:17" s="28" customFormat="1" x14ac:dyDescent="0.2">
      <c r="A21" s="36">
        <v>15</v>
      </c>
      <c r="B21" s="37" t="s">
        <v>97</v>
      </c>
      <c r="C21" s="38" t="s">
        <v>24</v>
      </c>
      <c r="D21" s="36">
        <v>50</v>
      </c>
      <c r="E21" s="39">
        <v>2800</v>
      </c>
      <c r="F21" s="39">
        <v>5600</v>
      </c>
      <c r="G21" s="39"/>
      <c r="H21" s="39"/>
      <c r="I21" s="39"/>
      <c r="J21" s="39">
        <v>8400</v>
      </c>
      <c r="K21" s="39">
        <v>19600</v>
      </c>
      <c r="L21" s="39">
        <v>5600</v>
      </c>
      <c r="M21" s="39">
        <v>5600</v>
      </c>
      <c r="N21" s="39"/>
      <c r="O21" s="39"/>
      <c r="P21" s="36">
        <f t="shared" si="0"/>
        <v>44800</v>
      </c>
      <c r="Q21" s="36">
        <f t="shared" si="1"/>
        <v>16</v>
      </c>
    </row>
    <row r="22" spans="1:17" x14ac:dyDescent="0.2">
      <c r="A22" s="32">
        <v>16</v>
      </c>
      <c r="B22" s="33" t="s">
        <v>98</v>
      </c>
      <c r="C22" s="34" t="s">
        <v>25</v>
      </c>
      <c r="D22" s="32">
        <v>50</v>
      </c>
      <c r="E22" s="35">
        <v>550</v>
      </c>
      <c r="F22" s="35">
        <v>5500</v>
      </c>
      <c r="G22" s="35"/>
      <c r="H22" s="35">
        <v>5500</v>
      </c>
      <c r="I22" s="35">
        <v>5500</v>
      </c>
      <c r="J22" s="35">
        <v>5500</v>
      </c>
      <c r="K22" s="35">
        <v>5500</v>
      </c>
      <c r="L22" s="35"/>
      <c r="M22" s="35">
        <v>5500</v>
      </c>
      <c r="N22" s="35"/>
      <c r="O22" s="35"/>
      <c r="P22" s="32">
        <f t="shared" si="0"/>
        <v>33000</v>
      </c>
      <c r="Q22" s="32">
        <f t="shared" si="1"/>
        <v>60</v>
      </c>
    </row>
    <row r="23" spans="1:17" s="28" customFormat="1" x14ac:dyDescent="0.2">
      <c r="A23" s="36" t="s">
        <v>141</v>
      </c>
      <c r="B23" s="37" t="s">
        <v>142</v>
      </c>
      <c r="C23" s="38" t="s">
        <v>143</v>
      </c>
      <c r="D23" s="36">
        <v>50</v>
      </c>
      <c r="E23" s="39">
        <v>550</v>
      </c>
      <c r="F23" s="39">
        <v>5500</v>
      </c>
      <c r="G23" s="39"/>
      <c r="H23" s="39">
        <v>5500</v>
      </c>
      <c r="I23" s="39">
        <v>5500</v>
      </c>
      <c r="J23" s="39">
        <v>5500</v>
      </c>
      <c r="K23" s="39">
        <v>5500</v>
      </c>
      <c r="L23" s="39"/>
      <c r="M23" s="39">
        <v>5500</v>
      </c>
      <c r="N23" s="39"/>
      <c r="O23" s="39"/>
      <c r="P23" s="36">
        <f t="shared" si="0"/>
        <v>33000</v>
      </c>
      <c r="Q23" s="36">
        <f t="shared" si="1"/>
        <v>60</v>
      </c>
    </row>
    <row r="24" spans="1:17" x14ac:dyDescent="0.2">
      <c r="A24" s="32" t="s">
        <v>181</v>
      </c>
      <c r="B24" s="33" t="s">
        <v>170</v>
      </c>
      <c r="C24" s="34" t="s">
        <v>171</v>
      </c>
      <c r="D24" s="32">
        <v>10</v>
      </c>
      <c r="E24" s="35">
        <v>1200</v>
      </c>
      <c r="F24" s="35">
        <v>4800</v>
      </c>
      <c r="G24" s="35"/>
      <c r="H24" s="35">
        <v>4800</v>
      </c>
      <c r="I24" s="35"/>
      <c r="J24" s="35">
        <v>9600</v>
      </c>
      <c r="K24" s="35">
        <v>4800</v>
      </c>
      <c r="L24" s="35"/>
      <c r="M24" s="35">
        <v>4800</v>
      </c>
      <c r="N24" s="35"/>
      <c r="O24" s="35"/>
      <c r="P24" s="32">
        <f t="shared" si="0"/>
        <v>28800</v>
      </c>
      <c r="Q24" s="32">
        <f t="shared" si="1"/>
        <v>24</v>
      </c>
    </row>
    <row r="25" spans="1:17" s="28" customFormat="1" x14ac:dyDescent="0.2">
      <c r="A25" s="36">
        <v>17</v>
      </c>
      <c r="B25" s="37" t="s">
        <v>195</v>
      </c>
      <c r="C25" s="38" t="s">
        <v>197</v>
      </c>
      <c r="D25" s="36">
        <v>50</v>
      </c>
      <c r="E25" s="39">
        <v>1300</v>
      </c>
      <c r="F25" s="39"/>
      <c r="G25" s="39"/>
      <c r="H25" s="39"/>
      <c r="I25" s="39"/>
      <c r="J25" s="39"/>
      <c r="K25" s="39"/>
      <c r="L25" s="39"/>
      <c r="M25" s="39">
        <v>5200</v>
      </c>
      <c r="N25" s="39"/>
      <c r="O25" s="39">
        <v>2600</v>
      </c>
      <c r="P25" s="36">
        <f t="shared" si="0"/>
        <v>7800</v>
      </c>
      <c r="Q25" s="36"/>
    </row>
    <row r="26" spans="1:17" x14ac:dyDescent="0.2">
      <c r="A26" s="32">
        <v>18</v>
      </c>
      <c r="B26" s="33" t="s">
        <v>196</v>
      </c>
      <c r="C26" s="34" t="s">
        <v>198</v>
      </c>
      <c r="D26" s="32">
        <v>50</v>
      </c>
      <c r="E26" s="35">
        <v>800</v>
      </c>
      <c r="F26" s="35"/>
      <c r="G26" s="35"/>
      <c r="H26" s="35"/>
      <c r="I26" s="35"/>
      <c r="J26" s="35"/>
      <c r="K26" s="35"/>
      <c r="L26" s="35"/>
      <c r="M26" s="35">
        <v>4000</v>
      </c>
      <c r="N26" s="35"/>
      <c r="O26" s="35">
        <v>2400</v>
      </c>
      <c r="P26" s="32">
        <f t="shared" si="0"/>
        <v>6400</v>
      </c>
      <c r="Q26" s="32"/>
    </row>
    <row r="27" spans="1:17" s="28" customFormat="1" x14ac:dyDescent="0.2">
      <c r="A27" s="36" t="s">
        <v>193</v>
      </c>
      <c r="B27" s="42">
        <v>90447000</v>
      </c>
      <c r="C27" s="38" t="s">
        <v>29</v>
      </c>
      <c r="D27" s="36">
        <v>10</v>
      </c>
      <c r="E27" s="39">
        <v>270</v>
      </c>
      <c r="F27" s="39"/>
      <c r="G27" s="39"/>
      <c r="H27" s="39">
        <v>1080</v>
      </c>
      <c r="I27" s="39">
        <v>5670</v>
      </c>
      <c r="J27" s="39">
        <v>5400</v>
      </c>
      <c r="K27" s="39">
        <v>5400</v>
      </c>
      <c r="L27" s="39">
        <v>5400</v>
      </c>
      <c r="M27" s="39">
        <v>10800</v>
      </c>
      <c r="N27" s="39"/>
      <c r="O27" s="39">
        <v>2700</v>
      </c>
      <c r="P27" s="36">
        <f t="shared" si="0"/>
        <v>36450</v>
      </c>
      <c r="Q27" s="36">
        <f>P27/E27</f>
        <v>135</v>
      </c>
    </row>
    <row r="28" spans="1:17" x14ac:dyDescent="0.2">
      <c r="A28" s="32">
        <v>21</v>
      </c>
      <c r="B28" s="33" t="s">
        <v>30</v>
      </c>
      <c r="C28" s="34" t="s">
        <v>31</v>
      </c>
      <c r="D28" s="32">
        <v>10</v>
      </c>
      <c r="E28" s="35">
        <v>230</v>
      </c>
      <c r="F28" s="35">
        <v>1150</v>
      </c>
      <c r="G28" s="35">
        <v>2070</v>
      </c>
      <c r="H28" s="35"/>
      <c r="I28" s="35"/>
      <c r="J28" s="35">
        <v>2300</v>
      </c>
      <c r="K28" s="35">
        <v>2300</v>
      </c>
      <c r="L28" s="35">
        <v>2300</v>
      </c>
      <c r="M28" s="35"/>
      <c r="N28" s="35"/>
      <c r="O28" s="35">
        <v>2300</v>
      </c>
      <c r="P28" s="32">
        <f t="shared" si="0"/>
        <v>12420</v>
      </c>
      <c r="Q28" s="32">
        <f>P28/E28</f>
        <v>54</v>
      </c>
    </row>
    <row r="29" spans="1:17" s="28" customFormat="1" x14ac:dyDescent="0.2">
      <c r="A29" s="36" t="s">
        <v>194</v>
      </c>
      <c r="B29" s="42">
        <v>90442300</v>
      </c>
      <c r="C29" s="38" t="s">
        <v>173</v>
      </c>
      <c r="D29" s="36">
        <v>10</v>
      </c>
      <c r="E29" s="39">
        <v>230</v>
      </c>
      <c r="F29" s="39">
        <v>1150</v>
      </c>
      <c r="G29" s="39">
        <v>1150</v>
      </c>
      <c r="H29" s="39">
        <v>1150</v>
      </c>
      <c r="I29" s="39"/>
      <c r="J29" s="39">
        <v>2300</v>
      </c>
      <c r="K29" s="39"/>
      <c r="L29" s="39"/>
      <c r="M29" s="39">
        <v>2300</v>
      </c>
      <c r="N29" s="39">
        <v>2300</v>
      </c>
      <c r="O29" s="39">
        <v>2300</v>
      </c>
      <c r="P29" s="36">
        <f t="shared" si="0"/>
        <v>12650</v>
      </c>
      <c r="Q29" s="36">
        <f>P29/E29</f>
        <v>55</v>
      </c>
    </row>
    <row r="30" spans="1:17" x14ac:dyDescent="0.2">
      <c r="A30" s="32">
        <v>22</v>
      </c>
      <c r="B30" s="33" t="s">
        <v>93</v>
      </c>
      <c r="C30" s="34" t="s">
        <v>34</v>
      </c>
      <c r="D30" s="32">
        <v>5</v>
      </c>
      <c r="E30" s="35">
        <v>75</v>
      </c>
      <c r="F30" s="35">
        <v>525</v>
      </c>
      <c r="G30" s="35">
        <v>525</v>
      </c>
      <c r="H30" s="35">
        <v>975</v>
      </c>
      <c r="I30" s="35"/>
      <c r="J30" s="35">
        <v>750</v>
      </c>
      <c r="K30" s="35">
        <v>750</v>
      </c>
      <c r="L30" s="35">
        <v>750</v>
      </c>
      <c r="M30" s="35">
        <v>2250</v>
      </c>
      <c r="N30" s="35">
        <v>750</v>
      </c>
      <c r="O30" s="35">
        <v>750</v>
      </c>
      <c r="P30" s="32">
        <f t="shared" si="0"/>
        <v>8025</v>
      </c>
      <c r="Q30" s="32">
        <f>P30/E30</f>
        <v>107</v>
      </c>
    </row>
    <row r="31" spans="1:17" s="28" customFormat="1" x14ac:dyDescent="0.2">
      <c r="A31" s="36">
        <v>23</v>
      </c>
      <c r="B31" s="37" t="s">
        <v>35</v>
      </c>
      <c r="C31" s="38" t="s">
        <v>36</v>
      </c>
      <c r="D31" s="36">
        <v>5</v>
      </c>
      <c r="E31" s="39">
        <v>50</v>
      </c>
      <c r="F31" s="39"/>
      <c r="G31" s="39">
        <v>1000</v>
      </c>
      <c r="H31" s="39"/>
      <c r="I31" s="39"/>
      <c r="J31" s="39"/>
      <c r="K31" s="39"/>
      <c r="L31" s="39"/>
      <c r="M31" s="39">
        <v>1000</v>
      </c>
      <c r="N31" s="39"/>
      <c r="O31" s="39"/>
      <c r="P31" s="36">
        <f t="shared" si="0"/>
        <v>2000</v>
      </c>
      <c r="Q31" s="36">
        <f>P31/E31</f>
        <v>40</v>
      </c>
    </row>
    <row r="32" spans="1:17" s="28" customFormat="1" x14ac:dyDescent="0.2">
      <c r="A32" s="36">
        <v>25</v>
      </c>
      <c r="B32" s="42" t="s">
        <v>200</v>
      </c>
      <c r="C32" s="38" t="s">
        <v>201</v>
      </c>
      <c r="D32" s="36">
        <v>50</v>
      </c>
      <c r="E32" s="36">
        <v>800</v>
      </c>
      <c r="F32" s="39"/>
      <c r="G32" s="39"/>
      <c r="H32" s="39"/>
      <c r="I32" s="39"/>
      <c r="J32" s="39"/>
      <c r="K32" s="39"/>
      <c r="L32" s="39"/>
      <c r="M32" s="39">
        <v>4800</v>
      </c>
      <c r="N32" s="39"/>
      <c r="O32" s="39"/>
      <c r="P32" s="36">
        <f t="shared" si="0"/>
        <v>4800</v>
      </c>
      <c r="Q32" s="36"/>
    </row>
    <row r="33" spans="1:17" x14ac:dyDescent="0.2">
      <c r="A33" s="32">
        <v>26</v>
      </c>
      <c r="B33" s="40" t="s">
        <v>157</v>
      </c>
      <c r="C33" s="34" t="s">
        <v>160</v>
      </c>
      <c r="D33" s="32">
        <v>10</v>
      </c>
      <c r="E33" s="32">
        <v>160</v>
      </c>
      <c r="F33" s="35"/>
      <c r="G33" s="35"/>
      <c r="H33" s="35"/>
      <c r="I33" s="35"/>
      <c r="J33" s="35"/>
      <c r="K33" s="35">
        <v>1600</v>
      </c>
      <c r="L33" s="35">
        <v>1600</v>
      </c>
      <c r="M33" s="35"/>
      <c r="N33" s="35"/>
      <c r="O33" s="35">
        <v>1600</v>
      </c>
      <c r="P33" s="32">
        <f t="shared" si="0"/>
        <v>4800</v>
      </c>
      <c r="Q33" s="32">
        <f>P33/E33</f>
        <v>30</v>
      </c>
    </row>
    <row r="34" spans="1:17" s="28" customFormat="1" x14ac:dyDescent="0.2">
      <c r="A34" s="36" t="s">
        <v>199</v>
      </c>
      <c r="B34" s="42">
        <v>90443300</v>
      </c>
      <c r="C34" s="38" t="s">
        <v>172</v>
      </c>
      <c r="D34" s="36">
        <v>10</v>
      </c>
      <c r="E34" s="36">
        <v>160</v>
      </c>
      <c r="F34" s="39"/>
      <c r="G34" s="39"/>
      <c r="H34" s="39"/>
      <c r="I34" s="39"/>
      <c r="J34" s="39"/>
      <c r="K34" s="39"/>
      <c r="L34" s="39"/>
      <c r="M34" s="39">
        <v>2080</v>
      </c>
      <c r="N34" s="39">
        <v>1600</v>
      </c>
      <c r="O34" s="39">
        <v>1600</v>
      </c>
      <c r="P34" s="36">
        <f t="shared" si="0"/>
        <v>5280</v>
      </c>
      <c r="Q34" s="36">
        <f>P34/E34</f>
        <v>33</v>
      </c>
    </row>
    <row r="35" spans="1:17" x14ac:dyDescent="0.2">
      <c r="A35" s="32">
        <v>27</v>
      </c>
      <c r="B35" s="40" t="s">
        <v>158</v>
      </c>
      <c r="C35" s="34" t="s">
        <v>161</v>
      </c>
      <c r="D35" s="32">
        <v>5</v>
      </c>
      <c r="E35" s="32">
        <v>35</v>
      </c>
      <c r="F35" s="35"/>
      <c r="G35" s="35">
        <v>700</v>
      </c>
      <c r="H35" s="35"/>
      <c r="I35" s="35"/>
      <c r="J35" s="35"/>
      <c r="K35" s="35"/>
      <c r="L35" s="35"/>
      <c r="M35" s="35"/>
      <c r="N35" s="35">
        <v>700</v>
      </c>
      <c r="O35" s="35">
        <v>350</v>
      </c>
      <c r="P35" s="32">
        <f t="shared" si="0"/>
        <v>1750</v>
      </c>
      <c r="Q35" s="32">
        <f>P35/E35</f>
        <v>50</v>
      </c>
    </row>
    <row r="36" spans="1:17" x14ac:dyDescent="0.2">
      <c r="A36" s="32">
        <v>31</v>
      </c>
      <c r="B36" s="33" t="s">
        <v>100</v>
      </c>
      <c r="C36" s="34" t="s">
        <v>40</v>
      </c>
      <c r="D36" s="32">
        <v>50</v>
      </c>
      <c r="E36" s="35">
        <v>1750</v>
      </c>
      <c r="F36" s="35">
        <v>5250</v>
      </c>
      <c r="G36" s="35"/>
      <c r="H36" s="35"/>
      <c r="I36" s="35"/>
      <c r="J36" s="35">
        <v>10500</v>
      </c>
      <c r="K36" s="35">
        <v>5250</v>
      </c>
      <c r="L36" s="35">
        <v>5250</v>
      </c>
      <c r="M36" s="35">
        <v>7000</v>
      </c>
      <c r="N36" s="35"/>
      <c r="O36" s="35"/>
      <c r="P36" s="32">
        <f t="shared" si="0"/>
        <v>33250</v>
      </c>
      <c r="Q36" s="32">
        <f>P36/E36</f>
        <v>19</v>
      </c>
    </row>
    <row r="37" spans="1:17" x14ac:dyDescent="0.2">
      <c r="A37" s="32"/>
      <c r="B37" s="33"/>
      <c r="C37" s="34"/>
      <c r="D37" s="32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2"/>
      <c r="Q37" s="32"/>
    </row>
    <row r="38" spans="1:17" x14ac:dyDescent="0.2">
      <c r="A38" s="410" t="s">
        <v>135</v>
      </c>
      <c r="B38" s="414"/>
      <c r="C38" s="414"/>
      <c r="D38" s="414"/>
      <c r="E38" s="411"/>
      <c r="F38" s="19">
        <f t="shared" ref="F38:P38" si="2">SUM(F7:F37)</f>
        <v>110675</v>
      </c>
      <c r="G38" s="19">
        <f t="shared" si="2"/>
        <v>59615</v>
      </c>
      <c r="H38" s="19">
        <f t="shared" si="2"/>
        <v>29005</v>
      </c>
      <c r="I38" s="19">
        <f t="shared" si="2"/>
        <v>45580</v>
      </c>
      <c r="J38" s="19">
        <f t="shared" si="2"/>
        <v>154250</v>
      </c>
      <c r="K38" s="19">
        <f t="shared" si="2"/>
        <v>159500</v>
      </c>
      <c r="L38" s="19">
        <f t="shared" si="2"/>
        <v>111100</v>
      </c>
      <c r="M38" s="19">
        <f t="shared" si="2"/>
        <v>145630</v>
      </c>
      <c r="N38" s="19">
        <f t="shared" si="2"/>
        <v>19450</v>
      </c>
      <c r="O38" s="19">
        <f t="shared" si="2"/>
        <v>26700</v>
      </c>
      <c r="P38" s="5">
        <f t="shared" si="2"/>
        <v>861505</v>
      </c>
      <c r="Q38" s="10"/>
    </row>
    <row r="39" spans="1:17" x14ac:dyDescent="0.2">
      <c r="A39" s="421" t="s">
        <v>184</v>
      </c>
      <c r="B39" s="421"/>
      <c r="C39" s="421"/>
      <c r="D39" s="421"/>
      <c r="E39" s="421"/>
      <c r="Q39" s="17">
        <f>SUM(Q7:Q37)</f>
        <v>1420</v>
      </c>
    </row>
  </sheetData>
  <autoFilter ref="B4:B36"/>
  <mergeCells count="7">
    <mergeCell ref="P1:Q1"/>
    <mergeCell ref="A1:E1"/>
    <mergeCell ref="A39:E39"/>
    <mergeCell ref="A38:E38"/>
    <mergeCell ref="D4:E4"/>
    <mergeCell ref="A2:E2"/>
    <mergeCell ref="D3:E3"/>
  </mergeCells>
  <phoneticPr fontId="0" type="noConversion"/>
  <pageMargins left="0.5" right="0.5" top="0.5" bottom="0.5" header="0" footer="0"/>
  <pageSetup paperSize="9" scale="59" orientation="portrait" blackAndWhite="1" horizontalDpi="4294967295" verticalDpi="180" r:id="rId1"/>
  <headerFooter alignWithMargins="0"/>
  <ignoredErrors>
    <ignoredError sqref="P7:P12 P36 P32:P35 P27:P31 P16:P26 P13:P15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9"/>
  <sheetViews>
    <sheetView workbookViewId="0">
      <pane xSplit="5" ySplit="5" topLeftCell="F33" activePane="bottomRight" state="frozenSplit"/>
      <selection pane="topRight" activeCell="G1" sqref="G1"/>
      <selection pane="bottomLeft" activeCell="A17" sqref="A17"/>
      <selection pane="bottomRight" activeCell="E9" sqref="E9"/>
    </sheetView>
  </sheetViews>
  <sheetFormatPr defaultRowHeight="12.75" x14ac:dyDescent="0.2"/>
  <cols>
    <col min="1" max="1" width="4.28515625" bestFit="1" customWidth="1"/>
    <col min="2" max="2" width="10.85546875" bestFit="1" customWidth="1"/>
    <col min="3" max="3" width="34.5703125" bestFit="1" customWidth="1"/>
    <col min="4" max="4" width="5.85546875" bestFit="1" customWidth="1"/>
    <col min="5" max="5" width="5" bestFit="1" customWidth="1"/>
    <col min="6" max="15" width="8.140625" customWidth="1"/>
    <col min="16" max="17" width="9.140625" style="16"/>
  </cols>
  <sheetData>
    <row r="1" spans="1:17" x14ac:dyDescent="0.2">
      <c r="A1" s="415" t="s">
        <v>219</v>
      </c>
      <c r="B1" s="422"/>
      <c r="C1" s="422"/>
      <c r="D1" s="422"/>
      <c r="E1" s="423"/>
      <c r="F1" s="24">
        <v>3039</v>
      </c>
      <c r="G1" s="24">
        <v>3046</v>
      </c>
      <c r="H1" s="24">
        <v>3054</v>
      </c>
      <c r="I1" s="24">
        <v>3059</v>
      </c>
      <c r="J1" s="24">
        <v>3063</v>
      </c>
      <c r="K1" s="26">
        <v>3068</v>
      </c>
      <c r="L1" s="26">
        <v>3075</v>
      </c>
      <c r="M1" s="26">
        <v>3077</v>
      </c>
      <c r="N1" s="26">
        <v>3080</v>
      </c>
      <c r="O1" s="26">
        <v>3086</v>
      </c>
      <c r="P1" s="408" t="s">
        <v>138</v>
      </c>
      <c r="Q1" s="408"/>
    </row>
    <row r="2" spans="1:17" x14ac:dyDescent="0.2">
      <c r="A2" s="410" t="s">
        <v>42</v>
      </c>
      <c r="B2" s="422"/>
      <c r="C2" s="422"/>
      <c r="D2" s="422"/>
      <c r="E2" s="423"/>
      <c r="F2" s="24" t="s">
        <v>204</v>
      </c>
      <c r="G2" s="24" t="s">
        <v>205</v>
      </c>
      <c r="H2" s="24" t="s">
        <v>212</v>
      </c>
      <c r="I2" s="24" t="s">
        <v>215</v>
      </c>
      <c r="J2" s="24" t="s">
        <v>216</v>
      </c>
      <c r="K2" s="24" t="s">
        <v>217</v>
      </c>
      <c r="L2" s="24" t="s">
        <v>220</v>
      </c>
      <c r="M2" s="24" t="s">
        <v>221</v>
      </c>
      <c r="N2" s="24" t="s">
        <v>223</v>
      </c>
      <c r="O2" s="24" t="s">
        <v>224</v>
      </c>
      <c r="P2" s="5" t="s">
        <v>116</v>
      </c>
      <c r="Q2" s="18" t="s">
        <v>5</v>
      </c>
    </row>
    <row r="3" spans="1:17" x14ac:dyDescent="0.2">
      <c r="A3" s="19"/>
      <c r="B3" s="19"/>
      <c r="C3" s="19"/>
      <c r="D3" s="410" t="s">
        <v>140</v>
      </c>
      <c r="E3" s="414"/>
      <c r="F3" s="24">
        <v>425</v>
      </c>
      <c r="G3" s="24">
        <v>486</v>
      </c>
      <c r="H3" s="24">
        <v>497</v>
      </c>
      <c r="I3" s="24">
        <v>198</v>
      </c>
      <c r="J3" s="24">
        <v>484</v>
      </c>
      <c r="K3" s="24">
        <v>45</v>
      </c>
      <c r="L3" s="24">
        <v>138</v>
      </c>
      <c r="M3" s="24">
        <v>18</v>
      </c>
      <c r="N3" s="24">
        <v>125</v>
      </c>
      <c r="O3" s="24">
        <v>227</v>
      </c>
      <c r="P3" s="10"/>
      <c r="Q3" s="10"/>
    </row>
    <row r="4" spans="1:17" ht="25.5" x14ac:dyDescent="0.2">
      <c r="A4" s="9" t="s">
        <v>1</v>
      </c>
      <c r="B4" s="4" t="s">
        <v>2</v>
      </c>
      <c r="C4" s="4" t="s">
        <v>0</v>
      </c>
      <c r="D4" s="408" t="s">
        <v>3</v>
      </c>
      <c r="E4" s="415"/>
      <c r="F4" s="26" t="s">
        <v>116</v>
      </c>
      <c r="G4" s="26" t="s">
        <v>116</v>
      </c>
      <c r="H4" s="26" t="s">
        <v>116</v>
      </c>
      <c r="I4" s="26" t="s">
        <v>116</v>
      </c>
      <c r="J4" s="26" t="s">
        <v>116</v>
      </c>
      <c r="K4" s="26" t="s">
        <v>116</v>
      </c>
      <c r="L4" s="24" t="s">
        <v>116</v>
      </c>
      <c r="M4" s="24" t="s">
        <v>116</v>
      </c>
      <c r="N4" s="24" t="s">
        <v>116</v>
      </c>
      <c r="O4" s="24" t="s">
        <v>116</v>
      </c>
      <c r="P4" s="10"/>
      <c r="Q4" s="10"/>
    </row>
    <row r="5" spans="1:17" x14ac:dyDescent="0.2">
      <c r="A5" s="10"/>
      <c r="B5" s="2"/>
      <c r="C5" s="2"/>
      <c r="D5" s="5" t="s">
        <v>4</v>
      </c>
      <c r="E5" s="21" t="s">
        <v>5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10"/>
      <c r="Q5" s="10"/>
    </row>
    <row r="6" spans="1:17" x14ac:dyDescent="0.2">
      <c r="A6" s="29"/>
      <c r="B6" s="30"/>
      <c r="C6" s="30"/>
      <c r="D6" s="2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29"/>
      <c r="Q6" s="29"/>
    </row>
    <row r="7" spans="1:17" x14ac:dyDescent="0.2">
      <c r="A7" s="32">
        <v>1</v>
      </c>
      <c r="B7" s="33" t="s">
        <v>85</v>
      </c>
      <c r="C7" s="34" t="s">
        <v>6</v>
      </c>
      <c r="D7" s="32">
        <v>100</v>
      </c>
      <c r="E7" s="35">
        <v>2800</v>
      </c>
      <c r="F7" s="35">
        <v>28000</v>
      </c>
      <c r="G7" s="35">
        <v>28000</v>
      </c>
      <c r="H7" s="35">
        <v>56000</v>
      </c>
      <c r="I7" s="35"/>
      <c r="J7" s="35">
        <v>28000</v>
      </c>
      <c r="K7" s="35"/>
      <c r="L7" s="35"/>
      <c r="M7" s="35"/>
      <c r="N7" s="35"/>
      <c r="O7" s="35"/>
      <c r="P7" s="32">
        <f t="shared" ref="P7:P46" si="0">SUM(F7:O7)</f>
        <v>140000</v>
      </c>
      <c r="Q7" s="32">
        <f t="shared" ref="Q7:Q46" si="1">P7/E7</f>
        <v>50</v>
      </c>
    </row>
    <row r="8" spans="1:17" x14ac:dyDescent="0.2">
      <c r="A8" s="32" t="s">
        <v>222</v>
      </c>
      <c r="B8" s="33" t="s">
        <v>85</v>
      </c>
      <c r="C8" s="34" t="s">
        <v>6</v>
      </c>
      <c r="D8" s="32">
        <v>100</v>
      </c>
      <c r="E8" s="35">
        <v>2000</v>
      </c>
      <c r="F8" s="35"/>
      <c r="G8" s="35"/>
      <c r="H8" s="35"/>
      <c r="I8" s="35"/>
      <c r="J8" s="35"/>
      <c r="K8" s="35"/>
      <c r="L8" s="35"/>
      <c r="M8" s="35">
        <v>16000</v>
      </c>
      <c r="N8" s="35">
        <v>28000</v>
      </c>
      <c r="O8" s="35">
        <v>28000</v>
      </c>
      <c r="P8" s="32">
        <f t="shared" si="0"/>
        <v>72000</v>
      </c>
      <c r="Q8" s="32">
        <f t="shared" si="1"/>
        <v>36</v>
      </c>
    </row>
    <row r="9" spans="1:17" s="28" customFormat="1" x14ac:dyDescent="0.2">
      <c r="A9" s="36">
        <v>2</v>
      </c>
      <c r="B9" s="37" t="s">
        <v>81</v>
      </c>
      <c r="C9" s="38" t="s">
        <v>7</v>
      </c>
      <c r="D9" s="36">
        <v>100</v>
      </c>
      <c r="E9" s="39">
        <v>2000</v>
      </c>
      <c r="F9" s="39">
        <v>20000</v>
      </c>
      <c r="G9" s="39">
        <v>20000</v>
      </c>
      <c r="H9" s="39">
        <v>40000</v>
      </c>
      <c r="I9" s="39"/>
      <c r="J9" s="39">
        <v>20000</v>
      </c>
      <c r="K9" s="39"/>
      <c r="L9" s="39"/>
      <c r="M9" s="39">
        <v>20000</v>
      </c>
      <c r="N9" s="39">
        <v>20000</v>
      </c>
      <c r="O9" s="39">
        <v>10000</v>
      </c>
      <c r="P9" s="36">
        <f t="shared" si="0"/>
        <v>150000</v>
      </c>
      <c r="Q9" s="36">
        <f t="shared" si="1"/>
        <v>75</v>
      </c>
    </row>
    <row r="10" spans="1:17" x14ac:dyDescent="0.2">
      <c r="A10" s="32">
        <v>3</v>
      </c>
      <c r="B10" s="33" t="s">
        <v>86</v>
      </c>
      <c r="C10" s="34" t="s">
        <v>8</v>
      </c>
      <c r="D10" s="32">
        <v>50</v>
      </c>
      <c r="E10" s="35">
        <v>1100</v>
      </c>
      <c r="F10" s="35">
        <v>19800</v>
      </c>
      <c r="G10" s="35">
        <v>11000</v>
      </c>
      <c r="H10" s="35">
        <v>22000</v>
      </c>
      <c r="I10" s="35"/>
      <c r="J10" s="35">
        <v>11000</v>
      </c>
      <c r="K10" s="35"/>
      <c r="L10" s="35">
        <v>11000</v>
      </c>
      <c r="M10" s="35"/>
      <c r="N10" s="35">
        <v>11000</v>
      </c>
      <c r="O10" s="35">
        <v>11000</v>
      </c>
      <c r="P10" s="32">
        <f t="shared" si="0"/>
        <v>96800</v>
      </c>
      <c r="Q10" s="32">
        <f t="shared" si="1"/>
        <v>88</v>
      </c>
    </row>
    <row r="11" spans="1:17" s="28" customFormat="1" x14ac:dyDescent="0.2">
      <c r="A11" s="36">
        <v>4</v>
      </c>
      <c r="B11" s="37" t="s">
        <v>87</v>
      </c>
      <c r="C11" s="38" t="s">
        <v>9</v>
      </c>
      <c r="D11" s="36">
        <v>50</v>
      </c>
      <c r="E11" s="39">
        <v>1000</v>
      </c>
      <c r="F11" s="39">
        <v>18000</v>
      </c>
      <c r="G11" s="39">
        <v>20000</v>
      </c>
      <c r="H11" s="39">
        <v>10000</v>
      </c>
      <c r="I11" s="39">
        <v>10000</v>
      </c>
      <c r="J11" s="39"/>
      <c r="K11" s="39"/>
      <c r="L11" s="39">
        <v>10000</v>
      </c>
      <c r="M11" s="39"/>
      <c r="N11" s="39">
        <v>10000</v>
      </c>
      <c r="O11" s="39">
        <v>10000</v>
      </c>
      <c r="P11" s="36">
        <f t="shared" si="0"/>
        <v>88000</v>
      </c>
      <c r="Q11" s="36">
        <f t="shared" si="1"/>
        <v>88</v>
      </c>
    </row>
    <row r="12" spans="1:17" x14ac:dyDescent="0.2">
      <c r="A12" s="32">
        <v>5</v>
      </c>
      <c r="B12" s="33" t="s">
        <v>82</v>
      </c>
      <c r="C12" s="34" t="s">
        <v>10</v>
      </c>
      <c r="D12" s="32">
        <v>50</v>
      </c>
      <c r="E12" s="35">
        <v>800</v>
      </c>
      <c r="F12" s="35">
        <v>8000</v>
      </c>
      <c r="G12" s="35">
        <v>16000</v>
      </c>
      <c r="H12" s="35">
        <v>8000</v>
      </c>
      <c r="I12" s="35">
        <v>8800</v>
      </c>
      <c r="J12" s="35"/>
      <c r="K12" s="35"/>
      <c r="L12" s="35">
        <v>4000</v>
      </c>
      <c r="M12" s="35"/>
      <c r="N12" s="35"/>
      <c r="O12" s="35"/>
      <c r="P12" s="32">
        <f t="shared" si="0"/>
        <v>44800</v>
      </c>
      <c r="Q12" s="32">
        <f t="shared" si="1"/>
        <v>56</v>
      </c>
    </row>
    <row r="13" spans="1:17" s="28" customFormat="1" x14ac:dyDescent="0.2">
      <c r="A13" s="36">
        <v>6</v>
      </c>
      <c r="B13" s="37" t="s">
        <v>89</v>
      </c>
      <c r="C13" s="38" t="s">
        <v>11</v>
      </c>
      <c r="D13" s="36">
        <v>50</v>
      </c>
      <c r="E13" s="39">
        <v>600</v>
      </c>
      <c r="F13" s="39">
        <v>6000</v>
      </c>
      <c r="G13" s="39">
        <v>19200</v>
      </c>
      <c r="H13" s="39">
        <v>12000</v>
      </c>
      <c r="I13" s="39"/>
      <c r="J13" s="39">
        <v>6000</v>
      </c>
      <c r="K13" s="39"/>
      <c r="L13" s="39">
        <v>6000</v>
      </c>
      <c r="M13" s="39"/>
      <c r="N13" s="39"/>
      <c r="O13" s="39">
        <v>6000</v>
      </c>
      <c r="P13" s="36">
        <f t="shared" si="0"/>
        <v>55200</v>
      </c>
      <c r="Q13" s="36">
        <f t="shared" si="1"/>
        <v>92</v>
      </c>
    </row>
    <row r="14" spans="1:17" x14ac:dyDescent="0.2">
      <c r="A14" s="32" t="s">
        <v>12</v>
      </c>
      <c r="B14" s="48" t="s">
        <v>214</v>
      </c>
      <c r="C14" s="34" t="s">
        <v>213</v>
      </c>
      <c r="D14" s="32">
        <v>50</v>
      </c>
      <c r="E14" s="35">
        <v>600</v>
      </c>
      <c r="F14" s="35"/>
      <c r="G14" s="35"/>
      <c r="H14" s="35">
        <v>3000</v>
      </c>
      <c r="I14" s="35"/>
      <c r="J14" s="35">
        <v>1200</v>
      </c>
      <c r="K14" s="35"/>
      <c r="L14" s="35"/>
      <c r="M14" s="35"/>
      <c r="N14" s="35"/>
      <c r="O14" s="35"/>
      <c r="P14" s="32">
        <f t="shared" si="0"/>
        <v>4200</v>
      </c>
      <c r="Q14" s="32">
        <f t="shared" si="1"/>
        <v>7</v>
      </c>
    </row>
    <row r="15" spans="1:17" s="28" customFormat="1" x14ac:dyDescent="0.2">
      <c r="A15" s="36">
        <v>7</v>
      </c>
      <c r="B15" s="37" t="s">
        <v>88</v>
      </c>
      <c r="C15" s="38" t="s">
        <v>14</v>
      </c>
      <c r="D15" s="36">
        <v>10</v>
      </c>
      <c r="E15" s="39">
        <v>400</v>
      </c>
      <c r="F15" s="39"/>
      <c r="G15" s="39">
        <v>1200</v>
      </c>
      <c r="H15" s="39">
        <v>2400</v>
      </c>
      <c r="I15" s="39"/>
      <c r="J15" s="39">
        <v>4400</v>
      </c>
      <c r="K15" s="39">
        <v>2000</v>
      </c>
      <c r="L15" s="39"/>
      <c r="M15" s="39"/>
      <c r="N15" s="39"/>
      <c r="O15" s="39"/>
      <c r="P15" s="36">
        <f t="shared" si="0"/>
        <v>10000</v>
      </c>
      <c r="Q15" s="36">
        <f t="shared" si="1"/>
        <v>25</v>
      </c>
    </row>
    <row r="16" spans="1:17" x14ac:dyDescent="0.2">
      <c r="A16" s="32">
        <v>8</v>
      </c>
      <c r="B16" s="33" t="s">
        <v>90</v>
      </c>
      <c r="C16" s="34" t="s">
        <v>15</v>
      </c>
      <c r="D16" s="32">
        <v>10</v>
      </c>
      <c r="E16" s="35">
        <v>400</v>
      </c>
      <c r="F16" s="35">
        <v>8000</v>
      </c>
      <c r="G16" s="35">
        <v>8000</v>
      </c>
      <c r="H16" s="35">
        <v>12000</v>
      </c>
      <c r="I16" s="35"/>
      <c r="J16" s="35">
        <v>20000</v>
      </c>
      <c r="K16" s="35"/>
      <c r="L16" s="35">
        <v>4000</v>
      </c>
      <c r="M16" s="35"/>
      <c r="N16" s="35">
        <v>4000</v>
      </c>
      <c r="O16" s="35">
        <v>4000</v>
      </c>
      <c r="P16" s="32">
        <f t="shared" si="0"/>
        <v>60000</v>
      </c>
      <c r="Q16" s="32">
        <f t="shared" si="1"/>
        <v>150</v>
      </c>
    </row>
    <row r="17" spans="1:17" s="28" customFormat="1" x14ac:dyDescent="0.2">
      <c r="A17" s="36">
        <v>9</v>
      </c>
      <c r="B17" s="37" t="s">
        <v>91</v>
      </c>
      <c r="C17" s="38" t="s">
        <v>16</v>
      </c>
      <c r="D17" s="36">
        <v>10</v>
      </c>
      <c r="E17" s="39">
        <v>300</v>
      </c>
      <c r="F17" s="39">
        <v>34200</v>
      </c>
      <c r="G17" s="39">
        <v>21000</v>
      </c>
      <c r="H17" s="39">
        <v>9000</v>
      </c>
      <c r="I17" s="39">
        <v>18000</v>
      </c>
      <c r="J17" s="39"/>
      <c r="K17" s="39"/>
      <c r="L17" s="39">
        <v>3000</v>
      </c>
      <c r="M17" s="39"/>
      <c r="N17" s="39"/>
      <c r="O17" s="39">
        <v>9000</v>
      </c>
      <c r="P17" s="36">
        <f t="shared" si="0"/>
        <v>94200</v>
      </c>
      <c r="Q17" s="36">
        <f t="shared" si="1"/>
        <v>314</v>
      </c>
    </row>
    <row r="18" spans="1:17" x14ac:dyDescent="0.2">
      <c r="A18" s="32" t="s">
        <v>17</v>
      </c>
      <c r="B18" s="40">
        <v>90441300</v>
      </c>
      <c r="C18" s="34" t="s">
        <v>179</v>
      </c>
      <c r="D18" s="32">
        <v>10</v>
      </c>
      <c r="E18" s="35">
        <v>300</v>
      </c>
      <c r="F18" s="35"/>
      <c r="G18" s="35">
        <v>1200</v>
      </c>
      <c r="H18" s="35">
        <v>3000</v>
      </c>
      <c r="I18" s="35"/>
      <c r="J18" s="35">
        <v>3000</v>
      </c>
      <c r="K18" s="35"/>
      <c r="L18" s="35"/>
      <c r="M18" s="35"/>
      <c r="N18" s="35"/>
      <c r="O18" s="35"/>
      <c r="P18" s="32">
        <f t="shared" si="0"/>
        <v>7200</v>
      </c>
      <c r="Q18" s="32">
        <f t="shared" si="1"/>
        <v>24</v>
      </c>
    </row>
    <row r="19" spans="1:17" s="28" customFormat="1" x14ac:dyDescent="0.2">
      <c r="A19" s="36" t="s">
        <v>180</v>
      </c>
      <c r="B19" s="37" t="s">
        <v>168</v>
      </c>
      <c r="C19" s="38" t="s">
        <v>169</v>
      </c>
      <c r="D19" s="36">
        <v>10</v>
      </c>
      <c r="E19" s="39">
        <v>300</v>
      </c>
      <c r="F19" s="39">
        <v>8100</v>
      </c>
      <c r="G19" s="39">
        <v>8100</v>
      </c>
      <c r="H19" s="39">
        <v>12600</v>
      </c>
      <c r="I19" s="39"/>
      <c r="J19" s="39">
        <v>8100</v>
      </c>
      <c r="K19" s="39"/>
      <c r="L19" s="39"/>
      <c r="M19" s="39"/>
      <c r="N19" s="39"/>
      <c r="O19" s="39">
        <v>3000</v>
      </c>
      <c r="P19" s="36">
        <f t="shared" si="0"/>
        <v>39900</v>
      </c>
      <c r="Q19" s="36">
        <f t="shared" si="1"/>
        <v>133</v>
      </c>
    </row>
    <row r="20" spans="1:17" x14ac:dyDescent="0.2">
      <c r="A20" s="32">
        <v>10</v>
      </c>
      <c r="B20" s="33" t="s">
        <v>94</v>
      </c>
      <c r="C20" s="34" t="s">
        <v>19</v>
      </c>
      <c r="D20" s="41">
        <v>10</v>
      </c>
      <c r="E20" s="35">
        <v>130</v>
      </c>
      <c r="F20" s="35">
        <v>1300</v>
      </c>
      <c r="G20" s="35"/>
      <c r="H20" s="35"/>
      <c r="I20" s="35">
        <v>1300</v>
      </c>
      <c r="J20" s="35">
        <v>1300</v>
      </c>
      <c r="K20" s="35"/>
      <c r="L20" s="35"/>
      <c r="M20" s="35"/>
      <c r="N20" s="35">
        <v>1300</v>
      </c>
      <c r="O20" s="35"/>
      <c r="P20" s="32">
        <f t="shared" si="0"/>
        <v>5200</v>
      </c>
      <c r="Q20" s="32">
        <f t="shared" si="1"/>
        <v>40</v>
      </c>
    </row>
    <row r="21" spans="1:17" s="28" customFormat="1" x14ac:dyDescent="0.2">
      <c r="A21" s="36">
        <v>11</v>
      </c>
      <c r="B21" s="37" t="s">
        <v>92</v>
      </c>
      <c r="C21" s="38" t="s">
        <v>20</v>
      </c>
      <c r="D21" s="36">
        <v>10</v>
      </c>
      <c r="E21" s="39">
        <v>110</v>
      </c>
      <c r="F21" s="39">
        <v>1100</v>
      </c>
      <c r="G21" s="39">
        <v>1100</v>
      </c>
      <c r="H21" s="39">
        <v>1100</v>
      </c>
      <c r="I21" s="39">
        <v>2200</v>
      </c>
      <c r="J21" s="39">
        <v>1100</v>
      </c>
      <c r="K21" s="39"/>
      <c r="L21" s="39"/>
      <c r="M21" s="39"/>
      <c r="N21" s="39"/>
      <c r="O21" s="39"/>
      <c r="P21" s="36">
        <f t="shared" si="0"/>
        <v>6600</v>
      </c>
      <c r="Q21" s="36">
        <f t="shared" si="1"/>
        <v>60</v>
      </c>
    </row>
    <row r="22" spans="1:17" x14ac:dyDescent="0.2">
      <c r="A22" s="32">
        <v>12</v>
      </c>
      <c r="B22" s="33" t="s">
        <v>95</v>
      </c>
      <c r="C22" s="34" t="s">
        <v>21</v>
      </c>
      <c r="D22" s="32">
        <v>10</v>
      </c>
      <c r="E22" s="35">
        <v>80</v>
      </c>
      <c r="F22" s="35">
        <v>2400</v>
      </c>
      <c r="G22" s="35">
        <v>1600</v>
      </c>
      <c r="H22" s="35">
        <v>4000</v>
      </c>
      <c r="I22" s="35">
        <v>1600</v>
      </c>
      <c r="J22" s="35">
        <v>1600</v>
      </c>
      <c r="K22" s="35"/>
      <c r="L22" s="35">
        <v>800</v>
      </c>
      <c r="M22" s="35"/>
      <c r="N22" s="35"/>
      <c r="O22" s="35">
        <v>800</v>
      </c>
      <c r="P22" s="32">
        <f t="shared" si="0"/>
        <v>12800</v>
      </c>
      <c r="Q22" s="32">
        <f t="shared" si="1"/>
        <v>160</v>
      </c>
    </row>
    <row r="23" spans="1:17" s="28" customFormat="1" x14ac:dyDescent="0.2">
      <c r="A23" s="36">
        <v>13</v>
      </c>
      <c r="B23" s="37" t="s">
        <v>99</v>
      </c>
      <c r="C23" s="38" t="s">
        <v>22</v>
      </c>
      <c r="D23" s="36">
        <v>100</v>
      </c>
      <c r="E23" s="39">
        <v>1200</v>
      </c>
      <c r="F23" s="39">
        <v>24000</v>
      </c>
      <c r="G23" s="39">
        <v>24000</v>
      </c>
      <c r="H23" s="39">
        <v>24000</v>
      </c>
      <c r="I23" s="39"/>
      <c r="J23" s="39">
        <v>24000</v>
      </c>
      <c r="K23" s="39">
        <v>24000</v>
      </c>
      <c r="L23" s="39">
        <v>24000</v>
      </c>
      <c r="M23" s="39"/>
      <c r="N23" s="39">
        <v>24000</v>
      </c>
      <c r="O23" s="39">
        <v>24000</v>
      </c>
      <c r="P23" s="36">
        <f t="shared" si="0"/>
        <v>192000</v>
      </c>
      <c r="Q23" s="36">
        <f t="shared" si="1"/>
        <v>160</v>
      </c>
    </row>
    <row r="24" spans="1:17" x14ac:dyDescent="0.2">
      <c r="A24" s="32">
        <v>14</v>
      </c>
      <c r="B24" s="33" t="s">
        <v>102</v>
      </c>
      <c r="C24" s="34" t="s">
        <v>23</v>
      </c>
      <c r="D24" s="32">
        <v>100</v>
      </c>
      <c r="E24" s="35">
        <v>1000</v>
      </c>
      <c r="F24" s="35">
        <v>10000</v>
      </c>
      <c r="G24" s="35">
        <v>14000</v>
      </c>
      <c r="H24" s="35">
        <v>11000</v>
      </c>
      <c r="I24" s="35"/>
      <c r="J24" s="35">
        <v>10000</v>
      </c>
      <c r="K24" s="35">
        <v>10000</v>
      </c>
      <c r="L24" s="35"/>
      <c r="M24" s="35"/>
      <c r="N24" s="35"/>
      <c r="O24" s="35">
        <v>1000</v>
      </c>
      <c r="P24" s="32">
        <f t="shared" si="0"/>
        <v>56000</v>
      </c>
      <c r="Q24" s="32">
        <f t="shared" si="1"/>
        <v>56</v>
      </c>
    </row>
    <row r="25" spans="1:17" s="28" customFormat="1" x14ac:dyDescent="0.2">
      <c r="A25" s="36">
        <v>15</v>
      </c>
      <c r="B25" s="37" t="s">
        <v>97</v>
      </c>
      <c r="C25" s="38" t="s">
        <v>24</v>
      </c>
      <c r="D25" s="36">
        <v>50</v>
      </c>
      <c r="E25" s="39">
        <v>2800</v>
      </c>
      <c r="F25" s="39">
        <v>11200</v>
      </c>
      <c r="G25" s="39">
        <v>22400</v>
      </c>
      <c r="H25" s="39">
        <v>16800</v>
      </c>
      <c r="I25" s="39"/>
      <c r="J25" s="39">
        <v>8400</v>
      </c>
      <c r="K25" s="39"/>
      <c r="L25" s="39">
        <v>11200</v>
      </c>
      <c r="M25" s="39"/>
      <c r="N25" s="39"/>
      <c r="O25" s="39">
        <v>8400</v>
      </c>
      <c r="P25" s="36">
        <f t="shared" si="0"/>
        <v>78400</v>
      </c>
      <c r="Q25" s="36">
        <f t="shared" si="1"/>
        <v>28</v>
      </c>
    </row>
    <row r="26" spans="1:17" x14ac:dyDescent="0.2">
      <c r="A26" s="32">
        <v>16</v>
      </c>
      <c r="B26" s="33" t="s">
        <v>98</v>
      </c>
      <c r="C26" s="34" t="s">
        <v>25</v>
      </c>
      <c r="D26" s="32">
        <v>50</v>
      </c>
      <c r="E26" s="35">
        <v>550</v>
      </c>
      <c r="F26" s="35">
        <v>550</v>
      </c>
      <c r="G26" s="35">
        <v>6600</v>
      </c>
      <c r="H26" s="35">
        <v>11000</v>
      </c>
      <c r="I26" s="35">
        <v>5500</v>
      </c>
      <c r="J26" s="35">
        <v>5500</v>
      </c>
      <c r="K26" s="35"/>
      <c r="L26" s="35"/>
      <c r="M26" s="35"/>
      <c r="N26" s="35">
        <v>5500</v>
      </c>
      <c r="O26" s="35">
        <v>5500</v>
      </c>
      <c r="P26" s="32">
        <f t="shared" si="0"/>
        <v>40150</v>
      </c>
      <c r="Q26" s="32">
        <f t="shared" si="1"/>
        <v>73</v>
      </c>
    </row>
    <row r="27" spans="1:17" s="28" customFormat="1" x14ac:dyDescent="0.2">
      <c r="A27" s="36" t="s">
        <v>141</v>
      </c>
      <c r="B27" s="37" t="s">
        <v>142</v>
      </c>
      <c r="C27" s="38" t="s">
        <v>143</v>
      </c>
      <c r="D27" s="36">
        <v>50</v>
      </c>
      <c r="E27" s="39">
        <v>550</v>
      </c>
      <c r="F27" s="39">
        <v>550</v>
      </c>
      <c r="G27" s="39">
        <v>6600</v>
      </c>
      <c r="H27" s="39">
        <v>5500</v>
      </c>
      <c r="I27" s="39">
        <v>11000</v>
      </c>
      <c r="J27" s="39"/>
      <c r="K27" s="39">
        <v>5500</v>
      </c>
      <c r="L27" s="39">
        <v>5500</v>
      </c>
      <c r="M27" s="39"/>
      <c r="N27" s="39">
        <v>5500</v>
      </c>
      <c r="O27" s="39">
        <v>5500</v>
      </c>
      <c r="P27" s="36">
        <f t="shared" si="0"/>
        <v>45650</v>
      </c>
      <c r="Q27" s="36">
        <f t="shared" si="1"/>
        <v>83</v>
      </c>
    </row>
    <row r="28" spans="1:17" x14ac:dyDescent="0.2">
      <c r="A28" s="32" t="s">
        <v>181</v>
      </c>
      <c r="B28" s="33" t="s">
        <v>170</v>
      </c>
      <c r="C28" s="34" t="s">
        <v>171</v>
      </c>
      <c r="D28" s="32">
        <v>10</v>
      </c>
      <c r="E28" s="35">
        <v>1200</v>
      </c>
      <c r="F28" s="35">
        <v>12000</v>
      </c>
      <c r="G28" s="35"/>
      <c r="H28" s="35">
        <v>31200</v>
      </c>
      <c r="I28" s="35"/>
      <c r="J28" s="35">
        <v>19200</v>
      </c>
      <c r="K28" s="35"/>
      <c r="L28" s="35"/>
      <c r="M28" s="35"/>
      <c r="N28" s="35"/>
      <c r="O28" s="35"/>
      <c r="P28" s="32">
        <f t="shared" si="0"/>
        <v>62400</v>
      </c>
      <c r="Q28" s="32">
        <f t="shared" si="1"/>
        <v>52</v>
      </c>
    </row>
    <row r="29" spans="1:17" s="28" customFormat="1" x14ac:dyDescent="0.2">
      <c r="A29" s="36">
        <v>17</v>
      </c>
      <c r="B29" s="37" t="s">
        <v>195</v>
      </c>
      <c r="C29" s="38" t="s">
        <v>197</v>
      </c>
      <c r="D29" s="36">
        <v>50</v>
      </c>
      <c r="E29" s="39">
        <v>1300</v>
      </c>
      <c r="F29" s="39">
        <v>2600</v>
      </c>
      <c r="G29" s="39">
        <v>5200</v>
      </c>
      <c r="H29" s="39">
        <v>5200</v>
      </c>
      <c r="I29" s="39"/>
      <c r="J29" s="39">
        <v>13000</v>
      </c>
      <c r="K29" s="39"/>
      <c r="L29" s="39"/>
      <c r="M29" s="39"/>
      <c r="N29" s="39"/>
      <c r="O29" s="39"/>
      <c r="P29" s="36">
        <f t="shared" si="0"/>
        <v>26000</v>
      </c>
      <c r="Q29" s="36">
        <f t="shared" si="1"/>
        <v>20</v>
      </c>
    </row>
    <row r="30" spans="1:17" x14ac:dyDescent="0.2">
      <c r="A30" s="32">
        <v>18</v>
      </c>
      <c r="B30" s="33" t="s">
        <v>196</v>
      </c>
      <c r="C30" s="34" t="s">
        <v>198</v>
      </c>
      <c r="D30" s="32">
        <v>50</v>
      </c>
      <c r="E30" s="35">
        <v>800</v>
      </c>
      <c r="F30" s="35">
        <v>2400</v>
      </c>
      <c r="G30" s="35">
        <v>4000</v>
      </c>
      <c r="H30" s="35">
        <v>4000</v>
      </c>
      <c r="I30" s="35"/>
      <c r="J30" s="35">
        <v>11200</v>
      </c>
      <c r="K30" s="35"/>
      <c r="L30" s="35"/>
      <c r="M30" s="35"/>
      <c r="N30" s="35"/>
      <c r="O30" s="35"/>
      <c r="P30" s="32">
        <f t="shared" si="0"/>
        <v>21600</v>
      </c>
      <c r="Q30" s="32">
        <f t="shared" si="1"/>
        <v>27</v>
      </c>
    </row>
    <row r="31" spans="1:17" x14ac:dyDescent="0.2">
      <c r="A31" s="32"/>
      <c r="B31" s="33" t="s">
        <v>206</v>
      </c>
      <c r="C31" s="34" t="s">
        <v>207</v>
      </c>
      <c r="D31" s="32">
        <v>10</v>
      </c>
      <c r="E31" s="35">
        <v>500</v>
      </c>
      <c r="F31" s="35"/>
      <c r="G31" s="35">
        <v>5000</v>
      </c>
      <c r="H31" s="35">
        <v>500</v>
      </c>
      <c r="I31" s="35"/>
      <c r="J31" s="35"/>
      <c r="K31" s="35"/>
      <c r="L31" s="35"/>
      <c r="M31" s="35"/>
      <c r="N31" s="35"/>
      <c r="O31" s="35"/>
      <c r="P31" s="32">
        <f t="shared" si="0"/>
        <v>5500</v>
      </c>
      <c r="Q31" s="32">
        <f t="shared" si="1"/>
        <v>11</v>
      </c>
    </row>
    <row r="32" spans="1:17" x14ac:dyDescent="0.2">
      <c r="A32" s="32"/>
      <c r="B32" s="33" t="s">
        <v>206</v>
      </c>
      <c r="C32" s="34" t="s">
        <v>207</v>
      </c>
      <c r="D32" s="32">
        <v>10</v>
      </c>
      <c r="E32" s="35">
        <v>450</v>
      </c>
      <c r="F32" s="35"/>
      <c r="G32" s="35"/>
      <c r="H32" s="35"/>
      <c r="I32" s="35"/>
      <c r="J32" s="35">
        <v>9450</v>
      </c>
      <c r="K32" s="35"/>
      <c r="L32" s="35"/>
      <c r="M32" s="35"/>
      <c r="N32" s="35"/>
      <c r="O32" s="35">
        <v>2250</v>
      </c>
      <c r="P32" s="32">
        <f t="shared" si="0"/>
        <v>11700</v>
      </c>
      <c r="Q32" s="32">
        <f t="shared" si="1"/>
        <v>26</v>
      </c>
    </row>
    <row r="33" spans="1:17" s="28" customFormat="1" x14ac:dyDescent="0.2">
      <c r="A33" s="36" t="s">
        <v>193</v>
      </c>
      <c r="B33" s="42">
        <v>90447000</v>
      </c>
      <c r="C33" s="38" t="s">
        <v>29</v>
      </c>
      <c r="D33" s="36">
        <v>10</v>
      </c>
      <c r="E33" s="39">
        <v>270</v>
      </c>
      <c r="F33" s="39">
        <v>2700</v>
      </c>
      <c r="G33" s="39">
        <v>10800</v>
      </c>
      <c r="H33" s="39">
        <v>5670</v>
      </c>
      <c r="I33" s="39"/>
      <c r="J33" s="39">
        <v>21600</v>
      </c>
      <c r="K33" s="39"/>
      <c r="L33" s="39"/>
      <c r="M33" s="39"/>
      <c r="N33" s="39"/>
      <c r="O33" s="39"/>
      <c r="P33" s="36">
        <f t="shared" si="0"/>
        <v>40770</v>
      </c>
      <c r="Q33" s="36">
        <f t="shared" si="1"/>
        <v>151</v>
      </c>
    </row>
    <row r="34" spans="1:17" x14ac:dyDescent="0.2">
      <c r="A34" s="32">
        <v>21</v>
      </c>
      <c r="B34" s="33" t="s">
        <v>30</v>
      </c>
      <c r="C34" s="34" t="s">
        <v>31</v>
      </c>
      <c r="D34" s="32">
        <v>10</v>
      </c>
      <c r="E34" s="35">
        <v>230</v>
      </c>
      <c r="F34" s="35">
        <v>2300</v>
      </c>
      <c r="G34" s="35">
        <v>4600</v>
      </c>
      <c r="H34" s="35">
        <v>2300</v>
      </c>
      <c r="I34" s="35"/>
      <c r="J34" s="35">
        <v>6900</v>
      </c>
      <c r="K34" s="35"/>
      <c r="L34" s="35"/>
      <c r="M34" s="35"/>
      <c r="N34" s="35"/>
      <c r="O34" s="35"/>
      <c r="P34" s="32">
        <f t="shared" si="0"/>
        <v>16100</v>
      </c>
      <c r="Q34" s="32">
        <f t="shared" si="1"/>
        <v>70</v>
      </c>
    </row>
    <row r="35" spans="1:17" s="28" customFormat="1" x14ac:dyDescent="0.2">
      <c r="A35" s="36" t="s">
        <v>194</v>
      </c>
      <c r="B35" s="42">
        <v>90442300</v>
      </c>
      <c r="C35" s="38" t="s">
        <v>173</v>
      </c>
      <c r="D35" s="36">
        <v>10</v>
      </c>
      <c r="E35" s="39">
        <v>230</v>
      </c>
      <c r="F35" s="39">
        <v>2300</v>
      </c>
      <c r="G35" s="39"/>
      <c r="H35" s="39">
        <v>2300</v>
      </c>
      <c r="I35" s="39"/>
      <c r="J35" s="39">
        <v>2300</v>
      </c>
      <c r="K35" s="39"/>
      <c r="L35" s="39"/>
      <c r="M35" s="39"/>
      <c r="N35" s="39"/>
      <c r="O35" s="39"/>
      <c r="P35" s="36">
        <f t="shared" si="0"/>
        <v>6900</v>
      </c>
      <c r="Q35" s="36">
        <f t="shared" si="1"/>
        <v>30</v>
      </c>
    </row>
    <row r="36" spans="1:17" x14ac:dyDescent="0.2">
      <c r="A36" s="32">
        <v>22</v>
      </c>
      <c r="B36" s="33" t="s">
        <v>93</v>
      </c>
      <c r="C36" s="34" t="s">
        <v>34</v>
      </c>
      <c r="D36" s="32">
        <v>5</v>
      </c>
      <c r="E36" s="35">
        <v>75</v>
      </c>
      <c r="F36" s="35"/>
      <c r="G36" s="35"/>
      <c r="H36" s="35"/>
      <c r="I36" s="35"/>
      <c r="J36" s="35"/>
      <c r="K36" s="35"/>
      <c r="L36" s="35"/>
      <c r="M36" s="35"/>
      <c r="N36" s="35">
        <v>750</v>
      </c>
      <c r="O36" s="35"/>
      <c r="P36" s="32">
        <f t="shared" si="0"/>
        <v>750</v>
      </c>
      <c r="Q36" s="32">
        <f t="shared" si="1"/>
        <v>10</v>
      </c>
    </row>
    <row r="37" spans="1:17" s="28" customFormat="1" x14ac:dyDescent="0.2">
      <c r="A37" s="36">
        <v>23</v>
      </c>
      <c r="B37" s="37" t="s">
        <v>35</v>
      </c>
      <c r="C37" s="38" t="s">
        <v>36</v>
      </c>
      <c r="D37" s="36">
        <v>5</v>
      </c>
      <c r="E37" s="39">
        <v>50</v>
      </c>
      <c r="F37" s="39">
        <v>500</v>
      </c>
      <c r="G37" s="39">
        <v>500</v>
      </c>
      <c r="H37" s="39">
        <v>1000</v>
      </c>
      <c r="I37" s="39"/>
      <c r="J37" s="39">
        <v>2000</v>
      </c>
      <c r="K37" s="39"/>
      <c r="L37" s="39">
        <v>1000</v>
      </c>
      <c r="M37" s="39"/>
      <c r="N37" s="39"/>
      <c r="O37" s="39">
        <v>500</v>
      </c>
      <c r="P37" s="36">
        <f t="shared" si="0"/>
        <v>5500</v>
      </c>
      <c r="Q37" s="36">
        <f t="shared" si="1"/>
        <v>110</v>
      </c>
    </row>
    <row r="38" spans="1:17" x14ac:dyDescent="0.2">
      <c r="A38" s="32">
        <v>24</v>
      </c>
      <c r="B38" s="33" t="s">
        <v>101</v>
      </c>
      <c r="C38" s="34" t="s">
        <v>37</v>
      </c>
      <c r="D38" s="32">
        <v>50</v>
      </c>
      <c r="E38" s="35">
        <v>600</v>
      </c>
      <c r="F38" s="35">
        <v>1800</v>
      </c>
      <c r="G38" s="35"/>
      <c r="H38" s="35">
        <v>6000</v>
      </c>
      <c r="I38" s="35"/>
      <c r="J38" s="35">
        <v>1200</v>
      </c>
      <c r="K38" s="35"/>
      <c r="L38" s="35"/>
      <c r="M38" s="35"/>
      <c r="N38" s="35"/>
      <c r="O38" s="35"/>
      <c r="P38" s="32">
        <f t="shared" si="0"/>
        <v>9000</v>
      </c>
      <c r="Q38" s="32">
        <f t="shared" si="1"/>
        <v>15</v>
      </c>
    </row>
    <row r="39" spans="1:17" s="28" customFormat="1" x14ac:dyDescent="0.2">
      <c r="A39" s="36">
        <v>25</v>
      </c>
      <c r="B39" s="42" t="s">
        <v>200</v>
      </c>
      <c r="C39" s="38" t="s">
        <v>201</v>
      </c>
      <c r="D39" s="36">
        <v>50</v>
      </c>
      <c r="E39" s="36">
        <v>800</v>
      </c>
      <c r="F39" s="39">
        <v>3200</v>
      </c>
      <c r="G39" s="39">
        <v>3200</v>
      </c>
      <c r="H39" s="39">
        <v>7200</v>
      </c>
      <c r="I39" s="39"/>
      <c r="J39" s="39">
        <v>6400</v>
      </c>
      <c r="K39" s="39"/>
      <c r="L39" s="39">
        <v>4000</v>
      </c>
      <c r="M39" s="39"/>
      <c r="N39" s="39"/>
      <c r="O39" s="39"/>
      <c r="P39" s="36">
        <f t="shared" si="0"/>
        <v>24000</v>
      </c>
      <c r="Q39" s="36">
        <f t="shared" si="1"/>
        <v>30</v>
      </c>
    </row>
    <row r="40" spans="1:17" s="47" customFormat="1" x14ac:dyDescent="0.2">
      <c r="A40" s="43"/>
      <c r="B40" s="44" t="s">
        <v>208</v>
      </c>
      <c r="C40" s="45" t="s">
        <v>209</v>
      </c>
      <c r="D40" s="43">
        <v>10</v>
      </c>
      <c r="E40" s="43">
        <v>400</v>
      </c>
      <c r="F40" s="46"/>
      <c r="G40" s="46">
        <v>800</v>
      </c>
      <c r="H40" s="46">
        <v>800</v>
      </c>
      <c r="I40" s="46"/>
      <c r="J40" s="46"/>
      <c r="K40" s="46"/>
      <c r="L40" s="46"/>
      <c r="M40" s="46"/>
      <c r="N40" s="46">
        <v>400</v>
      </c>
      <c r="O40" s="46"/>
      <c r="P40" s="43">
        <f t="shared" si="0"/>
        <v>2000</v>
      </c>
      <c r="Q40" s="43">
        <f t="shared" si="1"/>
        <v>5</v>
      </c>
    </row>
    <row r="41" spans="1:17" s="28" customFormat="1" x14ac:dyDescent="0.2">
      <c r="A41" s="36"/>
      <c r="B41" s="42" t="s">
        <v>210</v>
      </c>
      <c r="C41" s="38" t="s">
        <v>211</v>
      </c>
      <c r="D41" s="36">
        <v>10</v>
      </c>
      <c r="E41" s="36">
        <v>300</v>
      </c>
      <c r="F41" s="39"/>
      <c r="G41" s="39">
        <v>3900</v>
      </c>
      <c r="H41" s="39">
        <v>1200</v>
      </c>
      <c r="I41" s="39">
        <v>2100</v>
      </c>
      <c r="J41" s="39"/>
      <c r="K41" s="39"/>
      <c r="L41" s="39">
        <v>4200</v>
      </c>
      <c r="M41" s="39"/>
      <c r="N41" s="39"/>
      <c r="O41" s="39">
        <v>2100</v>
      </c>
      <c r="P41" s="36">
        <f t="shared" si="0"/>
        <v>13500</v>
      </c>
      <c r="Q41" s="36">
        <f t="shared" si="1"/>
        <v>45</v>
      </c>
    </row>
    <row r="42" spans="1:17" x14ac:dyDescent="0.2">
      <c r="A42" s="32">
        <v>26</v>
      </c>
      <c r="B42" s="40" t="s">
        <v>157</v>
      </c>
      <c r="C42" s="34" t="s">
        <v>160</v>
      </c>
      <c r="D42" s="32">
        <v>10</v>
      </c>
      <c r="E42" s="32">
        <v>160</v>
      </c>
      <c r="F42" s="35">
        <v>3200</v>
      </c>
      <c r="G42" s="35">
        <v>3200</v>
      </c>
      <c r="H42" s="35"/>
      <c r="I42" s="35"/>
      <c r="J42" s="35"/>
      <c r="K42" s="35"/>
      <c r="L42" s="35"/>
      <c r="M42" s="35"/>
      <c r="N42" s="35">
        <v>1600</v>
      </c>
      <c r="O42" s="35">
        <v>3200</v>
      </c>
      <c r="P42" s="32">
        <f t="shared" si="0"/>
        <v>11200</v>
      </c>
      <c r="Q42" s="32">
        <f t="shared" si="1"/>
        <v>70</v>
      </c>
    </row>
    <row r="43" spans="1:17" s="28" customFormat="1" x14ac:dyDescent="0.2">
      <c r="A43" s="36" t="s">
        <v>199</v>
      </c>
      <c r="B43" s="42">
        <v>90443300</v>
      </c>
      <c r="C43" s="38" t="s">
        <v>172</v>
      </c>
      <c r="D43" s="36">
        <v>10</v>
      </c>
      <c r="E43" s="36">
        <v>160</v>
      </c>
      <c r="F43" s="39">
        <v>1600</v>
      </c>
      <c r="G43" s="39">
        <v>3200</v>
      </c>
      <c r="H43" s="39">
        <v>1600</v>
      </c>
      <c r="I43" s="39">
        <v>3200</v>
      </c>
      <c r="J43" s="39">
        <v>1600</v>
      </c>
      <c r="K43" s="39"/>
      <c r="L43" s="39"/>
      <c r="M43" s="39"/>
      <c r="N43" s="39"/>
      <c r="O43" s="39">
        <v>1600</v>
      </c>
      <c r="P43" s="36">
        <f t="shared" si="0"/>
        <v>12800</v>
      </c>
      <c r="Q43" s="36">
        <f t="shared" si="1"/>
        <v>80</v>
      </c>
    </row>
    <row r="44" spans="1:17" x14ac:dyDescent="0.2">
      <c r="A44" s="32">
        <v>27</v>
      </c>
      <c r="B44" s="40" t="s">
        <v>158</v>
      </c>
      <c r="C44" s="34" t="s">
        <v>161</v>
      </c>
      <c r="D44" s="32">
        <v>5</v>
      </c>
      <c r="E44" s="32">
        <v>35</v>
      </c>
      <c r="F44" s="35"/>
      <c r="G44" s="35">
        <v>350</v>
      </c>
      <c r="H44" s="35"/>
      <c r="I44" s="35">
        <v>350</v>
      </c>
      <c r="J44" s="35">
        <v>350</v>
      </c>
      <c r="K44" s="35"/>
      <c r="L44" s="35"/>
      <c r="M44" s="35"/>
      <c r="N44" s="35"/>
      <c r="O44" s="35">
        <v>700</v>
      </c>
      <c r="P44" s="32">
        <f t="shared" si="0"/>
        <v>1750</v>
      </c>
      <c r="Q44" s="32">
        <f t="shared" si="1"/>
        <v>50</v>
      </c>
    </row>
    <row r="45" spans="1:17" s="28" customFormat="1" x14ac:dyDescent="0.2">
      <c r="A45" s="36">
        <v>28</v>
      </c>
      <c r="B45" s="37" t="s">
        <v>159</v>
      </c>
      <c r="C45" s="38" t="s">
        <v>162</v>
      </c>
      <c r="D45" s="36">
        <v>50</v>
      </c>
      <c r="E45" s="39">
        <v>350</v>
      </c>
      <c r="F45" s="39"/>
      <c r="G45" s="39"/>
      <c r="H45" s="39"/>
      <c r="I45" s="39"/>
      <c r="J45" s="39"/>
      <c r="K45" s="39"/>
      <c r="L45" s="39"/>
      <c r="M45" s="39"/>
      <c r="N45" s="39"/>
      <c r="O45" s="39">
        <v>700</v>
      </c>
      <c r="P45" s="36">
        <f t="shared" si="0"/>
        <v>700</v>
      </c>
      <c r="Q45" s="36">
        <f t="shared" si="1"/>
        <v>2</v>
      </c>
    </row>
    <row r="46" spans="1:17" x14ac:dyDescent="0.2">
      <c r="A46" s="32">
        <v>31</v>
      </c>
      <c r="B46" s="33" t="s">
        <v>100</v>
      </c>
      <c r="C46" s="34" t="s">
        <v>40</v>
      </c>
      <c r="D46" s="32">
        <v>50</v>
      </c>
      <c r="E46" s="35">
        <v>1750</v>
      </c>
      <c r="F46" s="35">
        <v>17500</v>
      </c>
      <c r="G46" s="35">
        <v>10500</v>
      </c>
      <c r="H46" s="35">
        <v>26250</v>
      </c>
      <c r="I46" s="35"/>
      <c r="J46" s="35">
        <v>17500</v>
      </c>
      <c r="K46" s="35"/>
      <c r="L46" s="35"/>
      <c r="M46" s="35"/>
      <c r="N46" s="35"/>
      <c r="O46" s="35"/>
      <c r="P46" s="32">
        <f t="shared" si="0"/>
        <v>71750</v>
      </c>
      <c r="Q46" s="32">
        <f t="shared" si="1"/>
        <v>41</v>
      </c>
    </row>
    <row r="47" spans="1:17" x14ac:dyDescent="0.2">
      <c r="A47" s="32"/>
      <c r="B47" s="33"/>
      <c r="C47" s="34"/>
      <c r="D47" s="32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2"/>
      <c r="Q47" s="32"/>
    </row>
    <row r="48" spans="1:17" x14ac:dyDescent="0.2">
      <c r="A48" s="410" t="s">
        <v>135</v>
      </c>
      <c r="B48" s="414"/>
      <c r="C48" s="414"/>
      <c r="D48" s="414"/>
      <c r="E48" s="411"/>
      <c r="F48" s="19">
        <f t="shared" ref="F48:P48" si="2">SUM(F7:F47)</f>
        <v>253300</v>
      </c>
      <c r="G48" s="19">
        <f t="shared" si="2"/>
        <v>285250</v>
      </c>
      <c r="H48" s="19">
        <f t="shared" si="2"/>
        <v>358620</v>
      </c>
      <c r="I48" s="19">
        <f t="shared" si="2"/>
        <v>64050</v>
      </c>
      <c r="J48" s="19">
        <f t="shared" si="2"/>
        <v>266300</v>
      </c>
      <c r="K48" s="19">
        <f t="shared" si="2"/>
        <v>41500</v>
      </c>
      <c r="L48" s="19">
        <f t="shared" si="2"/>
        <v>88700</v>
      </c>
      <c r="M48" s="19">
        <f t="shared" si="2"/>
        <v>36000</v>
      </c>
      <c r="N48" s="19">
        <f t="shared" si="2"/>
        <v>112050</v>
      </c>
      <c r="O48" s="19">
        <f t="shared" si="2"/>
        <v>137250</v>
      </c>
      <c r="P48" s="5">
        <f t="shared" si="2"/>
        <v>1643020</v>
      </c>
      <c r="Q48" s="10"/>
    </row>
    <row r="49" spans="1:17" x14ac:dyDescent="0.2">
      <c r="A49" s="421" t="s">
        <v>184</v>
      </c>
      <c r="B49" s="421"/>
      <c r="C49" s="421"/>
      <c r="D49" s="421"/>
      <c r="E49" s="421"/>
      <c r="Q49" s="17">
        <f>SUM(Q7:Q47)</f>
        <v>2643</v>
      </c>
    </row>
  </sheetData>
  <autoFilter ref="B4:B46"/>
  <mergeCells count="7">
    <mergeCell ref="A49:E49"/>
    <mergeCell ref="A1:E1"/>
    <mergeCell ref="P1:Q1"/>
    <mergeCell ref="A2:E2"/>
    <mergeCell ref="D3:E3"/>
    <mergeCell ref="D4:E4"/>
    <mergeCell ref="A48:E48"/>
  </mergeCells>
  <pageMargins left="0.5" right="0.5" top="0.5" bottom="0.5" header="0" footer="0"/>
  <pageSetup paperSize="9" scale="84" orientation="landscape" blackAndWhite="1" horizontalDpi="4294967295" verticalDpi="180" r:id="rId1"/>
  <headerFooter alignWithMargins="0"/>
  <ignoredErrors>
    <ignoredError sqref="P7:P46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9"/>
  <sheetViews>
    <sheetView workbookViewId="0">
      <pane xSplit="5" ySplit="5" topLeftCell="F33" activePane="bottomRight" state="frozenSplit"/>
      <selection pane="topRight" activeCell="G1" sqref="G1"/>
      <selection pane="bottomLeft" activeCell="A17" sqref="A17"/>
      <selection pane="bottomRight" activeCell="R49" sqref="R49"/>
    </sheetView>
  </sheetViews>
  <sheetFormatPr defaultRowHeight="12.75" x14ac:dyDescent="0.2"/>
  <cols>
    <col min="1" max="1" width="4.28515625" bestFit="1" customWidth="1"/>
    <col min="2" max="2" width="10.85546875" bestFit="1" customWidth="1"/>
    <col min="3" max="3" width="34.5703125" bestFit="1" customWidth="1"/>
    <col min="4" max="4" width="5.85546875" bestFit="1" customWidth="1"/>
    <col min="5" max="5" width="5" bestFit="1" customWidth="1"/>
    <col min="6" max="16" width="8.140625" customWidth="1"/>
    <col min="17" max="18" width="9.140625" style="16"/>
  </cols>
  <sheetData>
    <row r="1" spans="1:21" x14ac:dyDescent="0.2">
      <c r="A1" s="415" t="s">
        <v>225</v>
      </c>
      <c r="B1" s="422"/>
      <c r="C1" s="422"/>
      <c r="D1" s="422"/>
      <c r="E1" s="423"/>
      <c r="F1" s="24">
        <v>3088</v>
      </c>
      <c r="G1" s="24">
        <v>3092</v>
      </c>
      <c r="H1" s="24">
        <v>3095</v>
      </c>
      <c r="I1" s="24">
        <v>3096</v>
      </c>
      <c r="J1" s="24">
        <v>3097</v>
      </c>
      <c r="K1" s="26">
        <v>3108</v>
      </c>
      <c r="L1" s="26">
        <v>3113</v>
      </c>
      <c r="M1" s="26">
        <v>3121</v>
      </c>
      <c r="N1" s="26">
        <v>3123</v>
      </c>
      <c r="O1" s="26">
        <v>3124</v>
      </c>
      <c r="P1" s="5"/>
      <c r="Q1" s="408" t="s">
        <v>138</v>
      </c>
      <c r="R1" s="408"/>
      <c r="T1" s="27">
        <v>3124</v>
      </c>
    </row>
    <row r="2" spans="1:21" x14ac:dyDescent="0.2">
      <c r="A2" s="410" t="s">
        <v>42</v>
      </c>
      <c r="B2" s="422"/>
      <c r="C2" s="422"/>
      <c r="D2" s="422"/>
      <c r="E2" s="423"/>
      <c r="F2" s="24" t="s">
        <v>226</v>
      </c>
      <c r="G2" s="24" t="s">
        <v>227</v>
      </c>
      <c r="H2" s="24" t="s">
        <v>228</v>
      </c>
      <c r="I2" s="24" t="s">
        <v>229</v>
      </c>
      <c r="J2" s="24" t="s">
        <v>231</v>
      </c>
      <c r="K2" s="49" t="s">
        <v>235</v>
      </c>
      <c r="L2" s="50" t="s">
        <v>236</v>
      </c>
      <c r="M2" s="51" t="s">
        <v>239</v>
      </c>
      <c r="N2" s="55" t="s">
        <v>240</v>
      </c>
      <c r="O2" s="55" t="s">
        <v>241</v>
      </c>
      <c r="P2" s="22"/>
      <c r="Q2" s="5" t="s">
        <v>116</v>
      </c>
      <c r="R2" s="18" t="s">
        <v>5</v>
      </c>
    </row>
    <row r="3" spans="1:21" x14ac:dyDescent="0.2">
      <c r="A3" s="19"/>
      <c r="B3" s="19"/>
      <c r="C3" s="19"/>
      <c r="D3" s="410" t="s">
        <v>140</v>
      </c>
      <c r="E3" s="414"/>
      <c r="F3" s="24">
        <v>13</v>
      </c>
      <c r="G3" s="24">
        <v>160</v>
      </c>
      <c r="H3" s="24">
        <v>162</v>
      </c>
      <c r="I3" s="24">
        <v>98</v>
      </c>
      <c r="J3" s="24">
        <v>200</v>
      </c>
      <c r="K3" s="24">
        <v>56</v>
      </c>
      <c r="L3" s="24">
        <v>149</v>
      </c>
      <c r="M3" s="24">
        <v>108</v>
      </c>
      <c r="N3" s="24">
        <v>130</v>
      </c>
      <c r="O3" s="24">
        <v>84</v>
      </c>
      <c r="P3" s="5"/>
      <c r="Q3" s="10"/>
      <c r="R3" s="10"/>
    </row>
    <row r="4" spans="1:21" ht="25.5" x14ac:dyDescent="0.2">
      <c r="A4" s="9" t="s">
        <v>1</v>
      </c>
      <c r="B4" s="4" t="s">
        <v>2</v>
      </c>
      <c r="C4" s="4" t="s">
        <v>0</v>
      </c>
      <c r="D4" s="408" t="s">
        <v>3</v>
      </c>
      <c r="E4" s="415"/>
      <c r="F4" s="26" t="s">
        <v>116</v>
      </c>
      <c r="G4" s="26" t="s">
        <v>116</v>
      </c>
      <c r="H4" s="26" t="s">
        <v>116</v>
      </c>
      <c r="I4" s="26" t="s">
        <v>116</v>
      </c>
      <c r="J4" s="26" t="s">
        <v>116</v>
      </c>
      <c r="K4" s="26" t="s">
        <v>116</v>
      </c>
      <c r="L4" s="24" t="s">
        <v>116</v>
      </c>
      <c r="M4" s="24" t="s">
        <v>116</v>
      </c>
      <c r="N4" s="24" t="s">
        <v>116</v>
      </c>
      <c r="O4" s="24" t="s">
        <v>116</v>
      </c>
      <c r="P4" s="24" t="s">
        <v>116</v>
      </c>
      <c r="Q4" s="10"/>
      <c r="R4" s="10"/>
    </row>
    <row r="5" spans="1:21" x14ac:dyDescent="0.2">
      <c r="A5" s="10"/>
      <c r="B5" s="2"/>
      <c r="C5" s="2"/>
      <c r="D5" s="5" t="s">
        <v>4</v>
      </c>
      <c r="E5" s="21" t="s">
        <v>5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10"/>
      <c r="R5" s="10"/>
    </row>
    <row r="6" spans="1:21" x14ac:dyDescent="0.2">
      <c r="A6" s="29"/>
      <c r="B6" s="30"/>
      <c r="C6" s="30"/>
      <c r="D6" s="2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29"/>
      <c r="R6" s="29"/>
    </row>
    <row r="7" spans="1:21" x14ac:dyDescent="0.2">
      <c r="A7" s="32" t="s">
        <v>222</v>
      </c>
      <c r="B7" s="33" t="s">
        <v>85</v>
      </c>
      <c r="C7" s="34" t="s">
        <v>6</v>
      </c>
      <c r="D7" s="32">
        <v>100</v>
      </c>
      <c r="E7" s="35">
        <v>2000</v>
      </c>
      <c r="F7" s="35"/>
      <c r="G7" s="35">
        <v>28000</v>
      </c>
      <c r="H7" s="35"/>
      <c r="I7" s="35"/>
      <c r="J7" s="35"/>
      <c r="K7" s="35"/>
      <c r="L7" s="35"/>
      <c r="M7" s="35"/>
      <c r="N7" s="35">
        <v>16000</v>
      </c>
      <c r="O7" s="35">
        <v>4000</v>
      </c>
      <c r="P7" s="35"/>
      <c r="Q7" s="32">
        <f>SUM(F7:P7)</f>
        <v>48000</v>
      </c>
      <c r="R7" s="32">
        <f t="shared" ref="R7:R46" si="0">Q7/E7</f>
        <v>24</v>
      </c>
      <c r="T7">
        <f>HLOOKUP($T$1,$F$1:$P$48,8,FALSE)</f>
        <v>0</v>
      </c>
      <c r="U7">
        <f t="shared" ref="U7:U46" si="1">$T7/$E7</f>
        <v>0</v>
      </c>
    </row>
    <row r="8" spans="1:21" x14ac:dyDescent="0.2">
      <c r="A8" s="32" t="s">
        <v>230</v>
      </c>
      <c r="B8" s="33" t="s">
        <v>85</v>
      </c>
      <c r="C8" s="34" t="s">
        <v>6</v>
      </c>
      <c r="D8" s="32">
        <v>100</v>
      </c>
      <c r="E8" s="35">
        <v>1600</v>
      </c>
      <c r="F8" s="35"/>
      <c r="G8" s="35"/>
      <c r="H8" s="35"/>
      <c r="I8" s="35">
        <v>27200</v>
      </c>
      <c r="J8" s="35"/>
      <c r="K8" s="35"/>
      <c r="L8" s="35"/>
      <c r="M8" s="35"/>
      <c r="N8" s="35"/>
      <c r="O8" s="35"/>
      <c r="P8" s="35"/>
      <c r="Q8" s="32">
        <f>SUM(F8:P8)</f>
        <v>27200</v>
      </c>
      <c r="R8" s="32">
        <f>Q8/E8</f>
        <v>17</v>
      </c>
      <c r="T8">
        <f>HLOOKUP($T$1,$F$1:$P$48,9,FALSE)</f>
        <v>6000</v>
      </c>
      <c r="U8">
        <f t="shared" si="1"/>
        <v>3.75</v>
      </c>
    </row>
    <row r="9" spans="1:21" s="28" customFormat="1" x14ac:dyDescent="0.2">
      <c r="A9" s="36">
        <v>2</v>
      </c>
      <c r="B9" s="37" t="s">
        <v>81</v>
      </c>
      <c r="C9" s="38" t="s">
        <v>7</v>
      </c>
      <c r="D9" s="36">
        <v>100</v>
      </c>
      <c r="E9" s="39">
        <v>2000</v>
      </c>
      <c r="F9" s="39"/>
      <c r="G9" s="39"/>
      <c r="H9" s="39">
        <v>10000</v>
      </c>
      <c r="I9" s="39"/>
      <c r="J9" s="39"/>
      <c r="K9" s="39"/>
      <c r="L9" s="39"/>
      <c r="M9" s="39"/>
      <c r="N9" s="39">
        <v>14000</v>
      </c>
      <c r="O9" s="39">
        <v>6000</v>
      </c>
      <c r="P9" s="39"/>
      <c r="Q9" s="36">
        <f t="shared" ref="Q9:Q46" si="2">SUM(F9:P9)</f>
        <v>30000</v>
      </c>
      <c r="R9" s="36">
        <f t="shared" si="0"/>
        <v>15</v>
      </c>
      <c r="T9" s="28">
        <f>HLOOKUP($T$1,$F$1:$P$48,10,FALSE)</f>
        <v>0</v>
      </c>
      <c r="U9" s="28">
        <f t="shared" si="1"/>
        <v>0</v>
      </c>
    </row>
    <row r="10" spans="1:21" x14ac:dyDescent="0.2">
      <c r="A10" s="32">
        <v>3</v>
      </c>
      <c r="B10" s="33" t="s">
        <v>86</v>
      </c>
      <c r="C10" s="34" t="s">
        <v>8</v>
      </c>
      <c r="D10" s="32">
        <v>50</v>
      </c>
      <c r="E10" s="35">
        <v>1100</v>
      </c>
      <c r="F10" s="35"/>
      <c r="G10" s="35"/>
      <c r="H10" s="35">
        <v>11000</v>
      </c>
      <c r="I10" s="35"/>
      <c r="J10" s="35"/>
      <c r="K10" s="35"/>
      <c r="L10" s="35">
        <v>11000</v>
      </c>
      <c r="M10" s="35"/>
      <c r="N10" s="35">
        <v>11000</v>
      </c>
      <c r="O10" s="35"/>
      <c r="P10" s="35"/>
      <c r="Q10" s="32">
        <f t="shared" si="2"/>
        <v>33000</v>
      </c>
      <c r="R10" s="32">
        <f t="shared" si="0"/>
        <v>30</v>
      </c>
      <c r="T10">
        <f>HLOOKUP($T$1,$F$1:$P$48,11,FALSE)</f>
        <v>0</v>
      </c>
      <c r="U10">
        <f t="shared" si="1"/>
        <v>0</v>
      </c>
    </row>
    <row r="11" spans="1:21" s="28" customFormat="1" x14ac:dyDescent="0.2">
      <c r="A11" s="36">
        <v>4</v>
      </c>
      <c r="B11" s="37" t="s">
        <v>87</v>
      </c>
      <c r="C11" s="38" t="s">
        <v>9</v>
      </c>
      <c r="D11" s="36">
        <v>50</v>
      </c>
      <c r="E11" s="39">
        <v>1000</v>
      </c>
      <c r="F11" s="39"/>
      <c r="G11" s="39"/>
      <c r="H11" s="39">
        <v>10000</v>
      </c>
      <c r="I11" s="39"/>
      <c r="J11" s="39"/>
      <c r="K11" s="39"/>
      <c r="L11" s="39">
        <v>10000</v>
      </c>
      <c r="M11" s="39">
        <v>10000</v>
      </c>
      <c r="N11" s="39">
        <v>10000</v>
      </c>
      <c r="O11" s="39"/>
      <c r="P11" s="39"/>
      <c r="Q11" s="36">
        <f t="shared" si="2"/>
        <v>40000</v>
      </c>
      <c r="R11" s="36">
        <f t="shared" si="0"/>
        <v>40</v>
      </c>
      <c r="T11" s="28">
        <f>HLOOKUP($T$1,$F$1:$P$48,12,FALSE)</f>
        <v>4800</v>
      </c>
      <c r="U11" s="28">
        <f t="shared" si="1"/>
        <v>4.8</v>
      </c>
    </row>
    <row r="12" spans="1:21" x14ac:dyDescent="0.2">
      <c r="A12" s="32">
        <v>5</v>
      </c>
      <c r="B12" s="33" t="s">
        <v>82</v>
      </c>
      <c r="C12" s="34" t="s">
        <v>10</v>
      </c>
      <c r="D12" s="32">
        <v>50</v>
      </c>
      <c r="E12" s="35">
        <v>800</v>
      </c>
      <c r="F12" s="35"/>
      <c r="G12" s="35"/>
      <c r="H12" s="35"/>
      <c r="I12" s="35">
        <v>8000</v>
      </c>
      <c r="J12" s="35"/>
      <c r="K12" s="35"/>
      <c r="L12" s="35">
        <v>4800</v>
      </c>
      <c r="M12" s="35"/>
      <c r="N12" s="35"/>
      <c r="O12" s="35">
        <v>4800</v>
      </c>
      <c r="P12" s="35"/>
      <c r="Q12" s="32">
        <f t="shared" si="2"/>
        <v>17600</v>
      </c>
      <c r="R12" s="32">
        <f t="shared" si="0"/>
        <v>22</v>
      </c>
      <c r="T12">
        <f>HLOOKUP($T$1,$F$1:$P$48,13,FALSE)</f>
        <v>0</v>
      </c>
      <c r="U12">
        <f t="shared" si="1"/>
        <v>0</v>
      </c>
    </row>
    <row r="13" spans="1:21" s="28" customFormat="1" x14ac:dyDescent="0.2">
      <c r="A13" s="36">
        <v>6</v>
      </c>
      <c r="B13" s="37" t="s">
        <v>89</v>
      </c>
      <c r="C13" s="38" t="s">
        <v>11</v>
      </c>
      <c r="D13" s="36">
        <v>50</v>
      </c>
      <c r="E13" s="39">
        <v>600</v>
      </c>
      <c r="F13" s="39"/>
      <c r="G13" s="39">
        <v>6000</v>
      </c>
      <c r="H13" s="39"/>
      <c r="I13" s="39">
        <v>12000</v>
      </c>
      <c r="J13" s="39"/>
      <c r="K13" s="39"/>
      <c r="L13" s="39">
        <v>6000</v>
      </c>
      <c r="M13" s="39"/>
      <c r="N13" s="39">
        <v>6000</v>
      </c>
      <c r="O13" s="39"/>
      <c r="P13" s="39"/>
      <c r="Q13" s="36">
        <f t="shared" si="2"/>
        <v>30000</v>
      </c>
      <c r="R13" s="36">
        <f t="shared" si="0"/>
        <v>50</v>
      </c>
      <c r="T13" s="28">
        <f>HLOOKUP($T$1,$F$1:$P$48,14,FALSE)</f>
        <v>0</v>
      </c>
      <c r="U13" s="28">
        <f t="shared" si="1"/>
        <v>0</v>
      </c>
    </row>
    <row r="14" spans="1:21" x14ac:dyDescent="0.2">
      <c r="A14" s="32" t="s">
        <v>12</v>
      </c>
      <c r="B14" s="48" t="s">
        <v>214</v>
      </c>
      <c r="C14" s="34" t="s">
        <v>213</v>
      </c>
      <c r="D14" s="32">
        <v>50</v>
      </c>
      <c r="E14" s="35">
        <v>600</v>
      </c>
      <c r="F14" s="35"/>
      <c r="G14" s="35"/>
      <c r="H14" s="35">
        <v>1200</v>
      </c>
      <c r="I14" s="35"/>
      <c r="J14" s="35"/>
      <c r="K14" s="35"/>
      <c r="L14" s="35">
        <v>1800</v>
      </c>
      <c r="M14" s="35"/>
      <c r="N14" s="35"/>
      <c r="O14" s="35"/>
      <c r="P14" s="35"/>
      <c r="Q14" s="32">
        <f t="shared" si="2"/>
        <v>3000</v>
      </c>
      <c r="R14" s="32">
        <f t="shared" si="0"/>
        <v>5</v>
      </c>
      <c r="T14">
        <f>HLOOKUP($T$1,$F$1:$P$48,15,FALSE)</f>
        <v>0</v>
      </c>
      <c r="U14">
        <f t="shared" si="1"/>
        <v>0</v>
      </c>
    </row>
    <row r="15" spans="1:21" s="28" customFormat="1" x14ac:dyDescent="0.2">
      <c r="A15" s="36">
        <v>7</v>
      </c>
      <c r="B15" s="37" t="s">
        <v>88</v>
      </c>
      <c r="C15" s="38" t="s">
        <v>14</v>
      </c>
      <c r="D15" s="36">
        <v>10</v>
      </c>
      <c r="E15" s="39">
        <v>400</v>
      </c>
      <c r="F15" s="39"/>
      <c r="G15" s="39"/>
      <c r="H15" s="39"/>
      <c r="I15" s="39"/>
      <c r="J15" s="39"/>
      <c r="K15" s="39"/>
      <c r="L15" s="39">
        <v>2000</v>
      </c>
      <c r="M15" s="39">
        <v>2000</v>
      </c>
      <c r="N15" s="39">
        <v>1200</v>
      </c>
      <c r="O15" s="39"/>
      <c r="P15" s="39"/>
      <c r="Q15" s="36">
        <f t="shared" si="2"/>
        <v>5200</v>
      </c>
      <c r="R15" s="36">
        <f t="shared" si="0"/>
        <v>13</v>
      </c>
      <c r="T15" s="28">
        <f>HLOOKUP($T$1,$F$1:$P$48,16,FALSE)</f>
        <v>400</v>
      </c>
      <c r="U15" s="28">
        <f t="shared" si="1"/>
        <v>1</v>
      </c>
    </row>
    <row r="16" spans="1:21" x14ac:dyDescent="0.2">
      <c r="A16" s="32">
        <v>8</v>
      </c>
      <c r="B16" s="33" t="s">
        <v>90</v>
      </c>
      <c r="C16" s="34" t="s">
        <v>15</v>
      </c>
      <c r="D16" s="32">
        <v>10</v>
      </c>
      <c r="E16" s="35">
        <v>400</v>
      </c>
      <c r="F16" s="35"/>
      <c r="G16" s="35">
        <v>4000</v>
      </c>
      <c r="H16" s="35"/>
      <c r="I16" s="35">
        <v>8000</v>
      </c>
      <c r="J16" s="35"/>
      <c r="K16" s="35"/>
      <c r="L16" s="35">
        <v>8000</v>
      </c>
      <c r="M16" s="35">
        <v>8000</v>
      </c>
      <c r="N16" s="35">
        <v>7600</v>
      </c>
      <c r="O16" s="35">
        <v>400</v>
      </c>
      <c r="P16" s="35"/>
      <c r="Q16" s="32">
        <f t="shared" si="2"/>
        <v>36000</v>
      </c>
      <c r="R16" s="32">
        <f t="shared" si="0"/>
        <v>90</v>
      </c>
      <c r="T16">
        <f>HLOOKUP($T$1,$F$1:$P$48,17,FALSE)</f>
        <v>6000</v>
      </c>
      <c r="U16">
        <f t="shared" si="1"/>
        <v>15</v>
      </c>
    </row>
    <row r="17" spans="1:21" s="28" customFormat="1" x14ac:dyDescent="0.2">
      <c r="A17" s="36">
        <v>9</v>
      </c>
      <c r="B17" s="37" t="s">
        <v>91</v>
      </c>
      <c r="C17" s="38" t="s">
        <v>16</v>
      </c>
      <c r="D17" s="36">
        <v>10</v>
      </c>
      <c r="E17" s="39">
        <v>300</v>
      </c>
      <c r="F17" s="39"/>
      <c r="G17" s="39">
        <v>6000</v>
      </c>
      <c r="H17" s="39">
        <v>9000</v>
      </c>
      <c r="I17" s="39">
        <v>3000</v>
      </c>
      <c r="J17" s="39">
        <v>12000</v>
      </c>
      <c r="K17" s="39">
        <v>3000</v>
      </c>
      <c r="L17" s="39"/>
      <c r="M17" s="39"/>
      <c r="N17" s="39">
        <v>3000</v>
      </c>
      <c r="O17" s="39">
        <v>6000</v>
      </c>
      <c r="P17" s="39"/>
      <c r="Q17" s="36">
        <f t="shared" si="2"/>
        <v>42000</v>
      </c>
      <c r="R17" s="36">
        <f t="shared" si="0"/>
        <v>140</v>
      </c>
      <c r="T17" s="28">
        <f>HLOOKUP($T$1,$F$1:$P$48,18,FALSE)</f>
        <v>0</v>
      </c>
      <c r="U17" s="28">
        <f t="shared" si="1"/>
        <v>0</v>
      </c>
    </row>
    <row r="18" spans="1:21" x14ac:dyDescent="0.2">
      <c r="A18" s="32" t="s">
        <v>17</v>
      </c>
      <c r="B18" s="40">
        <v>90441300</v>
      </c>
      <c r="C18" s="34" t="s">
        <v>179</v>
      </c>
      <c r="D18" s="32">
        <v>10</v>
      </c>
      <c r="E18" s="35">
        <v>300</v>
      </c>
      <c r="F18" s="35"/>
      <c r="G18" s="35"/>
      <c r="H18" s="35">
        <v>3000</v>
      </c>
      <c r="I18" s="35"/>
      <c r="J18" s="35">
        <v>3000</v>
      </c>
      <c r="K18" s="35"/>
      <c r="L18" s="35"/>
      <c r="M18" s="35"/>
      <c r="N18" s="35"/>
      <c r="O18" s="35"/>
      <c r="P18" s="35"/>
      <c r="Q18" s="32">
        <f t="shared" si="2"/>
        <v>6000</v>
      </c>
      <c r="R18" s="32">
        <f t="shared" si="0"/>
        <v>20</v>
      </c>
      <c r="T18">
        <f>HLOOKUP($T$1,$F$1:$P$48,19,FALSE)</f>
        <v>0</v>
      </c>
      <c r="U18">
        <f t="shared" si="1"/>
        <v>0</v>
      </c>
    </row>
    <row r="19" spans="1:21" x14ac:dyDescent="0.2">
      <c r="A19" s="32">
        <v>10</v>
      </c>
      <c r="B19" s="33" t="s">
        <v>94</v>
      </c>
      <c r="C19" s="34" t="s">
        <v>19</v>
      </c>
      <c r="D19" s="41">
        <v>10</v>
      </c>
      <c r="E19" s="35">
        <v>130</v>
      </c>
      <c r="F19" s="35"/>
      <c r="G19" s="35">
        <v>1300</v>
      </c>
      <c r="H19" s="35">
        <v>1300</v>
      </c>
      <c r="I19" s="35"/>
      <c r="J19" s="35">
        <v>1300</v>
      </c>
      <c r="K19" s="35"/>
      <c r="L19" s="35"/>
      <c r="M19" s="35"/>
      <c r="N19" s="35"/>
      <c r="O19" s="35"/>
      <c r="P19" s="35"/>
      <c r="Q19" s="32">
        <f t="shared" si="2"/>
        <v>3900</v>
      </c>
      <c r="R19" s="32">
        <f t="shared" si="0"/>
        <v>30</v>
      </c>
      <c r="T19">
        <f>HLOOKUP($T$1,$F$1:$P$48,21,FALSE)</f>
        <v>13200</v>
      </c>
      <c r="U19">
        <f t="shared" si="1"/>
        <v>101.53846153846153</v>
      </c>
    </row>
    <row r="20" spans="1:21" x14ac:dyDescent="0.2">
      <c r="A20" s="32">
        <v>12</v>
      </c>
      <c r="B20" s="33" t="s">
        <v>95</v>
      </c>
      <c r="C20" s="34" t="s">
        <v>21</v>
      </c>
      <c r="D20" s="32">
        <v>10</v>
      </c>
      <c r="E20" s="35">
        <v>80</v>
      </c>
      <c r="F20" s="35"/>
      <c r="G20" s="35"/>
      <c r="H20" s="35">
        <v>800</v>
      </c>
      <c r="I20" s="35"/>
      <c r="J20" s="35">
        <v>1600</v>
      </c>
      <c r="K20" s="35"/>
      <c r="L20" s="35"/>
      <c r="M20" s="35"/>
      <c r="N20" s="35"/>
      <c r="O20" s="35"/>
      <c r="P20" s="35"/>
      <c r="Q20" s="32">
        <f t="shared" si="2"/>
        <v>2400</v>
      </c>
      <c r="R20" s="32">
        <f t="shared" si="0"/>
        <v>30</v>
      </c>
      <c r="T20">
        <f>HLOOKUP($T$1,$F$1:$P$48,23,FALSE)</f>
        <v>0</v>
      </c>
      <c r="U20">
        <f t="shared" si="1"/>
        <v>0</v>
      </c>
    </row>
    <row r="21" spans="1:21" s="28" customFormat="1" x14ac:dyDescent="0.2">
      <c r="A21" s="36">
        <v>13</v>
      </c>
      <c r="B21" s="37" t="s">
        <v>99</v>
      </c>
      <c r="C21" s="38" t="s">
        <v>22</v>
      </c>
      <c r="D21" s="36">
        <v>100</v>
      </c>
      <c r="E21" s="39">
        <v>1200</v>
      </c>
      <c r="F21" s="39"/>
      <c r="G21" s="39">
        <v>24000</v>
      </c>
      <c r="H21" s="39">
        <v>24000</v>
      </c>
      <c r="I21" s="39"/>
      <c r="J21" s="39">
        <v>25200</v>
      </c>
      <c r="K21" s="39"/>
      <c r="L21" s="39">
        <v>12000</v>
      </c>
      <c r="M21" s="39">
        <v>3600</v>
      </c>
      <c r="N21" s="39">
        <v>7200</v>
      </c>
      <c r="O21" s="39">
        <v>13200</v>
      </c>
      <c r="P21" s="39"/>
      <c r="Q21" s="36">
        <f t="shared" si="2"/>
        <v>109200</v>
      </c>
      <c r="R21" s="36">
        <f t="shared" si="0"/>
        <v>91</v>
      </c>
      <c r="T21" s="28">
        <f>HLOOKUP($T$1,$F$1:$P$48,24,FALSE)</f>
        <v>0</v>
      </c>
      <c r="U21" s="28">
        <f t="shared" si="1"/>
        <v>0</v>
      </c>
    </row>
    <row r="22" spans="1:21" x14ac:dyDescent="0.2">
      <c r="A22" s="32">
        <v>14</v>
      </c>
      <c r="B22" s="33" t="s">
        <v>102</v>
      </c>
      <c r="C22" s="34" t="s">
        <v>23</v>
      </c>
      <c r="D22" s="32">
        <v>100</v>
      </c>
      <c r="E22" s="35">
        <v>1000</v>
      </c>
      <c r="F22" s="35"/>
      <c r="G22" s="35">
        <v>5000</v>
      </c>
      <c r="H22" s="35"/>
      <c r="I22" s="35">
        <v>6000</v>
      </c>
      <c r="J22" s="35">
        <v>12000</v>
      </c>
      <c r="K22" s="35">
        <v>5000</v>
      </c>
      <c r="L22" s="35"/>
      <c r="M22" s="35">
        <v>6000</v>
      </c>
      <c r="N22" s="35">
        <v>5000</v>
      </c>
      <c r="O22" s="35"/>
      <c r="P22" s="35"/>
      <c r="Q22" s="32">
        <f t="shared" si="2"/>
        <v>39000</v>
      </c>
      <c r="R22" s="32">
        <f t="shared" si="0"/>
        <v>39</v>
      </c>
      <c r="T22">
        <f>HLOOKUP($T$1,$F$1:$P$48,25,FALSE)</f>
        <v>550</v>
      </c>
      <c r="U22">
        <f t="shared" si="1"/>
        <v>0.55000000000000004</v>
      </c>
    </row>
    <row r="23" spans="1:21" s="28" customFormat="1" x14ac:dyDescent="0.2">
      <c r="A23" s="36">
        <v>15</v>
      </c>
      <c r="B23" s="37" t="s">
        <v>97</v>
      </c>
      <c r="C23" s="38" t="s">
        <v>24</v>
      </c>
      <c r="D23" s="36">
        <v>50</v>
      </c>
      <c r="E23" s="39">
        <v>2800</v>
      </c>
      <c r="F23" s="39"/>
      <c r="G23" s="39">
        <v>8400</v>
      </c>
      <c r="H23" s="39"/>
      <c r="I23" s="39">
        <v>8400</v>
      </c>
      <c r="J23" s="39"/>
      <c r="K23" s="39"/>
      <c r="L23" s="39"/>
      <c r="M23" s="39">
        <v>5600</v>
      </c>
      <c r="N23" s="39">
        <v>8400</v>
      </c>
      <c r="O23" s="39"/>
      <c r="P23" s="39"/>
      <c r="Q23" s="36">
        <f t="shared" si="2"/>
        <v>30800</v>
      </c>
      <c r="R23" s="36">
        <f t="shared" si="0"/>
        <v>11</v>
      </c>
      <c r="T23" s="28">
        <f>HLOOKUP($T$1,$F$1:$P$48,26,FALSE)</f>
        <v>2400</v>
      </c>
      <c r="U23" s="28">
        <f t="shared" si="1"/>
        <v>0.8571428571428571</v>
      </c>
    </row>
    <row r="24" spans="1:21" x14ac:dyDescent="0.2">
      <c r="A24" s="32">
        <v>16</v>
      </c>
      <c r="B24" s="33" t="s">
        <v>98</v>
      </c>
      <c r="C24" s="34" t="s">
        <v>25</v>
      </c>
      <c r="D24" s="32">
        <v>50</v>
      </c>
      <c r="E24" s="35">
        <v>550</v>
      </c>
      <c r="F24" s="35"/>
      <c r="G24" s="35">
        <v>5500</v>
      </c>
      <c r="H24" s="35"/>
      <c r="I24" s="35">
        <v>5500</v>
      </c>
      <c r="J24" s="35"/>
      <c r="K24" s="35"/>
      <c r="L24" s="35"/>
      <c r="M24" s="35">
        <v>1650</v>
      </c>
      <c r="N24" s="35"/>
      <c r="O24" s="35"/>
      <c r="P24" s="35"/>
      <c r="Q24" s="32">
        <f t="shared" si="2"/>
        <v>12650</v>
      </c>
      <c r="R24" s="32">
        <f t="shared" si="0"/>
        <v>23</v>
      </c>
      <c r="T24">
        <f>HLOOKUP($T$1,$F$1:$P$48,27,FALSE)</f>
        <v>0</v>
      </c>
      <c r="U24">
        <f t="shared" si="1"/>
        <v>0</v>
      </c>
    </row>
    <row r="25" spans="1:21" s="28" customFormat="1" x14ac:dyDescent="0.2">
      <c r="A25" s="36" t="s">
        <v>141</v>
      </c>
      <c r="B25" s="37" t="s">
        <v>142</v>
      </c>
      <c r="C25" s="38" t="s">
        <v>143</v>
      </c>
      <c r="D25" s="36">
        <v>50</v>
      </c>
      <c r="E25" s="39">
        <v>550</v>
      </c>
      <c r="F25" s="39"/>
      <c r="G25" s="39">
        <v>5500</v>
      </c>
      <c r="H25" s="39"/>
      <c r="I25" s="39">
        <v>1100</v>
      </c>
      <c r="J25" s="39"/>
      <c r="K25" s="39"/>
      <c r="L25" s="39"/>
      <c r="M25" s="39"/>
      <c r="N25" s="39"/>
      <c r="O25" s="39">
        <v>550</v>
      </c>
      <c r="P25" s="39"/>
      <c r="Q25" s="36">
        <f t="shared" si="2"/>
        <v>7150</v>
      </c>
      <c r="R25" s="36">
        <f t="shared" si="0"/>
        <v>13</v>
      </c>
      <c r="T25" s="28">
        <f>HLOOKUP($T$1,$F$1:$P$48,28,FALSE)</f>
        <v>0</v>
      </c>
      <c r="U25" s="28">
        <f t="shared" si="1"/>
        <v>0</v>
      </c>
    </row>
    <row r="26" spans="1:21" x14ac:dyDescent="0.2">
      <c r="A26" s="32" t="s">
        <v>181</v>
      </c>
      <c r="B26" s="33" t="s">
        <v>170</v>
      </c>
      <c r="C26" s="34" t="s">
        <v>171</v>
      </c>
      <c r="D26" s="32">
        <v>10</v>
      </c>
      <c r="E26" s="35">
        <v>1200</v>
      </c>
      <c r="F26" s="35"/>
      <c r="G26" s="35"/>
      <c r="H26" s="35"/>
      <c r="I26" s="35"/>
      <c r="J26" s="35"/>
      <c r="K26" s="35"/>
      <c r="L26" s="35"/>
      <c r="M26" s="35">
        <v>3600</v>
      </c>
      <c r="N26" s="35"/>
      <c r="O26" s="35">
        <v>2400</v>
      </c>
      <c r="P26" s="35"/>
      <c r="Q26" s="32">
        <f t="shared" si="2"/>
        <v>6000</v>
      </c>
      <c r="R26" s="32">
        <f t="shared" si="0"/>
        <v>5</v>
      </c>
      <c r="T26">
        <f>HLOOKUP($T$1,$F$1:$P$48,29,FALSE)</f>
        <v>2250</v>
      </c>
      <c r="U26">
        <f t="shared" si="1"/>
        <v>1.875</v>
      </c>
    </row>
    <row r="27" spans="1:21" s="28" customFormat="1" x14ac:dyDescent="0.2">
      <c r="A27" s="36" t="s">
        <v>232</v>
      </c>
      <c r="B27" s="37" t="s">
        <v>195</v>
      </c>
      <c r="C27" s="38" t="s">
        <v>197</v>
      </c>
      <c r="D27" s="36">
        <v>10</v>
      </c>
      <c r="E27" s="39">
        <v>1300</v>
      </c>
      <c r="F27" s="39"/>
      <c r="G27" s="39"/>
      <c r="H27" s="39"/>
      <c r="I27" s="39"/>
      <c r="J27" s="39"/>
      <c r="K27" s="39"/>
      <c r="L27" s="39"/>
      <c r="M27" s="39">
        <v>1300</v>
      </c>
      <c r="N27" s="39"/>
      <c r="O27" s="39"/>
      <c r="P27" s="39"/>
      <c r="Q27" s="36">
        <f>SUM(F27:P27)</f>
        <v>1300</v>
      </c>
      <c r="R27" s="36">
        <f>Q27/E27</f>
        <v>1</v>
      </c>
      <c r="T27" s="28">
        <f>HLOOKUP($T$1,$F$1:$P$48,31,FALSE)</f>
        <v>0</v>
      </c>
      <c r="U27" s="28">
        <f t="shared" si="1"/>
        <v>0</v>
      </c>
    </row>
    <row r="28" spans="1:21" x14ac:dyDescent="0.2">
      <c r="A28" s="32" t="s">
        <v>233</v>
      </c>
      <c r="B28" s="33" t="s">
        <v>196</v>
      </c>
      <c r="C28" s="34" t="s">
        <v>198</v>
      </c>
      <c r="D28" s="32">
        <v>10</v>
      </c>
      <c r="E28" s="35">
        <v>800</v>
      </c>
      <c r="F28" s="35"/>
      <c r="G28" s="35"/>
      <c r="H28" s="35"/>
      <c r="I28" s="35"/>
      <c r="J28" s="35"/>
      <c r="K28" s="35"/>
      <c r="L28" s="35"/>
      <c r="M28" s="35">
        <v>800</v>
      </c>
      <c r="N28" s="35"/>
      <c r="O28" s="35"/>
      <c r="P28" s="35"/>
      <c r="Q28" s="32">
        <f>SUM(F28:P28)</f>
        <v>800</v>
      </c>
      <c r="R28" s="32">
        <f>Q28/E28</f>
        <v>1</v>
      </c>
      <c r="T28">
        <f>HLOOKUP($T$1,$F$1:$P$48,33,FALSE)</f>
        <v>2300</v>
      </c>
      <c r="U28">
        <f t="shared" si="1"/>
        <v>2.875</v>
      </c>
    </row>
    <row r="29" spans="1:21" x14ac:dyDescent="0.2">
      <c r="A29" s="32"/>
      <c r="B29" s="33" t="s">
        <v>206</v>
      </c>
      <c r="C29" s="34" t="s">
        <v>207</v>
      </c>
      <c r="D29" s="32">
        <v>10</v>
      </c>
      <c r="E29" s="35">
        <v>450</v>
      </c>
      <c r="F29" s="35"/>
      <c r="G29" s="35">
        <v>2250</v>
      </c>
      <c r="H29" s="35">
        <v>2250</v>
      </c>
      <c r="I29" s="35"/>
      <c r="J29" s="35"/>
      <c r="K29" s="35"/>
      <c r="L29" s="35">
        <v>1800</v>
      </c>
      <c r="M29" s="35"/>
      <c r="N29" s="35"/>
      <c r="O29" s="35">
        <v>2250</v>
      </c>
      <c r="P29" s="35"/>
      <c r="Q29" s="32">
        <f>SUM(F29:P29)</f>
        <v>8550</v>
      </c>
      <c r="R29" s="32">
        <f t="shared" si="0"/>
        <v>19</v>
      </c>
      <c r="T29">
        <f>HLOOKUP($T$1,$F$1:$P$48,35,FALSE)</f>
        <v>0</v>
      </c>
      <c r="U29">
        <f t="shared" si="1"/>
        <v>0</v>
      </c>
    </row>
    <row r="30" spans="1:21" x14ac:dyDescent="0.2">
      <c r="A30" s="32"/>
      <c r="B30" s="40">
        <v>90442200</v>
      </c>
      <c r="C30" s="34" t="s">
        <v>238</v>
      </c>
      <c r="D30" s="32">
        <v>10</v>
      </c>
      <c r="E30" s="35">
        <v>450</v>
      </c>
      <c r="F30" s="35"/>
      <c r="G30" s="35"/>
      <c r="H30" s="35"/>
      <c r="I30" s="35"/>
      <c r="J30" s="35"/>
      <c r="K30" s="35"/>
      <c r="L30" s="35">
        <v>3150</v>
      </c>
      <c r="M30" s="35">
        <v>3150</v>
      </c>
      <c r="N30" s="35"/>
      <c r="O30" s="35"/>
      <c r="P30" s="35"/>
      <c r="Q30" s="32">
        <f t="shared" ref="Q30" si="3">SUM(F30:P30)</f>
        <v>6300</v>
      </c>
      <c r="R30" s="32">
        <f t="shared" ref="R30" si="4">Q30/E30</f>
        <v>14</v>
      </c>
      <c r="T30">
        <f>HLOOKUP($T$1,$F$1:$P$48,36,FALSE)</f>
        <v>0</v>
      </c>
      <c r="U30">
        <f t="shared" si="1"/>
        <v>0</v>
      </c>
    </row>
    <row r="31" spans="1:21" s="28" customFormat="1" x14ac:dyDescent="0.2">
      <c r="A31" s="36" t="s">
        <v>193</v>
      </c>
      <c r="B31" s="42">
        <v>90447000</v>
      </c>
      <c r="C31" s="38" t="s">
        <v>29</v>
      </c>
      <c r="D31" s="36">
        <v>10</v>
      </c>
      <c r="E31" s="39">
        <v>270</v>
      </c>
      <c r="F31" s="39"/>
      <c r="G31" s="39"/>
      <c r="H31" s="39"/>
      <c r="I31" s="39"/>
      <c r="J31" s="39"/>
      <c r="K31" s="39">
        <v>9450</v>
      </c>
      <c r="L31" s="39">
        <v>10800</v>
      </c>
      <c r="M31" s="39">
        <v>8910</v>
      </c>
      <c r="N31" s="39"/>
      <c r="O31" s="39"/>
      <c r="P31" s="39"/>
      <c r="Q31" s="36">
        <f t="shared" si="2"/>
        <v>29160</v>
      </c>
      <c r="R31" s="36">
        <f t="shared" si="0"/>
        <v>108</v>
      </c>
      <c r="T31" s="28">
        <f>HLOOKUP($T$1,$F$1:$P$48,39,FALSE)</f>
        <v>2100</v>
      </c>
      <c r="U31" s="28">
        <f t="shared" si="1"/>
        <v>7.7777777777777777</v>
      </c>
    </row>
    <row r="32" spans="1:21" x14ac:dyDescent="0.2">
      <c r="A32" s="32">
        <v>21</v>
      </c>
      <c r="B32" s="33" t="s">
        <v>30</v>
      </c>
      <c r="C32" s="34" t="s">
        <v>31</v>
      </c>
      <c r="D32" s="32">
        <v>10</v>
      </c>
      <c r="E32" s="35">
        <v>230</v>
      </c>
      <c r="F32" s="35"/>
      <c r="G32" s="35">
        <v>2300</v>
      </c>
      <c r="H32" s="35">
        <v>2300</v>
      </c>
      <c r="I32" s="35"/>
      <c r="J32" s="35">
        <v>2300</v>
      </c>
      <c r="K32" s="35"/>
      <c r="L32" s="35"/>
      <c r="M32" s="35"/>
      <c r="N32" s="35">
        <v>2300</v>
      </c>
      <c r="O32" s="35"/>
      <c r="P32" s="35"/>
      <c r="Q32" s="32">
        <f t="shared" si="2"/>
        <v>9200</v>
      </c>
      <c r="R32" s="32">
        <f t="shared" si="0"/>
        <v>40</v>
      </c>
      <c r="T32">
        <f>HLOOKUP($T$1,$F$1:$P$48,40,FALSE)</f>
        <v>0</v>
      </c>
      <c r="U32">
        <f t="shared" si="1"/>
        <v>0</v>
      </c>
    </row>
    <row r="33" spans="1:21" s="28" customFormat="1" x14ac:dyDescent="0.2">
      <c r="A33" s="36" t="s">
        <v>194</v>
      </c>
      <c r="B33" s="42">
        <v>90442300</v>
      </c>
      <c r="C33" s="38" t="s">
        <v>173</v>
      </c>
      <c r="D33" s="36">
        <v>10</v>
      </c>
      <c r="E33" s="39">
        <v>230</v>
      </c>
      <c r="F33" s="39"/>
      <c r="G33" s="39">
        <v>2300</v>
      </c>
      <c r="H33" s="39"/>
      <c r="I33" s="39"/>
      <c r="J33" s="39">
        <v>2300</v>
      </c>
      <c r="K33" s="39"/>
      <c r="L33" s="39"/>
      <c r="M33" s="39"/>
      <c r="N33" s="39"/>
      <c r="O33" s="39">
        <v>2300</v>
      </c>
      <c r="P33" s="39"/>
      <c r="Q33" s="36">
        <f t="shared" si="2"/>
        <v>6900</v>
      </c>
      <c r="R33" s="36">
        <f t="shared" si="0"/>
        <v>30</v>
      </c>
      <c r="T33" s="28">
        <f>HLOOKUP($T$1,$F$1:$P$48,41,FALSE)</f>
        <v>1600</v>
      </c>
      <c r="U33" s="28">
        <f t="shared" si="1"/>
        <v>6.9565217391304346</v>
      </c>
    </row>
    <row r="34" spans="1:21" s="28" customFormat="1" x14ac:dyDescent="0.2">
      <c r="A34" s="36">
        <v>23</v>
      </c>
      <c r="B34" s="37" t="s">
        <v>35</v>
      </c>
      <c r="C34" s="38" t="s">
        <v>36</v>
      </c>
      <c r="D34" s="36">
        <v>5</v>
      </c>
      <c r="E34" s="39">
        <v>50</v>
      </c>
      <c r="F34" s="39"/>
      <c r="G34" s="39"/>
      <c r="H34" s="39">
        <v>500</v>
      </c>
      <c r="I34" s="39"/>
      <c r="J34" s="39">
        <v>1000</v>
      </c>
      <c r="K34" s="39"/>
      <c r="L34" s="39"/>
      <c r="M34" s="39"/>
      <c r="N34" s="39">
        <v>1000</v>
      </c>
      <c r="O34" s="39"/>
      <c r="P34" s="39"/>
      <c r="Q34" s="36">
        <f t="shared" si="2"/>
        <v>2500</v>
      </c>
      <c r="R34" s="36">
        <f t="shared" si="0"/>
        <v>50</v>
      </c>
      <c r="T34" s="28">
        <f>HLOOKUP($T$1,$F$1:$P$48,43,FALSE)</f>
        <v>0</v>
      </c>
      <c r="U34" s="28">
        <f t="shared" si="1"/>
        <v>0</v>
      </c>
    </row>
    <row r="35" spans="1:21" x14ac:dyDescent="0.2">
      <c r="A35" s="32">
        <v>24</v>
      </c>
      <c r="B35" s="33" t="s">
        <v>101</v>
      </c>
      <c r="C35" s="34" t="s">
        <v>37</v>
      </c>
      <c r="D35" s="32">
        <v>50</v>
      </c>
      <c r="E35" s="35">
        <v>600</v>
      </c>
      <c r="F35" s="35"/>
      <c r="G35" s="35"/>
      <c r="H35" s="35"/>
      <c r="I35" s="35"/>
      <c r="J35" s="35"/>
      <c r="K35" s="35"/>
      <c r="L35" s="35">
        <v>1200</v>
      </c>
      <c r="M35" s="35"/>
      <c r="N35" s="35">
        <v>1200</v>
      </c>
      <c r="O35" s="35"/>
      <c r="P35" s="35"/>
      <c r="Q35" s="32">
        <f t="shared" si="2"/>
        <v>2400</v>
      </c>
      <c r="R35" s="32">
        <f t="shared" si="0"/>
        <v>4</v>
      </c>
      <c r="T35">
        <f>HLOOKUP($T$1,$F$1:$P$48,44,FALSE)</f>
        <v>0</v>
      </c>
      <c r="U35">
        <f t="shared" si="1"/>
        <v>0</v>
      </c>
    </row>
    <row r="36" spans="1:21" s="28" customFormat="1" x14ac:dyDescent="0.2">
      <c r="A36" s="36">
        <v>25</v>
      </c>
      <c r="B36" s="42" t="s">
        <v>200</v>
      </c>
      <c r="C36" s="38" t="s">
        <v>201</v>
      </c>
      <c r="D36" s="36">
        <v>50</v>
      </c>
      <c r="E36" s="36">
        <v>800</v>
      </c>
      <c r="F36" s="39"/>
      <c r="G36" s="39">
        <v>2400</v>
      </c>
      <c r="H36" s="39">
        <v>2400</v>
      </c>
      <c r="I36" s="39"/>
      <c r="J36" s="39"/>
      <c r="K36" s="39"/>
      <c r="L36" s="39"/>
      <c r="M36" s="39"/>
      <c r="N36" s="39"/>
      <c r="O36" s="39"/>
      <c r="P36" s="39"/>
      <c r="Q36" s="36">
        <f t="shared" si="2"/>
        <v>4800</v>
      </c>
      <c r="R36" s="36">
        <f t="shared" si="0"/>
        <v>6</v>
      </c>
      <c r="T36" s="28">
        <f>HLOOKUP($T$1,$F$1:$P$48,45,FALSE)</f>
        <v>0</v>
      </c>
      <c r="U36" s="28">
        <f t="shared" si="1"/>
        <v>0</v>
      </c>
    </row>
    <row r="37" spans="1:21" s="28" customFormat="1" x14ac:dyDescent="0.2">
      <c r="A37" s="36" t="s">
        <v>234</v>
      </c>
      <c r="B37" s="42" t="s">
        <v>200</v>
      </c>
      <c r="C37" s="38" t="s">
        <v>201</v>
      </c>
      <c r="D37" s="36">
        <v>10</v>
      </c>
      <c r="E37" s="36">
        <v>800</v>
      </c>
      <c r="F37" s="39"/>
      <c r="G37" s="39"/>
      <c r="H37" s="39"/>
      <c r="I37" s="39"/>
      <c r="J37" s="39"/>
      <c r="K37" s="39"/>
      <c r="L37" s="39">
        <v>1600</v>
      </c>
      <c r="M37" s="39"/>
      <c r="N37" s="39"/>
      <c r="O37" s="39">
        <v>3200</v>
      </c>
      <c r="P37" s="39"/>
      <c r="Q37" s="36">
        <f>SUM(F37:P37)</f>
        <v>4800</v>
      </c>
      <c r="R37" s="36">
        <f>Q37/E37</f>
        <v>6</v>
      </c>
      <c r="T37" s="28">
        <f>HLOOKUP($T$1,$F$1:$P$48,46,FALSE)</f>
        <v>0</v>
      </c>
      <c r="U37" s="28">
        <f t="shared" si="1"/>
        <v>0</v>
      </c>
    </row>
    <row r="38" spans="1:21" s="28" customFormat="1" x14ac:dyDescent="0.2">
      <c r="A38" s="36"/>
      <c r="B38" s="42" t="s">
        <v>210</v>
      </c>
      <c r="C38" s="38" t="s">
        <v>211</v>
      </c>
      <c r="D38" s="36">
        <v>10</v>
      </c>
      <c r="E38" s="36">
        <v>300</v>
      </c>
      <c r="F38" s="39"/>
      <c r="G38" s="39"/>
      <c r="H38" s="39">
        <v>1200</v>
      </c>
      <c r="I38" s="39"/>
      <c r="J38" s="39">
        <v>1200</v>
      </c>
      <c r="K38" s="39"/>
      <c r="L38" s="39"/>
      <c r="M38" s="39"/>
      <c r="N38" s="39"/>
      <c r="O38" s="39">
        <v>600</v>
      </c>
      <c r="P38" s="39"/>
      <c r="Q38" s="36">
        <f>SUM(F38:P38)</f>
        <v>3000</v>
      </c>
      <c r="R38" s="36">
        <f t="shared" si="0"/>
        <v>10</v>
      </c>
      <c r="T38" s="28">
        <f>HLOOKUP($T$1,$F$1:$P$48,48,FALSE)</f>
        <v>49400</v>
      </c>
      <c r="U38" s="28">
        <f t="shared" si="1"/>
        <v>164.66666666666666</v>
      </c>
    </row>
    <row r="39" spans="1:21" s="28" customFormat="1" x14ac:dyDescent="0.2">
      <c r="A39" s="36"/>
      <c r="B39" s="42">
        <v>90443200</v>
      </c>
      <c r="C39" s="38" t="s">
        <v>237</v>
      </c>
      <c r="D39" s="36">
        <v>10</v>
      </c>
      <c r="E39" s="36">
        <v>300</v>
      </c>
      <c r="F39" s="39"/>
      <c r="G39" s="39"/>
      <c r="H39" s="39"/>
      <c r="I39" s="39"/>
      <c r="J39" s="39"/>
      <c r="K39" s="39"/>
      <c r="L39" s="39">
        <v>3000</v>
      </c>
      <c r="M39" s="39">
        <v>3000</v>
      </c>
      <c r="N39" s="39"/>
      <c r="O39" s="39">
        <v>2100</v>
      </c>
      <c r="P39" s="39"/>
      <c r="Q39" s="36">
        <f t="shared" ref="Q39" si="5">SUM(F39:P39)</f>
        <v>8100</v>
      </c>
      <c r="R39" s="36">
        <f t="shared" ref="R39" si="6">Q39/E39</f>
        <v>27</v>
      </c>
      <c r="T39" s="28" t="e">
        <f>HLOOKUP($T$1,$F$1:$P$48,49,FALSE)</f>
        <v>#REF!</v>
      </c>
      <c r="U39" s="28" t="e">
        <f t="shared" si="1"/>
        <v>#REF!</v>
      </c>
    </row>
    <row r="40" spans="1:21" x14ac:dyDescent="0.2">
      <c r="A40" s="32">
        <v>26</v>
      </c>
      <c r="B40" s="40" t="s">
        <v>157</v>
      </c>
      <c r="C40" s="34" t="s">
        <v>160</v>
      </c>
      <c r="D40" s="32">
        <v>10</v>
      </c>
      <c r="E40" s="32">
        <v>160</v>
      </c>
      <c r="F40" s="35"/>
      <c r="G40" s="35">
        <v>1600</v>
      </c>
      <c r="H40" s="35">
        <v>1600</v>
      </c>
      <c r="I40" s="35"/>
      <c r="J40" s="35">
        <v>1600</v>
      </c>
      <c r="K40" s="35"/>
      <c r="L40" s="35"/>
      <c r="M40" s="35"/>
      <c r="N40" s="35"/>
      <c r="O40" s="35"/>
      <c r="P40" s="35"/>
      <c r="Q40" s="32">
        <f t="shared" si="2"/>
        <v>4800</v>
      </c>
      <c r="R40" s="32">
        <f t="shared" si="0"/>
        <v>30</v>
      </c>
      <c r="T40" t="e">
        <f>HLOOKUP($T$1,$F$1:$P$48,50,FALSE)</f>
        <v>#REF!</v>
      </c>
      <c r="U40" t="e">
        <f t="shared" si="1"/>
        <v>#REF!</v>
      </c>
    </row>
    <row r="41" spans="1:21" s="28" customFormat="1" x14ac:dyDescent="0.2">
      <c r="A41" s="36" t="s">
        <v>199</v>
      </c>
      <c r="B41" s="42">
        <v>90443300</v>
      </c>
      <c r="C41" s="38" t="s">
        <v>172</v>
      </c>
      <c r="D41" s="36">
        <v>10</v>
      </c>
      <c r="E41" s="36">
        <v>160</v>
      </c>
      <c r="F41" s="39"/>
      <c r="G41" s="39">
        <v>1600</v>
      </c>
      <c r="H41" s="39">
        <v>1600</v>
      </c>
      <c r="I41" s="39"/>
      <c r="J41" s="39">
        <v>1600</v>
      </c>
      <c r="K41" s="39"/>
      <c r="L41" s="39">
        <v>1600</v>
      </c>
      <c r="M41" s="39"/>
      <c r="N41" s="39"/>
      <c r="O41" s="39">
        <v>1600</v>
      </c>
      <c r="P41" s="39"/>
      <c r="Q41" s="36">
        <f t="shared" si="2"/>
        <v>8000</v>
      </c>
      <c r="R41" s="36">
        <f t="shared" si="0"/>
        <v>50</v>
      </c>
      <c r="T41" s="28" t="e">
        <f>HLOOKUP($T$1,$F$1:$P$48,51,FALSE)</f>
        <v>#REF!</v>
      </c>
      <c r="U41" s="28" t="e">
        <f t="shared" si="1"/>
        <v>#REF!</v>
      </c>
    </row>
    <row r="42" spans="1:21" x14ac:dyDescent="0.2">
      <c r="A42" s="32">
        <v>27</v>
      </c>
      <c r="B42" s="40" t="s">
        <v>158</v>
      </c>
      <c r="C42" s="34" t="s">
        <v>161</v>
      </c>
      <c r="D42" s="32">
        <v>5</v>
      </c>
      <c r="E42" s="32">
        <v>35</v>
      </c>
      <c r="F42" s="35"/>
      <c r="G42" s="35"/>
      <c r="H42" s="35"/>
      <c r="I42" s="35"/>
      <c r="J42" s="35">
        <v>700</v>
      </c>
      <c r="K42" s="35"/>
      <c r="L42" s="35"/>
      <c r="M42" s="35"/>
      <c r="N42" s="35"/>
      <c r="O42" s="35"/>
      <c r="P42" s="35"/>
      <c r="Q42" s="32">
        <f t="shared" si="2"/>
        <v>700</v>
      </c>
      <c r="R42" s="32">
        <f t="shared" si="0"/>
        <v>20</v>
      </c>
      <c r="T42" t="e">
        <f>HLOOKUP($T$1,$F$1:$P$48,52,FALSE)</f>
        <v>#REF!</v>
      </c>
      <c r="U42" t="e">
        <f t="shared" si="1"/>
        <v>#REF!</v>
      </c>
    </row>
    <row r="43" spans="1:21" s="28" customFormat="1" x14ac:dyDescent="0.2">
      <c r="A43" s="36">
        <v>28</v>
      </c>
      <c r="B43" s="37" t="s">
        <v>159</v>
      </c>
      <c r="C43" s="38" t="s">
        <v>162</v>
      </c>
      <c r="D43" s="36">
        <v>50</v>
      </c>
      <c r="E43" s="39">
        <v>350</v>
      </c>
      <c r="F43" s="39"/>
      <c r="G43" s="39"/>
      <c r="H43" s="39"/>
      <c r="I43" s="39"/>
      <c r="J43" s="39"/>
      <c r="K43" s="39">
        <v>1050</v>
      </c>
      <c r="L43" s="39"/>
      <c r="M43" s="39"/>
      <c r="N43" s="39">
        <v>1050</v>
      </c>
      <c r="O43" s="39"/>
      <c r="P43" s="39"/>
      <c r="Q43" s="36">
        <f t="shared" si="2"/>
        <v>2100</v>
      </c>
      <c r="R43" s="36">
        <f t="shared" si="0"/>
        <v>6</v>
      </c>
      <c r="T43" s="28" t="e">
        <f>HLOOKUP($T$1,$F$1:$P$48,53,FALSE)</f>
        <v>#REF!</v>
      </c>
      <c r="U43" s="28" t="e">
        <f t="shared" si="1"/>
        <v>#REF!</v>
      </c>
    </row>
    <row r="44" spans="1:21" x14ac:dyDescent="0.2">
      <c r="A44" s="32">
        <v>31</v>
      </c>
      <c r="B44" s="33" t="s">
        <v>100</v>
      </c>
      <c r="C44" s="34" t="s">
        <v>40</v>
      </c>
      <c r="D44" s="32">
        <v>50</v>
      </c>
      <c r="E44" s="35">
        <v>1750</v>
      </c>
      <c r="F44" s="35"/>
      <c r="G44" s="35"/>
      <c r="H44" s="35">
        <v>5250</v>
      </c>
      <c r="I44" s="35"/>
      <c r="J44" s="35">
        <v>5250</v>
      </c>
      <c r="K44" s="35">
        <v>5250</v>
      </c>
      <c r="L44" s="35"/>
      <c r="M44" s="35">
        <v>7000</v>
      </c>
      <c r="N44" s="35">
        <v>7000</v>
      </c>
      <c r="O44" s="35"/>
      <c r="P44" s="35"/>
      <c r="Q44" s="32">
        <f t="shared" si="2"/>
        <v>29750</v>
      </c>
      <c r="R44" s="32">
        <f t="shared" si="0"/>
        <v>17</v>
      </c>
      <c r="T44" t="e">
        <f>HLOOKUP($T$1,$F$1:$P$48,56,FALSE)</f>
        <v>#REF!</v>
      </c>
      <c r="U44" t="e">
        <f t="shared" si="1"/>
        <v>#REF!</v>
      </c>
    </row>
    <row r="45" spans="1:21" x14ac:dyDescent="0.2">
      <c r="A45" s="32">
        <v>33</v>
      </c>
      <c r="B45" s="33" t="s">
        <v>151</v>
      </c>
      <c r="C45" s="34" t="s">
        <v>154</v>
      </c>
      <c r="D45" s="32">
        <v>0</v>
      </c>
      <c r="E45" s="35">
        <v>360</v>
      </c>
      <c r="F45" s="35">
        <v>2160</v>
      </c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2">
        <f t="shared" si="2"/>
        <v>2160</v>
      </c>
      <c r="R45" s="32">
        <f t="shared" si="0"/>
        <v>6</v>
      </c>
      <c r="T45" t="e">
        <f>HLOOKUP($T$1,$F$1:$P$48,58,FALSE)</f>
        <v>#REF!</v>
      </c>
      <c r="U45" t="e">
        <f t="shared" si="1"/>
        <v>#REF!</v>
      </c>
    </row>
    <row r="46" spans="1:21" s="28" customFormat="1" x14ac:dyDescent="0.2">
      <c r="A46" s="36">
        <v>34</v>
      </c>
      <c r="B46" s="37" t="s">
        <v>152</v>
      </c>
      <c r="C46" s="38" t="s">
        <v>153</v>
      </c>
      <c r="D46" s="36">
        <v>0</v>
      </c>
      <c r="E46" s="39">
        <v>150</v>
      </c>
      <c r="F46" s="39">
        <v>1050</v>
      </c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6">
        <f t="shared" si="2"/>
        <v>1050</v>
      </c>
      <c r="R46" s="36">
        <f t="shared" si="0"/>
        <v>7</v>
      </c>
      <c r="T46" s="28" t="e">
        <f>HLOOKUP($T$1,$F$1:$P$48,59,FALSE)</f>
        <v>#REF!</v>
      </c>
      <c r="U46" s="28" t="e">
        <f t="shared" si="1"/>
        <v>#REF!</v>
      </c>
    </row>
    <row r="47" spans="1:21" x14ac:dyDescent="0.2">
      <c r="A47" s="32"/>
      <c r="B47" s="33"/>
      <c r="C47" s="34"/>
      <c r="D47" s="32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2"/>
      <c r="R47" s="32"/>
    </row>
    <row r="48" spans="1:21" x14ac:dyDescent="0.2">
      <c r="A48" s="410" t="s">
        <v>135</v>
      </c>
      <c r="B48" s="414"/>
      <c r="C48" s="414"/>
      <c r="D48" s="414"/>
      <c r="E48" s="411"/>
      <c r="F48" s="5">
        <f t="shared" ref="F48:Q48" si="7">SUM(F7:F47)</f>
        <v>3210</v>
      </c>
      <c r="G48" s="5">
        <f t="shared" si="7"/>
        <v>106150</v>
      </c>
      <c r="H48" s="5">
        <f t="shared" si="7"/>
        <v>87400</v>
      </c>
      <c r="I48" s="5">
        <f t="shared" si="7"/>
        <v>79200</v>
      </c>
      <c r="J48" s="5">
        <f t="shared" si="7"/>
        <v>71050</v>
      </c>
      <c r="K48" s="5">
        <f t="shared" si="7"/>
        <v>23750</v>
      </c>
      <c r="L48" s="5">
        <f t="shared" si="7"/>
        <v>78750</v>
      </c>
      <c r="M48" s="5">
        <f t="shared" si="7"/>
        <v>64610</v>
      </c>
      <c r="N48" s="5">
        <f t="shared" si="7"/>
        <v>101950</v>
      </c>
      <c r="O48" s="5">
        <f t="shared" si="7"/>
        <v>49400</v>
      </c>
      <c r="P48" s="5">
        <f t="shared" si="7"/>
        <v>0</v>
      </c>
      <c r="Q48" s="5">
        <f t="shared" si="7"/>
        <v>665470</v>
      </c>
      <c r="R48" s="10"/>
      <c r="T48" t="e">
        <f>SUM(T7:T46)</f>
        <v>#REF!</v>
      </c>
      <c r="U48" t="e">
        <f>SUM(U7:U46)</f>
        <v>#REF!</v>
      </c>
    </row>
    <row r="49" spans="1:18" x14ac:dyDescent="0.2">
      <c r="A49" s="421" t="s">
        <v>184</v>
      </c>
      <c r="B49" s="421"/>
      <c r="C49" s="421"/>
      <c r="D49" s="421"/>
      <c r="E49" s="421"/>
      <c r="R49" s="17">
        <f>SUM(R7:R47)</f>
        <v>1160</v>
      </c>
    </row>
  </sheetData>
  <autoFilter ref="B4:B44"/>
  <mergeCells count="7">
    <mergeCell ref="A49:E49"/>
    <mergeCell ref="A1:E1"/>
    <mergeCell ref="Q1:R1"/>
    <mergeCell ref="A2:E2"/>
    <mergeCell ref="D3:E3"/>
    <mergeCell ref="D4:E4"/>
    <mergeCell ref="A48:E48"/>
  </mergeCells>
  <pageMargins left="0.39370078740157483" right="0.39370078740157483" top="0.39370078740157483" bottom="0.39370078740157483" header="0" footer="0"/>
  <pageSetup paperSize="9" scale="84" orientation="landscape" blackAndWhite="1" horizontalDpi="4294967295" verticalDpi="180" r:id="rId1"/>
  <headerFooter alignWithMargins="0"/>
  <ignoredErrors>
    <ignoredError sqref="T40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"/>
  <sheetViews>
    <sheetView workbookViewId="0">
      <pane xSplit="5" ySplit="5" topLeftCell="T30" activePane="bottomRight" state="frozenSplit"/>
      <selection pane="topRight" activeCell="G1" sqref="G1"/>
      <selection pane="bottomLeft" activeCell="A17" sqref="A17"/>
      <selection pane="bottomRight" activeCell="X7" sqref="X7"/>
    </sheetView>
  </sheetViews>
  <sheetFormatPr defaultRowHeight="12.75" x14ac:dyDescent="0.2"/>
  <cols>
    <col min="1" max="1" width="4.28515625" bestFit="1" customWidth="1"/>
    <col min="2" max="2" width="10.85546875" bestFit="1" customWidth="1"/>
    <col min="3" max="3" width="34.5703125" bestFit="1" customWidth="1"/>
    <col min="4" max="4" width="5.85546875" bestFit="1" customWidth="1"/>
    <col min="5" max="5" width="5" bestFit="1" customWidth="1"/>
    <col min="6" max="21" width="8.140625" customWidth="1"/>
    <col min="22" max="22" width="10.5703125" style="16" bestFit="1" customWidth="1"/>
    <col min="23" max="23" width="9.28515625" style="16" bestFit="1" customWidth="1"/>
  </cols>
  <sheetData>
    <row r="1" spans="1:23" x14ac:dyDescent="0.2">
      <c r="A1" s="415" t="s">
        <v>242</v>
      </c>
      <c r="B1" s="422"/>
      <c r="C1" s="422"/>
      <c r="D1" s="422"/>
      <c r="E1" s="423"/>
      <c r="F1" s="55">
        <v>3128</v>
      </c>
      <c r="G1" s="55">
        <v>3130</v>
      </c>
      <c r="H1" s="55">
        <v>3135</v>
      </c>
      <c r="I1" s="55">
        <v>3140</v>
      </c>
      <c r="J1" s="55">
        <v>3142</v>
      </c>
      <c r="K1" s="53">
        <v>3145</v>
      </c>
      <c r="L1" s="53">
        <v>3152</v>
      </c>
      <c r="M1" s="53">
        <v>3153</v>
      </c>
      <c r="N1" s="53">
        <v>3156</v>
      </c>
      <c r="O1" s="53">
        <v>3157</v>
      </c>
      <c r="P1" s="61">
        <v>3159</v>
      </c>
      <c r="Q1" s="61">
        <v>3163</v>
      </c>
      <c r="R1" s="61">
        <v>3164</v>
      </c>
      <c r="S1" s="65">
        <v>3168</v>
      </c>
      <c r="T1" s="65">
        <v>3170</v>
      </c>
      <c r="U1" s="52">
        <v>3174</v>
      </c>
      <c r="V1" s="408" t="s">
        <v>138</v>
      </c>
      <c r="W1" s="408"/>
    </row>
    <row r="2" spans="1:23" x14ac:dyDescent="0.2">
      <c r="A2" s="410" t="s">
        <v>42</v>
      </c>
      <c r="B2" s="422"/>
      <c r="C2" s="422"/>
      <c r="D2" s="422"/>
      <c r="E2" s="423"/>
      <c r="F2" s="57" t="s">
        <v>243</v>
      </c>
      <c r="G2" s="57" t="s">
        <v>244</v>
      </c>
      <c r="H2" s="58" t="s">
        <v>245</v>
      </c>
      <c r="I2" s="59" t="s">
        <v>246</v>
      </c>
      <c r="J2" s="59" t="s">
        <v>247</v>
      </c>
      <c r="K2" s="59" t="s">
        <v>248</v>
      </c>
      <c r="L2" s="60" t="s">
        <v>249</v>
      </c>
      <c r="M2" s="60" t="s">
        <v>250</v>
      </c>
      <c r="N2" s="62" t="s">
        <v>251</v>
      </c>
      <c r="O2" s="62" t="s">
        <v>252</v>
      </c>
      <c r="P2" s="66" t="s">
        <v>253</v>
      </c>
      <c r="Q2" s="66" t="s">
        <v>254</v>
      </c>
      <c r="R2" s="66" t="s">
        <v>255</v>
      </c>
      <c r="S2" s="66" t="s">
        <v>256</v>
      </c>
      <c r="T2" s="66" t="s">
        <v>257</v>
      </c>
      <c r="U2" s="68" t="s">
        <v>258</v>
      </c>
      <c r="V2" s="52" t="s">
        <v>116</v>
      </c>
      <c r="W2" s="18" t="s">
        <v>5</v>
      </c>
    </row>
    <row r="3" spans="1:23" x14ac:dyDescent="0.2">
      <c r="A3" s="54"/>
      <c r="B3" s="54"/>
      <c r="C3" s="54"/>
      <c r="D3" s="410" t="s">
        <v>140</v>
      </c>
      <c r="E3" s="414"/>
      <c r="F3" s="55">
        <v>204</v>
      </c>
      <c r="G3" s="55">
        <v>277</v>
      </c>
      <c r="H3" s="55">
        <v>198</v>
      </c>
      <c r="I3" s="55">
        <v>134</v>
      </c>
      <c r="J3" s="55">
        <v>76</v>
      </c>
      <c r="K3" s="55">
        <v>91</v>
      </c>
      <c r="L3" s="55">
        <v>127</v>
      </c>
      <c r="M3" s="55">
        <v>107</v>
      </c>
      <c r="N3" s="55">
        <v>149</v>
      </c>
      <c r="O3" s="55">
        <v>73</v>
      </c>
      <c r="P3" s="62">
        <v>108</v>
      </c>
      <c r="Q3" s="62">
        <v>137</v>
      </c>
      <c r="R3" s="62">
        <v>60</v>
      </c>
      <c r="S3" s="66">
        <v>172</v>
      </c>
      <c r="T3" s="66">
        <v>94</v>
      </c>
      <c r="U3" s="52">
        <v>201</v>
      </c>
      <c r="V3" s="10"/>
      <c r="W3" s="10"/>
    </row>
    <row r="4" spans="1:23" ht="25.5" x14ac:dyDescent="0.2">
      <c r="A4" s="9" t="s">
        <v>1</v>
      </c>
      <c r="B4" s="4" t="s">
        <v>2</v>
      </c>
      <c r="C4" s="4" t="s">
        <v>0</v>
      </c>
      <c r="D4" s="408" t="s">
        <v>3</v>
      </c>
      <c r="E4" s="415"/>
      <c r="F4" s="53" t="s">
        <v>116</v>
      </c>
      <c r="G4" s="53" t="s">
        <v>116</v>
      </c>
      <c r="H4" s="53" t="s">
        <v>116</v>
      </c>
      <c r="I4" s="53" t="s">
        <v>116</v>
      </c>
      <c r="J4" s="53" t="s">
        <v>116</v>
      </c>
      <c r="K4" s="53" t="s">
        <v>116</v>
      </c>
      <c r="L4" s="55" t="s">
        <v>116</v>
      </c>
      <c r="M4" s="55" t="s">
        <v>116</v>
      </c>
      <c r="N4" s="55" t="s">
        <v>116</v>
      </c>
      <c r="O4" s="55" t="s">
        <v>116</v>
      </c>
      <c r="P4" s="62" t="s">
        <v>116</v>
      </c>
      <c r="Q4" s="62" t="s">
        <v>116</v>
      </c>
      <c r="R4" s="62" t="s">
        <v>116</v>
      </c>
      <c r="S4" s="66" t="s">
        <v>116</v>
      </c>
      <c r="T4" s="66" t="s">
        <v>116</v>
      </c>
      <c r="U4" s="55" t="s">
        <v>116</v>
      </c>
      <c r="V4" s="10"/>
      <c r="W4" s="10"/>
    </row>
    <row r="5" spans="1:23" x14ac:dyDescent="0.2">
      <c r="A5" s="10"/>
      <c r="B5" s="2"/>
      <c r="C5" s="2"/>
      <c r="D5" s="52" t="s">
        <v>4</v>
      </c>
      <c r="E5" s="56" t="s">
        <v>5</v>
      </c>
      <c r="F5" s="56"/>
      <c r="G5" s="56"/>
      <c r="H5" s="56"/>
      <c r="I5" s="56"/>
      <c r="J5" s="56"/>
      <c r="K5" s="56"/>
      <c r="L5" s="56"/>
      <c r="M5" s="56"/>
      <c r="N5" s="56"/>
      <c r="O5" s="56"/>
      <c r="P5" s="63"/>
      <c r="Q5" s="63"/>
      <c r="R5" s="63"/>
      <c r="S5" s="67"/>
      <c r="T5" s="67"/>
      <c r="U5" s="56"/>
      <c r="V5" s="10"/>
      <c r="W5" s="10"/>
    </row>
    <row r="6" spans="1:23" x14ac:dyDescent="0.2">
      <c r="A6" s="29"/>
      <c r="B6" s="30"/>
      <c r="C6" s="30"/>
      <c r="D6" s="2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29"/>
      <c r="W6" s="29"/>
    </row>
    <row r="7" spans="1:23" x14ac:dyDescent="0.2">
      <c r="A7" s="32" t="s">
        <v>222</v>
      </c>
      <c r="B7" s="33" t="s">
        <v>85</v>
      </c>
      <c r="C7" s="34" t="s">
        <v>6</v>
      </c>
      <c r="D7" s="32">
        <v>100</v>
      </c>
      <c r="E7" s="35">
        <v>2000</v>
      </c>
      <c r="F7" s="35">
        <v>36000</v>
      </c>
      <c r="G7" s="35">
        <v>24000</v>
      </c>
      <c r="H7" s="35">
        <v>20000</v>
      </c>
      <c r="I7" s="35">
        <v>8000</v>
      </c>
      <c r="J7" s="35">
        <v>12000</v>
      </c>
      <c r="K7" s="35"/>
      <c r="L7" s="35">
        <v>16000</v>
      </c>
      <c r="M7" s="35">
        <v>18000</v>
      </c>
      <c r="N7" s="35">
        <v>16000</v>
      </c>
      <c r="O7" s="35">
        <v>8000</v>
      </c>
      <c r="P7" s="35"/>
      <c r="Q7" s="35">
        <v>10000</v>
      </c>
      <c r="R7" s="35"/>
      <c r="S7" s="35">
        <v>4000</v>
      </c>
      <c r="T7" s="35">
        <v>8000</v>
      </c>
      <c r="U7" s="35"/>
      <c r="V7" s="32">
        <f>SUM(F7:U7)</f>
        <v>180000</v>
      </c>
      <c r="W7" s="32">
        <f t="shared" ref="W7:W31" si="0">V7/E7</f>
        <v>90</v>
      </c>
    </row>
    <row r="8" spans="1:23" s="28" customFormat="1" x14ac:dyDescent="0.2">
      <c r="A8" s="36">
        <v>2</v>
      </c>
      <c r="B8" s="37" t="s">
        <v>81</v>
      </c>
      <c r="C8" s="38" t="s">
        <v>7</v>
      </c>
      <c r="D8" s="36">
        <v>100</v>
      </c>
      <c r="E8" s="39">
        <v>2000</v>
      </c>
      <c r="F8" s="39">
        <v>20000</v>
      </c>
      <c r="G8" s="39">
        <v>20000</v>
      </c>
      <c r="H8" s="39">
        <v>20000</v>
      </c>
      <c r="I8" s="39">
        <v>20000</v>
      </c>
      <c r="J8" s="39"/>
      <c r="K8" s="39">
        <v>20000</v>
      </c>
      <c r="L8" s="39">
        <v>10000</v>
      </c>
      <c r="M8" s="39">
        <v>10000</v>
      </c>
      <c r="N8" s="39"/>
      <c r="O8" s="39"/>
      <c r="P8" s="39">
        <v>10000</v>
      </c>
      <c r="Q8" s="39"/>
      <c r="R8" s="39"/>
      <c r="S8" s="39">
        <v>10000</v>
      </c>
      <c r="T8" s="39"/>
      <c r="U8" s="39"/>
      <c r="V8" s="36">
        <f t="shared" ref="V8:V43" si="1">SUM(F8:U8)</f>
        <v>140000</v>
      </c>
      <c r="W8" s="36">
        <f t="shared" si="0"/>
        <v>70</v>
      </c>
    </row>
    <row r="9" spans="1:23" x14ac:dyDescent="0.2">
      <c r="A9" s="32">
        <v>3</v>
      </c>
      <c r="B9" s="33" t="s">
        <v>86</v>
      </c>
      <c r="C9" s="34" t="s">
        <v>8</v>
      </c>
      <c r="D9" s="32">
        <v>50</v>
      </c>
      <c r="E9" s="35">
        <v>1100</v>
      </c>
      <c r="F9" s="35">
        <v>11000</v>
      </c>
      <c r="G9" s="35">
        <v>11000</v>
      </c>
      <c r="H9" s="35">
        <v>11000</v>
      </c>
      <c r="I9" s="35">
        <v>6600</v>
      </c>
      <c r="J9" s="35">
        <v>4400</v>
      </c>
      <c r="K9" s="35">
        <v>8800</v>
      </c>
      <c r="L9" s="35">
        <v>8800</v>
      </c>
      <c r="M9" s="35">
        <v>4400</v>
      </c>
      <c r="N9" s="35"/>
      <c r="O9" s="35">
        <v>8800</v>
      </c>
      <c r="P9" s="35">
        <v>2200</v>
      </c>
      <c r="Q9" s="35"/>
      <c r="R9" s="35"/>
      <c r="S9" s="35">
        <v>11000</v>
      </c>
      <c r="T9" s="35"/>
      <c r="U9" s="35"/>
      <c r="V9" s="32">
        <f t="shared" si="1"/>
        <v>88000</v>
      </c>
      <c r="W9" s="32">
        <f t="shared" si="0"/>
        <v>80</v>
      </c>
    </row>
    <row r="10" spans="1:23" s="28" customFormat="1" x14ac:dyDescent="0.2">
      <c r="A10" s="36">
        <v>4</v>
      </c>
      <c r="B10" s="37" t="s">
        <v>87</v>
      </c>
      <c r="C10" s="38" t="s">
        <v>9</v>
      </c>
      <c r="D10" s="36">
        <v>50</v>
      </c>
      <c r="E10" s="39">
        <v>1000</v>
      </c>
      <c r="F10" s="39">
        <v>10000</v>
      </c>
      <c r="G10" s="39">
        <v>10000</v>
      </c>
      <c r="H10" s="39">
        <v>10000</v>
      </c>
      <c r="I10" s="39">
        <v>10000</v>
      </c>
      <c r="J10" s="39"/>
      <c r="K10" s="39">
        <v>10000</v>
      </c>
      <c r="L10" s="39"/>
      <c r="M10" s="39">
        <v>8000</v>
      </c>
      <c r="N10" s="39">
        <v>2000</v>
      </c>
      <c r="O10" s="39"/>
      <c r="P10" s="39">
        <v>10000</v>
      </c>
      <c r="Q10" s="39"/>
      <c r="R10" s="39"/>
      <c r="S10" s="39">
        <v>9000</v>
      </c>
      <c r="T10" s="39">
        <v>1000</v>
      </c>
      <c r="U10" s="39"/>
      <c r="V10" s="36">
        <f t="shared" si="1"/>
        <v>80000</v>
      </c>
      <c r="W10" s="36">
        <f t="shared" si="0"/>
        <v>80</v>
      </c>
    </row>
    <row r="11" spans="1:23" x14ac:dyDescent="0.2">
      <c r="A11" s="32">
        <v>5</v>
      </c>
      <c r="B11" s="33" t="s">
        <v>82</v>
      </c>
      <c r="C11" s="34" t="s">
        <v>10</v>
      </c>
      <c r="D11" s="32">
        <v>50</v>
      </c>
      <c r="E11" s="35">
        <v>800</v>
      </c>
      <c r="F11" s="35"/>
      <c r="G11" s="35">
        <v>12800</v>
      </c>
      <c r="H11" s="35">
        <v>8000</v>
      </c>
      <c r="I11" s="35">
        <v>8000</v>
      </c>
      <c r="J11" s="35"/>
      <c r="K11" s="35"/>
      <c r="L11" s="35">
        <v>4000</v>
      </c>
      <c r="M11" s="35">
        <v>7200</v>
      </c>
      <c r="N11" s="35"/>
      <c r="O11" s="35"/>
      <c r="P11" s="35">
        <v>4000</v>
      </c>
      <c r="Q11" s="35">
        <v>800</v>
      </c>
      <c r="R11" s="35"/>
      <c r="S11" s="35">
        <v>8000</v>
      </c>
      <c r="T11" s="35"/>
      <c r="U11" s="35"/>
      <c r="V11" s="32">
        <f t="shared" si="1"/>
        <v>52800</v>
      </c>
      <c r="W11" s="32">
        <f t="shared" si="0"/>
        <v>66</v>
      </c>
    </row>
    <row r="12" spans="1:23" s="28" customFormat="1" x14ac:dyDescent="0.2">
      <c r="A12" s="36">
        <v>6</v>
      </c>
      <c r="B12" s="37" t="s">
        <v>89</v>
      </c>
      <c r="C12" s="38" t="s">
        <v>11</v>
      </c>
      <c r="D12" s="36">
        <v>50</v>
      </c>
      <c r="E12" s="39">
        <v>600</v>
      </c>
      <c r="F12" s="39">
        <v>6000</v>
      </c>
      <c r="G12" s="39">
        <v>6000</v>
      </c>
      <c r="H12" s="39">
        <v>6000</v>
      </c>
      <c r="I12" s="39">
        <v>6000</v>
      </c>
      <c r="J12" s="39">
        <v>3000</v>
      </c>
      <c r="K12" s="39"/>
      <c r="L12" s="39">
        <v>5400</v>
      </c>
      <c r="M12" s="39"/>
      <c r="N12" s="39">
        <v>7800</v>
      </c>
      <c r="O12" s="39">
        <v>4800</v>
      </c>
      <c r="P12" s="39">
        <v>1200</v>
      </c>
      <c r="Q12" s="39">
        <v>4800</v>
      </c>
      <c r="R12" s="39">
        <v>1800</v>
      </c>
      <c r="S12" s="39">
        <v>4200</v>
      </c>
      <c r="T12" s="39">
        <v>7200</v>
      </c>
      <c r="U12" s="39">
        <v>6000</v>
      </c>
      <c r="V12" s="36">
        <f t="shared" si="1"/>
        <v>70200</v>
      </c>
      <c r="W12" s="36">
        <f t="shared" si="0"/>
        <v>117</v>
      </c>
    </row>
    <row r="13" spans="1:23" x14ac:dyDescent="0.2">
      <c r="A13" s="32" t="s">
        <v>12</v>
      </c>
      <c r="B13" s="48" t="s">
        <v>214</v>
      </c>
      <c r="C13" s="34" t="s">
        <v>213</v>
      </c>
      <c r="D13" s="32">
        <v>50</v>
      </c>
      <c r="E13" s="35">
        <v>600</v>
      </c>
      <c r="F13" s="35"/>
      <c r="G13" s="35">
        <v>1200</v>
      </c>
      <c r="H13" s="35"/>
      <c r="I13" s="35"/>
      <c r="J13" s="35"/>
      <c r="K13" s="35"/>
      <c r="L13" s="35"/>
      <c r="M13" s="35"/>
      <c r="N13" s="35"/>
      <c r="O13" s="35"/>
      <c r="P13" s="35"/>
      <c r="Q13" s="35">
        <v>1200</v>
      </c>
      <c r="R13" s="35"/>
      <c r="S13" s="35"/>
      <c r="T13" s="35"/>
      <c r="U13" s="35"/>
      <c r="V13" s="32">
        <f t="shared" si="1"/>
        <v>2400</v>
      </c>
      <c r="W13" s="32">
        <f t="shared" si="0"/>
        <v>4</v>
      </c>
    </row>
    <row r="14" spans="1:23" s="28" customFormat="1" x14ac:dyDescent="0.2">
      <c r="A14" s="36">
        <v>7</v>
      </c>
      <c r="B14" s="37" t="s">
        <v>88</v>
      </c>
      <c r="C14" s="38" t="s">
        <v>14</v>
      </c>
      <c r="D14" s="36">
        <v>10</v>
      </c>
      <c r="E14" s="39">
        <v>400</v>
      </c>
      <c r="F14" s="39">
        <v>1200</v>
      </c>
      <c r="G14" s="39">
        <v>2000</v>
      </c>
      <c r="H14" s="39">
        <v>2000</v>
      </c>
      <c r="I14" s="39">
        <v>1200</v>
      </c>
      <c r="J14" s="39"/>
      <c r="K14" s="39"/>
      <c r="L14" s="39"/>
      <c r="M14" s="39"/>
      <c r="N14" s="39"/>
      <c r="O14" s="39"/>
      <c r="P14" s="39"/>
      <c r="Q14" s="39">
        <v>1200</v>
      </c>
      <c r="R14" s="39"/>
      <c r="S14" s="39">
        <v>1200</v>
      </c>
      <c r="T14" s="39">
        <v>1200</v>
      </c>
      <c r="U14" s="39"/>
      <c r="V14" s="36">
        <f t="shared" si="1"/>
        <v>10000</v>
      </c>
      <c r="W14" s="36">
        <f t="shared" si="0"/>
        <v>25</v>
      </c>
    </row>
    <row r="15" spans="1:23" x14ac:dyDescent="0.2">
      <c r="A15" s="32">
        <v>8</v>
      </c>
      <c r="B15" s="33" t="s">
        <v>90</v>
      </c>
      <c r="C15" s="34" t="s">
        <v>15</v>
      </c>
      <c r="D15" s="32">
        <v>10</v>
      </c>
      <c r="E15" s="35">
        <v>400</v>
      </c>
      <c r="F15" s="35">
        <v>8000</v>
      </c>
      <c r="G15" s="35">
        <v>10000</v>
      </c>
      <c r="H15" s="35">
        <v>6000</v>
      </c>
      <c r="I15" s="35">
        <v>4000</v>
      </c>
      <c r="J15" s="35"/>
      <c r="K15" s="35">
        <v>4000</v>
      </c>
      <c r="L15" s="35"/>
      <c r="M15" s="35">
        <v>4000</v>
      </c>
      <c r="N15" s="35">
        <v>4000</v>
      </c>
      <c r="O15" s="35">
        <v>4000</v>
      </c>
      <c r="P15" s="35">
        <v>4000</v>
      </c>
      <c r="Q15" s="35">
        <v>2000</v>
      </c>
      <c r="R15" s="35">
        <v>2000</v>
      </c>
      <c r="S15" s="35">
        <v>4000</v>
      </c>
      <c r="T15" s="35"/>
      <c r="U15" s="35">
        <v>8800</v>
      </c>
      <c r="V15" s="32">
        <f t="shared" si="1"/>
        <v>64800</v>
      </c>
      <c r="W15" s="32">
        <f t="shared" si="0"/>
        <v>162</v>
      </c>
    </row>
    <row r="16" spans="1:23" s="28" customFormat="1" x14ac:dyDescent="0.2">
      <c r="A16" s="36">
        <v>9</v>
      </c>
      <c r="B16" s="37" t="s">
        <v>91</v>
      </c>
      <c r="C16" s="38" t="s">
        <v>16</v>
      </c>
      <c r="D16" s="36">
        <v>10</v>
      </c>
      <c r="E16" s="39">
        <v>300</v>
      </c>
      <c r="F16" s="39">
        <v>12000</v>
      </c>
      <c r="G16" s="39">
        <v>9300</v>
      </c>
      <c r="H16" s="39">
        <v>8700</v>
      </c>
      <c r="I16" s="39">
        <v>8700</v>
      </c>
      <c r="J16" s="39">
        <v>300</v>
      </c>
      <c r="K16" s="39">
        <v>3000</v>
      </c>
      <c r="L16" s="39">
        <v>7500</v>
      </c>
      <c r="M16" s="39"/>
      <c r="N16" s="39">
        <v>4500</v>
      </c>
      <c r="O16" s="39">
        <v>3000</v>
      </c>
      <c r="P16" s="39">
        <v>4500</v>
      </c>
      <c r="Q16" s="39">
        <v>3000</v>
      </c>
      <c r="R16" s="39">
        <v>1500</v>
      </c>
      <c r="S16" s="39">
        <v>6000</v>
      </c>
      <c r="T16" s="39">
        <v>6000</v>
      </c>
      <c r="U16" s="39">
        <v>12000</v>
      </c>
      <c r="V16" s="36">
        <f t="shared" si="1"/>
        <v>90000</v>
      </c>
      <c r="W16" s="36">
        <f t="shared" si="0"/>
        <v>300</v>
      </c>
    </row>
    <row r="17" spans="1:23" x14ac:dyDescent="0.2">
      <c r="A17" s="32" t="s">
        <v>17</v>
      </c>
      <c r="B17" s="40">
        <v>90441300</v>
      </c>
      <c r="C17" s="34" t="s">
        <v>179</v>
      </c>
      <c r="D17" s="32">
        <v>10</v>
      </c>
      <c r="E17" s="35">
        <v>300</v>
      </c>
      <c r="F17" s="35"/>
      <c r="G17" s="35"/>
      <c r="H17" s="35"/>
      <c r="I17" s="35"/>
      <c r="J17" s="35">
        <v>1200</v>
      </c>
      <c r="K17" s="35"/>
      <c r="L17" s="35">
        <v>1200</v>
      </c>
      <c r="M17" s="35"/>
      <c r="N17" s="35">
        <v>3000</v>
      </c>
      <c r="O17" s="35">
        <v>1200</v>
      </c>
      <c r="P17" s="35"/>
      <c r="Q17" s="35">
        <v>2400</v>
      </c>
      <c r="R17" s="35"/>
      <c r="S17" s="35">
        <v>1200</v>
      </c>
      <c r="T17" s="35">
        <v>1500</v>
      </c>
      <c r="U17" s="35">
        <v>3000</v>
      </c>
      <c r="V17" s="32">
        <f t="shared" si="1"/>
        <v>14700</v>
      </c>
      <c r="W17" s="32">
        <f t="shared" si="0"/>
        <v>49</v>
      </c>
    </row>
    <row r="18" spans="1:23" s="28" customFormat="1" x14ac:dyDescent="0.2">
      <c r="A18" s="36" t="s">
        <v>180</v>
      </c>
      <c r="B18" s="37" t="s">
        <v>168</v>
      </c>
      <c r="C18" s="38" t="s">
        <v>169</v>
      </c>
      <c r="D18" s="36">
        <v>10</v>
      </c>
      <c r="E18" s="39">
        <v>300</v>
      </c>
      <c r="F18" s="39"/>
      <c r="G18" s="39">
        <v>3000</v>
      </c>
      <c r="H18" s="39">
        <v>3000</v>
      </c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>
        <v>3000</v>
      </c>
      <c r="T18" s="39"/>
      <c r="U18" s="39"/>
      <c r="V18" s="36">
        <f t="shared" si="1"/>
        <v>9000</v>
      </c>
      <c r="W18" s="36">
        <f t="shared" si="0"/>
        <v>30</v>
      </c>
    </row>
    <row r="19" spans="1:23" x14ac:dyDescent="0.2">
      <c r="A19" s="32">
        <v>10</v>
      </c>
      <c r="B19" s="33" t="s">
        <v>94</v>
      </c>
      <c r="C19" s="34" t="s">
        <v>19</v>
      </c>
      <c r="D19" s="41">
        <v>10</v>
      </c>
      <c r="E19" s="35">
        <v>130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>
        <v>390</v>
      </c>
      <c r="Q19" s="35">
        <v>650</v>
      </c>
      <c r="R19" s="35"/>
      <c r="S19" s="35"/>
      <c r="T19" s="35"/>
      <c r="U19" s="35"/>
      <c r="V19" s="32">
        <f t="shared" si="1"/>
        <v>1040</v>
      </c>
      <c r="W19" s="32">
        <f t="shared" si="0"/>
        <v>8</v>
      </c>
    </row>
    <row r="20" spans="1:23" x14ac:dyDescent="0.2">
      <c r="A20" s="32">
        <v>12</v>
      </c>
      <c r="B20" s="33" t="s">
        <v>95</v>
      </c>
      <c r="C20" s="34" t="s">
        <v>21</v>
      </c>
      <c r="D20" s="32">
        <v>10</v>
      </c>
      <c r="E20" s="35">
        <v>80</v>
      </c>
      <c r="F20" s="35"/>
      <c r="G20" s="35"/>
      <c r="H20" s="35"/>
      <c r="I20" s="35"/>
      <c r="J20" s="35"/>
      <c r="K20" s="35">
        <v>800</v>
      </c>
      <c r="L20" s="35"/>
      <c r="M20" s="35"/>
      <c r="N20" s="35">
        <v>480</v>
      </c>
      <c r="O20" s="35">
        <v>400</v>
      </c>
      <c r="P20" s="35"/>
      <c r="Q20" s="35">
        <v>800</v>
      </c>
      <c r="R20" s="35">
        <v>400</v>
      </c>
      <c r="S20" s="35">
        <v>400</v>
      </c>
      <c r="T20" s="35"/>
      <c r="U20" s="35"/>
      <c r="V20" s="32">
        <f t="shared" si="1"/>
        <v>3280</v>
      </c>
      <c r="W20" s="32">
        <f t="shared" si="0"/>
        <v>41</v>
      </c>
    </row>
    <row r="21" spans="1:23" s="28" customFormat="1" x14ac:dyDescent="0.2">
      <c r="A21" s="36">
        <v>13</v>
      </c>
      <c r="B21" s="37" t="s">
        <v>99</v>
      </c>
      <c r="C21" s="38" t="s">
        <v>22</v>
      </c>
      <c r="D21" s="36">
        <v>100</v>
      </c>
      <c r="E21" s="39">
        <v>1200</v>
      </c>
      <c r="F21" s="39">
        <v>24000</v>
      </c>
      <c r="G21" s="39">
        <v>24000</v>
      </c>
      <c r="H21" s="39">
        <v>12000</v>
      </c>
      <c r="I21" s="39">
        <v>12000</v>
      </c>
      <c r="J21" s="39"/>
      <c r="K21" s="39"/>
      <c r="L21" s="39">
        <v>12000</v>
      </c>
      <c r="M21" s="39">
        <v>15600</v>
      </c>
      <c r="N21" s="39">
        <v>8400</v>
      </c>
      <c r="O21" s="39"/>
      <c r="P21" s="39">
        <v>12000</v>
      </c>
      <c r="Q21" s="39">
        <v>12000</v>
      </c>
      <c r="R21" s="39"/>
      <c r="S21" s="39"/>
      <c r="T21" s="39">
        <v>12000</v>
      </c>
      <c r="U21" s="39">
        <v>24000</v>
      </c>
      <c r="V21" s="36">
        <f t="shared" si="1"/>
        <v>168000</v>
      </c>
      <c r="W21" s="36">
        <f t="shared" si="0"/>
        <v>140</v>
      </c>
    </row>
    <row r="22" spans="1:23" x14ac:dyDescent="0.2">
      <c r="A22" s="32">
        <v>14</v>
      </c>
      <c r="B22" s="33" t="s">
        <v>102</v>
      </c>
      <c r="C22" s="34" t="s">
        <v>23</v>
      </c>
      <c r="D22" s="32">
        <v>100</v>
      </c>
      <c r="E22" s="35">
        <v>1000</v>
      </c>
      <c r="F22" s="35"/>
      <c r="G22" s="35">
        <v>5000</v>
      </c>
      <c r="H22" s="35">
        <v>6000</v>
      </c>
      <c r="I22" s="35">
        <v>5000</v>
      </c>
      <c r="J22" s="35"/>
      <c r="K22" s="35"/>
      <c r="L22" s="35">
        <v>5000</v>
      </c>
      <c r="M22" s="35">
        <v>6000</v>
      </c>
      <c r="N22" s="35">
        <v>5000</v>
      </c>
      <c r="O22" s="35"/>
      <c r="P22" s="35">
        <v>4000</v>
      </c>
      <c r="Q22" s="35">
        <v>2000</v>
      </c>
      <c r="R22" s="35">
        <v>6000</v>
      </c>
      <c r="S22" s="35"/>
      <c r="T22" s="35">
        <v>6000</v>
      </c>
      <c r="U22" s="35"/>
      <c r="V22" s="32">
        <f t="shared" si="1"/>
        <v>50000</v>
      </c>
      <c r="W22" s="32">
        <f t="shared" si="0"/>
        <v>50</v>
      </c>
    </row>
    <row r="23" spans="1:23" s="28" customFormat="1" x14ac:dyDescent="0.2">
      <c r="A23" s="36">
        <v>15</v>
      </c>
      <c r="B23" s="37" t="s">
        <v>97</v>
      </c>
      <c r="C23" s="38" t="s">
        <v>24</v>
      </c>
      <c r="D23" s="36">
        <v>50</v>
      </c>
      <c r="E23" s="39">
        <v>2800</v>
      </c>
      <c r="F23" s="39"/>
      <c r="G23" s="39">
        <v>8400</v>
      </c>
      <c r="H23" s="39">
        <v>8400</v>
      </c>
      <c r="I23" s="39">
        <v>8400</v>
      </c>
      <c r="J23" s="39"/>
      <c r="K23" s="39"/>
      <c r="L23" s="39">
        <v>5600</v>
      </c>
      <c r="M23" s="39"/>
      <c r="N23" s="39"/>
      <c r="O23" s="39"/>
      <c r="P23" s="39">
        <v>5600</v>
      </c>
      <c r="Q23" s="39"/>
      <c r="R23" s="39">
        <v>2800</v>
      </c>
      <c r="S23" s="39">
        <v>8400</v>
      </c>
      <c r="T23" s="39">
        <v>5600</v>
      </c>
      <c r="U23" s="39">
        <v>11200</v>
      </c>
      <c r="V23" s="36">
        <f t="shared" si="1"/>
        <v>64400</v>
      </c>
      <c r="W23" s="36">
        <f t="shared" si="0"/>
        <v>23</v>
      </c>
    </row>
    <row r="24" spans="1:23" x14ac:dyDescent="0.2">
      <c r="A24" s="32">
        <v>16</v>
      </c>
      <c r="B24" s="33" t="s">
        <v>98</v>
      </c>
      <c r="C24" s="34" t="s">
        <v>25</v>
      </c>
      <c r="D24" s="32">
        <v>50</v>
      </c>
      <c r="E24" s="35">
        <v>550</v>
      </c>
      <c r="F24" s="35">
        <v>9350</v>
      </c>
      <c r="G24" s="35">
        <v>5500</v>
      </c>
      <c r="H24" s="35">
        <v>5500</v>
      </c>
      <c r="I24" s="35"/>
      <c r="J24" s="35">
        <v>5500</v>
      </c>
      <c r="K24" s="35">
        <v>5500</v>
      </c>
      <c r="L24" s="35">
        <v>2750</v>
      </c>
      <c r="M24" s="35">
        <v>2750</v>
      </c>
      <c r="N24" s="35">
        <v>5500</v>
      </c>
      <c r="O24" s="35"/>
      <c r="P24" s="35">
        <v>5500</v>
      </c>
      <c r="Q24" s="35"/>
      <c r="R24" s="35"/>
      <c r="S24" s="35">
        <v>2200</v>
      </c>
      <c r="T24" s="35">
        <v>3300</v>
      </c>
      <c r="U24" s="35"/>
      <c r="V24" s="32">
        <f t="shared" si="1"/>
        <v>53350</v>
      </c>
      <c r="W24" s="32">
        <f t="shared" si="0"/>
        <v>97</v>
      </c>
    </row>
    <row r="25" spans="1:23" s="28" customFormat="1" x14ac:dyDescent="0.2">
      <c r="A25" s="36" t="s">
        <v>141</v>
      </c>
      <c r="B25" s="37" t="s">
        <v>142</v>
      </c>
      <c r="C25" s="38" t="s">
        <v>143</v>
      </c>
      <c r="D25" s="36">
        <v>50</v>
      </c>
      <c r="E25" s="39">
        <v>550</v>
      </c>
      <c r="F25" s="39">
        <v>5500</v>
      </c>
      <c r="G25" s="39">
        <v>12650</v>
      </c>
      <c r="H25" s="39">
        <v>3300</v>
      </c>
      <c r="I25" s="39"/>
      <c r="J25" s="39">
        <v>5500</v>
      </c>
      <c r="K25" s="39"/>
      <c r="L25" s="39">
        <v>2750</v>
      </c>
      <c r="M25" s="39">
        <v>2750</v>
      </c>
      <c r="N25" s="39">
        <v>3850</v>
      </c>
      <c r="O25" s="39"/>
      <c r="P25" s="39">
        <v>3850</v>
      </c>
      <c r="Q25" s="39">
        <v>3300</v>
      </c>
      <c r="R25" s="39">
        <v>5500</v>
      </c>
      <c r="S25" s="39">
        <v>5500</v>
      </c>
      <c r="T25" s="39"/>
      <c r="U25" s="39"/>
      <c r="V25" s="36">
        <f t="shared" si="1"/>
        <v>54450</v>
      </c>
      <c r="W25" s="36">
        <f t="shared" si="0"/>
        <v>99</v>
      </c>
    </row>
    <row r="26" spans="1:23" x14ac:dyDescent="0.2">
      <c r="A26" s="32" t="s">
        <v>181</v>
      </c>
      <c r="B26" s="33" t="s">
        <v>170</v>
      </c>
      <c r="C26" s="34" t="s">
        <v>171</v>
      </c>
      <c r="D26" s="32">
        <v>10</v>
      </c>
      <c r="E26" s="35">
        <v>1200</v>
      </c>
      <c r="F26" s="35">
        <v>6000</v>
      </c>
      <c r="G26" s="35">
        <v>6000</v>
      </c>
      <c r="H26" s="35">
        <v>4800</v>
      </c>
      <c r="I26" s="35"/>
      <c r="J26" s="35">
        <v>6000</v>
      </c>
      <c r="K26" s="35">
        <v>4800</v>
      </c>
      <c r="L26" s="35"/>
      <c r="M26" s="35">
        <v>3600</v>
      </c>
      <c r="N26" s="35">
        <v>1200</v>
      </c>
      <c r="O26" s="35">
        <v>4800</v>
      </c>
      <c r="P26" s="35"/>
      <c r="Q26" s="35">
        <v>4800</v>
      </c>
      <c r="R26" s="35">
        <v>3600</v>
      </c>
      <c r="S26" s="35">
        <v>4800</v>
      </c>
      <c r="T26" s="35"/>
      <c r="U26" s="35">
        <v>6000</v>
      </c>
      <c r="V26" s="32">
        <f t="shared" si="1"/>
        <v>56400</v>
      </c>
      <c r="W26" s="32">
        <f t="shared" si="0"/>
        <v>47</v>
      </c>
    </row>
    <row r="27" spans="1:23" s="28" customFormat="1" x14ac:dyDescent="0.2">
      <c r="A27" s="36" t="s">
        <v>232</v>
      </c>
      <c r="B27" s="37" t="s">
        <v>195</v>
      </c>
      <c r="C27" s="38" t="s">
        <v>197</v>
      </c>
      <c r="D27" s="36">
        <v>10</v>
      </c>
      <c r="E27" s="39">
        <v>1300</v>
      </c>
      <c r="F27" s="39">
        <v>1300</v>
      </c>
      <c r="G27" s="39">
        <v>1300</v>
      </c>
      <c r="H27" s="39">
        <v>1300</v>
      </c>
      <c r="I27" s="39">
        <v>1300</v>
      </c>
      <c r="J27" s="39"/>
      <c r="K27" s="39">
        <v>1300</v>
      </c>
      <c r="L27" s="39"/>
      <c r="M27" s="39">
        <v>1300</v>
      </c>
      <c r="N27" s="39">
        <v>1300</v>
      </c>
      <c r="O27" s="39">
        <v>1300</v>
      </c>
      <c r="P27" s="39">
        <v>1300</v>
      </c>
      <c r="Q27" s="39"/>
      <c r="R27" s="39"/>
      <c r="S27" s="39">
        <v>1300</v>
      </c>
      <c r="T27" s="39">
        <v>1300</v>
      </c>
      <c r="U27" s="39">
        <v>3900</v>
      </c>
      <c r="V27" s="36">
        <f>SUM(F27:U27)</f>
        <v>18200</v>
      </c>
      <c r="W27" s="36">
        <f t="shared" si="0"/>
        <v>14</v>
      </c>
    </row>
    <row r="28" spans="1:23" x14ac:dyDescent="0.2">
      <c r="A28" s="32" t="s">
        <v>233</v>
      </c>
      <c r="B28" s="33" t="s">
        <v>196</v>
      </c>
      <c r="C28" s="34" t="s">
        <v>198</v>
      </c>
      <c r="D28" s="32">
        <v>10</v>
      </c>
      <c r="E28" s="35">
        <v>800</v>
      </c>
      <c r="F28" s="35">
        <v>800</v>
      </c>
      <c r="G28" s="35">
        <v>1600</v>
      </c>
      <c r="H28" s="35">
        <v>1600</v>
      </c>
      <c r="I28" s="35">
        <v>1600</v>
      </c>
      <c r="J28" s="35"/>
      <c r="K28" s="35"/>
      <c r="L28" s="35"/>
      <c r="M28" s="35">
        <v>800</v>
      </c>
      <c r="N28" s="35"/>
      <c r="O28" s="35"/>
      <c r="P28" s="35"/>
      <c r="Q28" s="35">
        <v>2400</v>
      </c>
      <c r="R28" s="35"/>
      <c r="S28" s="35">
        <v>2400</v>
      </c>
      <c r="T28" s="35"/>
      <c r="U28" s="35">
        <v>1600</v>
      </c>
      <c r="V28" s="32">
        <f>SUM(F28:U28)</f>
        <v>12800</v>
      </c>
      <c r="W28" s="32">
        <f t="shared" si="0"/>
        <v>16</v>
      </c>
    </row>
    <row r="29" spans="1:23" x14ac:dyDescent="0.2">
      <c r="A29" s="32"/>
      <c r="B29" s="33" t="s">
        <v>206</v>
      </c>
      <c r="C29" s="34" t="s">
        <v>207</v>
      </c>
      <c r="D29" s="32">
        <v>10</v>
      </c>
      <c r="E29" s="35">
        <v>450</v>
      </c>
      <c r="F29" s="35">
        <v>2250</v>
      </c>
      <c r="G29" s="35">
        <v>2250</v>
      </c>
      <c r="H29" s="35">
        <v>2250</v>
      </c>
      <c r="I29" s="35">
        <v>2250</v>
      </c>
      <c r="J29" s="35"/>
      <c r="K29" s="35">
        <v>1800</v>
      </c>
      <c r="L29" s="35">
        <v>2250</v>
      </c>
      <c r="M29" s="35"/>
      <c r="N29" s="35"/>
      <c r="O29" s="35">
        <v>1800</v>
      </c>
      <c r="P29" s="35">
        <v>900</v>
      </c>
      <c r="Q29" s="35"/>
      <c r="R29" s="35"/>
      <c r="S29" s="35">
        <v>1800</v>
      </c>
      <c r="T29" s="35">
        <v>1800</v>
      </c>
      <c r="U29" s="35">
        <v>2700</v>
      </c>
      <c r="V29" s="32">
        <f>SUM(F29:U29)</f>
        <v>22050</v>
      </c>
      <c r="W29" s="32">
        <f t="shared" si="0"/>
        <v>49</v>
      </c>
    </row>
    <row r="30" spans="1:23" x14ac:dyDescent="0.2">
      <c r="A30" s="32"/>
      <c r="B30" s="40">
        <v>90442200</v>
      </c>
      <c r="C30" s="34" t="s">
        <v>238</v>
      </c>
      <c r="D30" s="32">
        <v>10</v>
      </c>
      <c r="E30" s="35">
        <v>450</v>
      </c>
      <c r="F30" s="35"/>
      <c r="G30" s="35">
        <v>1350</v>
      </c>
      <c r="H30" s="35"/>
      <c r="I30" s="35"/>
      <c r="J30" s="35">
        <v>2250</v>
      </c>
      <c r="K30" s="35"/>
      <c r="L30" s="35">
        <v>2250</v>
      </c>
      <c r="M30" s="35"/>
      <c r="N30" s="35">
        <v>1800</v>
      </c>
      <c r="O30" s="35"/>
      <c r="P30" s="35">
        <v>900</v>
      </c>
      <c r="Q30" s="35">
        <v>1350</v>
      </c>
      <c r="R30" s="35"/>
      <c r="S30" s="35">
        <v>450</v>
      </c>
      <c r="T30" s="35">
        <v>1800</v>
      </c>
      <c r="U30" s="35">
        <v>900</v>
      </c>
      <c r="V30" s="32">
        <f t="shared" ref="V30" si="2">SUM(F30:U30)</f>
        <v>13050</v>
      </c>
      <c r="W30" s="32">
        <f t="shared" si="0"/>
        <v>29</v>
      </c>
    </row>
    <row r="31" spans="1:23" s="28" customFormat="1" x14ac:dyDescent="0.2">
      <c r="A31" s="36">
        <v>19</v>
      </c>
      <c r="B31" s="37" t="s">
        <v>83</v>
      </c>
      <c r="C31" s="38" t="s">
        <v>26</v>
      </c>
      <c r="D31" s="36">
        <v>10</v>
      </c>
      <c r="E31" s="39">
        <v>330</v>
      </c>
      <c r="F31" s="39"/>
      <c r="G31" s="39"/>
      <c r="H31" s="39"/>
      <c r="I31" s="39"/>
      <c r="J31" s="39">
        <v>990</v>
      </c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6">
        <f t="shared" si="1"/>
        <v>990</v>
      </c>
      <c r="W31" s="36">
        <f t="shared" si="0"/>
        <v>3</v>
      </c>
    </row>
    <row r="32" spans="1:23" x14ac:dyDescent="0.2">
      <c r="A32" s="32">
        <v>21</v>
      </c>
      <c r="B32" s="33" t="s">
        <v>30</v>
      </c>
      <c r="C32" s="34" t="s">
        <v>31</v>
      </c>
      <c r="D32" s="32">
        <v>10</v>
      </c>
      <c r="E32" s="35">
        <v>230</v>
      </c>
      <c r="F32" s="35">
        <v>2300</v>
      </c>
      <c r="G32" s="35">
        <v>2300</v>
      </c>
      <c r="H32" s="35">
        <v>2300</v>
      </c>
      <c r="I32" s="35">
        <v>2300</v>
      </c>
      <c r="J32" s="35"/>
      <c r="K32" s="35"/>
      <c r="L32" s="35">
        <v>1150</v>
      </c>
      <c r="M32" s="35">
        <v>1150</v>
      </c>
      <c r="N32" s="35"/>
      <c r="O32" s="35"/>
      <c r="P32" s="35"/>
      <c r="Q32" s="35">
        <v>1380</v>
      </c>
      <c r="R32" s="35">
        <v>1380</v>
      </c>
      <c r="S32" s="35">
        <v>2300</v>
      </c>
      <c r="T32" s="35"/>
      <c r="U32" s="35">
        <v>2990</v>
      </c>
      <c r="V32" s="32">
        <f t="shared" si="1"/>
        <v>19550</v>
      </c>
      <c r="W32" s="32">
        <f t="shared" ref="W32:W43" si="3">V32/E32</f>
        <v>85</v>
      </c>
    </row>
    <row r="33" spans="1:23" s="28" customFormat="1" x14ac:dyDescent="0.2">
      <c r="A33" s="36" t="s">
        <v>194</v>
      </c>
      <c r="B33" s="42">
        <v>90442300</v>
      </c>
      <c r="C33" s="38" t="s">
        <v>173</v>
      </c>
      <c r="D33" s="36">
        <v>10</v>
      </c>
      <c r="E33" s="39">
        <v>230</v>
      </c>
      <c r="F33" s="39"/>
      <c r="G33" s="39">
        <v>2300</v>
      </c>
      <c r="H33" s="39"/>
      <c r="I33" s="39"/>
      <c r="J33" s="39">
        <v>2300</v>
      </c>
      <c r="K33" s="39"/>
      <c r="L33" s="39">
        <v>2070</v>
      </c>
      <c r="M33" s="39"/>
      <c r="N33" s="39">
        <v>2300</v>
      </c>
      <c r="O33" s="39"/>
      <c r="P33" s="39"/>
      <c r="Q33" s="39">
        <v>2990</v>
      </c>
      <c r="R33" s="39"/>
      <c r="S33" s="39">
        <v>1380</v>
      </c>
      <c r="T33" s="39"/>
      <c r="U33" s="39">
        <v>3450</v>
      </c>
      <c r="V33" s="36">
        <f t="shared" si="1"/>
        <v>16790</v>
      </c>
      <c r="W33" s="36">
        <f t="shared" si="3"/>
        <v>73</v>
      </c>
    </row>
    <row r="34" spans="1:23" s="28" customFormat="1" x14ac:dyDescent="0.2">
      <c r="A34" s="36">
        <v>23</v>
      </c>
      <c r="B34" s="37" t="s">
        <v>35</v>
      </c>
      <c r="C34" s="38" t="s">
        <v>36</v>
      </c>
      <c r="D34" s="36">
        <v>5</v>
      </c>
      <c r="E34" s="39">
        <v>50</v>
      </c>
      <c r="F34" s="39"/>
      <c r="G34" s="39"/>
      <c r="H34" s="39">
        <v>500</v>
      </c>
      <c r="I34" s="39"/>
      <c r="J34" s="39"/>
      <c r="K34" s="39"/>
      <c r="L34" s="39"/>
      <c r="M34" s="39"/>
      <c r="N34" s="39">
        <v>500</v>
      </c>
      <c r="O34" s="39"/>
      <c r="P34" s="39">
        <v>500</v>
      </c>
      <c r="Q34" s="39">
        <v>250</v>
      </c>
      <c r="R34" s="39">
        <v>250</v>
      </c>
      <c r="S34" s="39">
        <v>500</v>
      </c>
      <c r="T34" s="39"/>
      <c r="U34" s="39"/>
      <c r="V34" s="36">
        <f t="shared" si="1"/>
        <v>2500</v>
      </c>
      <c r="W34" s="36">
        <f t="shared" si="3"/>
        <v>50</v>
      </c>
    </row>
    <row r="35" spans="1:23" x14ac:dyDescent="0.2">
      <c r="A35" s="32">
        <v>24</v>
      </c>
      <c r="B35" s="33" t="s">
        <v>101</v>
      </c>
      <c r="C35" s="34" t="s">
        <v>37</v>
      </c>
      <c r="D35" s="32">
        <v>50</v>
      </c>
      <c r="E35" s="35">
        <v>600</v>
      </c>
      <c r="F35" s="35"/>
      <c r="G35" s="35">
        <v>1200</v>
      </c>
      <c r="H35" s="35"/>
      <c r="I35" s="35"/>
      <c r="J35" s="35"/>
      <c r="K35" s="35"/>
      <c r="L35" s="35"/>
      <c r="M35" s="35"/>
      <c r="N35" s="35"/>
      <c r="O35" s="35"/>
      <c r="P35" s="35">
        <v>600</v>
      </c>
      <c r="Q35" s="35"/>
      <c r="R35" s="35"/>
      <c r="S35" s="35"/>
      <c r="T35" s="35">
        <v>600</v>
      </c>
      <c r="U35" s="35"/>
      <c r="V35" s="32">
        <f t="shared" si="1"/>
        <v>2400</v>
      </c>
      <c r="W35" s="32">
        <f t="shared" si="3"/>
        <v>4</v>
      </c>
    </row>
    <row r="36" spans="1:23" s="28" customFormat="1" x14ac:dyDescent="0.2">
      <c r="A36" s="36" t="s">
        <v>234</v>
      </c>
      <c r="B36" s="42" t="s">
        <v>200</v>
      </c>
      <c r="C36" s="38" t="s">
        <v>201</v>
      </c>
      <c r="D36" s="36">
        <v>10</v>
      </c>
      <c r="E36" s="36">
        <v>800</v>
      </c>
      <c r="F36" s="39">
        <v>3200</v>
      </c>
      <c r="G36" s="39">
        <v>2400</v>
      </c>
      <c r="H36" s="39">
        <v>2400</v>
      </c>
      <c r="I36" s="39"/>
      <c r="J36" s="39"/>
      <c r="K36" s="39"/>
      <c r="L36" s="39">
        <v>2400</v>
      </c>
      <c r="M36" s="39"/>
      <c r="N36" s="39"/>
      <c r="O36" s="39"/>
      <c r="P36" s="39">
        <v>1600</v>
      </c>
      <c r="Q36" s="39">
        <v>4000</v>
      </c>
      <c r="R36" s="39"/>
      <c r="S36" s="39">
        <v>1600</v>
      </c>
      <c r="T36" s="39">
        <v>2400</v>
      </c>
      <c r="U36" s="39">
        <v>2400</v>
      </c>
      <c r="V36" s="36">
        <f>SUM(F36:U36)</f>
        <v>22400</v>
      </c>
      <c r="W36" s="36">
        <f t="shared" si="3"/>
        <v>28</v>
      </c>
    </row>
    <row r="37" spans="1:23" s="47" customFormat="1" x14ac:dyDescent="0.2">
      <c r="A37" s="43"/>
      <c r="B37" s="44" t="s">
        <v>208</v>
      </c>
      <c r="C37" s="45" t="s">
        <v>209</v>
      </c>
      <c r="D37" s="43">
        <v>10</v>
      </c>
      <c r="E37" s="43">
        <v>400</v>
      </c>
      <c r="F37" s="46"/>
      <c r="G37" s="46">
        <v>800</v>
      </c>
      <c r="H37" s="46">
        <v>400</v>
      </c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>
        <v>400</v>
      </c>
      <c r="U37" s="46"/>
      <c r="V37" s="43">
        <f>SUM(F37:U37)</f>
        <v>1600</v>
      </c>
      <c r="W37" s="43">
        <f t="shared" si="3"/>
        <v>4</v>
      </c>
    </row>
    <row r="38" spans="1:23" s="28" customFormat="1" x14ac:dyDescent="0.2">
      <c r="A38" s="36"/>
      <c r="B38" s="42" t="s">
        <v>210</v>
      </c>
      <c r="C38" s="38" t="s">
        <v>211</v>
      </c>
      <c r="D38" s="36">
        <v>10</v>
      </c>
      <c r="E38" s="36">
        <v>300</v>
      </c>
      <c r="F38" s="39"/>
      <c r="G38" s="39">
        <v>900</v>
      </c>
      <c r="H38" s="39">
        <v>600</v>
      </c>
      <c r="I38" s="39"/>
      <c r="J38" s="39"/>
      <c r="K38" s="39"/>
      <c r="L38" s="39"/>
      <c r="M38" s="39"/>
      <c r="N38" s="39"/>
      <c r="O38" s="39"/>
      <c r="P38" s="39">
        <v>300</v>
      </c>
      <c r="Q38" s="39"/>
      <c r="R38" s="39">
        <v>300</v>
      </c>
      <c r="S38" s="39"/>
      <c r="T38" s="39">
        <v>300</v>
      </c>
      <c r="U38" s="39">
        <v>1200</v>
      </c>
      <c r="V38" s="36">
        <f>SUM(F38:U38)</f>
        <v>3600</v>
      </c>
      <c r="W38" s="36">
        <f t="shared" si="3"/>
        <v>12</v>
      </c>
    </row>
    <row r="39" spans="1:23" s="28" customFormat="1" x14ac:dyDescent="0.2">
      <c r="A39" s="36"/>
      <c r="B39" s="42">
        <v>90443200</v>
      </c>
      <c r="C39" s="38" t="s">
        <v>237</v>
      </c>
      <c r="D39" s="36">
        <v>10</v>
      </c>
      <c r="E39" s="36">
        <v>300</v>
      </c>
      <c r="F39" s="39"/>
      <c r="G39" s="39"/>
      <c r="H39" s="39">
        <v>1200</v>
      </c>
      <c r="I39" s="39">
        <v>1200</v>
      </c>
      <c r="J39" s="39"/>
      <c r="K39" s="39">
        <v>1200</v>
      </c>
      <c r="L39" s="39">
        <v>1800</v>
      </c>
      <c r="M39" s="39"/>
      <c r="N39" s="39">
        <v>1500</v>
      </c>
      <c r="O39" s="39">
        <v>600</v>
      </c>
      <c r="P39" s="39">
        <v>1200</v>
      </c>
      <c r="Q39" s="39">
        <v>900</v>
      </c>
      <c r="R39" s="39"/>
      <c r="S39" s="39">
        <v>1500</v>
      </c>
      <c r="T39" s="39">
        <v>2100</v>
      </c>
      <c r="U39" s="39">
        <v>3300</v>
      </c>
      <c r="V39" s="36">
        <f t="shared" ref="V39" si="4">SUM(F39:U39)</f>
        <v>16500</v>
      </c>
      <c r="W39" s="36">
        <f t="shared" si="3"/>
        <v>55</v>
      </c>
    </row>
    <row r="40" spans="1:23" x14ac:dyDescent="0.2">
      <c r="A40" s="32">
        <v>26</v>
      </c>
      <c r="B40" s="40" t="s">
        <v>157</v>
      </c>
      <c r="C40" s="34" t="s">
        <v>160</v>
      </c>
      <c r="D40" s="32">
        <v>10</v>
      </c>
      <c r="E40" s="32">
        <v>160</v>
      </c>
      <c r="F40" s="35">
        <v>1600</v>
      </c>
      <c r="G40" s="35">
        <v>1600</v>
      </c>
      <c r="H40" s="35"/>
      <c r="I40" s="35"/>
      <c r="J40" s="35"/>
      <c r="K40" s="35"/>
      <c r="L40" s="35"/>
      <c r="M40" s="35">
        <v>2080</v>
      </c>
      <c r="N40" s="35">
        <v>320</v>
      </c>
      <c r="O40" s="35">
        <v>480</v>
      </c>
      <c r="P40" s="35"/>
      <c r="Q40" s="35">
        <v>800</v>
      </c>
      <c r="R40" s="35">
        <v>1600</v>
      </c>
      <c r="S40" s="35">
        <v>1600</v>
      </c>
      <c r="T40" s="35"/>
      <c r="U40" s="35">
        <v>1600</v>
      </c>
      <c r="V40" s="32">
        <f t="shared" si="1"/>
        <v>11680</v>
      </c>
      <c r="W40" s="32">
        <f t="shared" si="3"/>
        <v>73</v>
      </c>
    </row>
    <row r="41" spans="1:23" s="28" customFormat="1" x14ac:dyDescent="0.2">
      <c r="A41" s="36" t="s">
        <v>199</v>
      </c>
      <c r="B41" s="42">
        <v>90443300</v>
      </c>
      <c r="C41" s="38" t="s">
        <v>172</v>
      </c>
      <c r="D41" s="36">
        <v>10</v>
      </c>
      <c r="E41" s="36">
        <v>160</v>
      </c>
      <c r="F41" s="39"/>
      <c r="G41" s="39">
        <v>1600</v>
      </c>
      <c r="H41" s="39"/>
      <c r="I41" s="39"/>
      <c r="J41" s="39">
        <v>1600</v>
      </c>
      <c r="K41" s="39">
        <v>1600</v>
      </c>
      <c r="L41" s="39"/>
      <c r="M41" s="39">
        <v>1600</v>
      </c>
      <c r="N41" s="39">
        <v>3200</v>
      </c>
      <c r="O41" s="39">
        <v>1600</v>
      </c>
      <c r="P41" s="39"/>
      <c r="Q41" s="39">
        <v>1600</v>
      </c>
      <c r="R41" s="39"/>
      <c r="S41" s="39"/>
      <c r="T41" s="39"/>
      <c r="U41" s="39">
        <v>2400</v>
      </c>
      <c r="V41" s="36">
        <f t="shared" si="1"/>
        <v>15200</v>
      </c>
      <c r="W41" s="36">
        <f t="shared" si="3"/>
        <v>95</v>
      </c>
    </row>
    <row r="42" spans="1:23" s="28" customFormat="1" x14ac:dyDescent="0.2">
      <c r="A42" s="36">
        <v>28</v>
      </c>
      <c r="B42" s="37" t="s">
        <v>159</v>
      </c>
      <c r="C42" s="38" t="s">
        <v>162</v>
      </c>
      <c r="D42" s="36">
        <v>50</v>
      </c>
      <c r="E42" s="39">
        <v>350</v>
      </c>
      <c r="F42" s="39"/>
      <c r="G42" s="39">
        <v>700</v>
      </c>
      <c r="H42" s="39">
        <v>700</v>
      </c>
      <c r="I42" s="39">
        <v>700</v>
      </c>
      <c r="J42" s="39"/>
      <c r="K42" s="39"/>
      <c r="L42" s="39"/>
      <c r="M42" s="39"/>
      <c r="N42" s="39"/>
      <c r="O42" s="39"/>
      <c r="P42" s="39"/>
      <c r="Q42" s="39">
        <v>350</v>
      </c>
      <c r="R42" s="39"/>
      <c r="S42" s="39">
        <v>350</v>
      </c>
      <c r="T42" s="39"/>
      <c r="U42" s="39"/>
      <c r="V42" s="36">
        <f t="shared" si="1"/>
        <v>2800</v>
      </c>
      <c r="W42" s="36">
        <f t="shared" si="3"/>
        <v>8</v>
      </c>
    </row>
    <row r="43" spans="1:23" x14ac:dyDescent="0.2">
      <c r="A43" s="32">
        <v>31</v>
      </c>
      <c r="B43" s="33" t="s">
        <v>100</v>
      </c>
      <c r="C43" s="34" t="s">
        <v>40</v>
      </c>
      <c r="D43" s="32">
        <v>50</v>
      </c>
      <c r="E43" s="35">
        <v>1750</v>
      </c>
      <c r="F43" s="35"/>
      <c r="G43" s="35">
        <v>12250</v>
      </c>
      <c r="H43" s="35"/>
      <c r="I43" s="35"/>
      <c r="J43" s="35">
        <v>5250</v>
      </c>
      <c r="K43" s="35"/>
      <c r="L43" s="35">
        <v>5250</v>
      </c>
      <c r="M43" s="35"/>
      <c r="N43" s="35">
        <v>5250</v>
      </c>
      <c r="O43" s="35"/>
      <c r="P43" s="35"/>
      <c r="Q43" s="35">
        <v>7000</v>
      </c>
      <c r="R43" s="35"/>
      <c r="S43" s="35">
        <v>5250</v>
      </c>
      <c r="T43" s="35">
        <v>5250</v>
      </c>
      <c r="U43" s="35">
        <v>10500</v>
      </c>
      <c r="V43" s="32">
        <f t="shared" si="1"/>
        <v>56000</v>
      </c>
      <c r="W43" s="32">
        <f t="shared" si="3"/>
        <v>32</v>
      </c>
    </row>
    <row r="44" spans="1:23" x14ac:dyDescent="0.2">
      <c r="A44" s="32"/>
      <c r="B44" s="33"/>
      <c r="C44" s="34"/>
      <c r="D44" s="32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2"/>
      <c r="W44" s="32"/>
    </row>
    <row r="45" spans="1:23" x14ac:dyDescent="0.2">
      <c r="A45" s="410" t="s">
        <v>135</v>
      </c>
      <c r="B45" s="414"/>
      <c r="C45" s="414"/>
      <c r="D45" s="414"/>
      <c r="E45" s="411"/>
      <c r="F45" s="52">
        <f t="shared" ref="F45:V45" si="5">SUM(F7:F44)</f>
        <v>160500</v>
      </c>
      <c r="G45" s="52">
        <f t="shared" si="5"/>
        <v>203400</v>
      </c>
      <c r="H45" s="52">
        <f t="shared" si="5"/>
        <v>147950</v>
      </c>
      <c r="I45" s="52">
        <f t="shared" si="5"/>
        <v>107250</v>
      </c>
      <c r="J45" s="52">
        <f t="shared" si="5"/>
        <v>50290</v>
      </c>
      <c r="K45" s="52">
        <f t="shared" si="5"/>
        <v>62800</v>
      </c>
      <c r="L45" s="52">
        <f t="shared" si="5"/>
        <v>98170</v>
      </c>
      <c r="M45" s="52">
        <f t="shared" si="5"/>
        <v>89230</v>
      </c>
      <c r="N45" s="52">
        <f t="shared" si="5"/>
        <v>77900</v>
      </c>
      <c r="O45" s="52">
        <f t="shared" si="5"/>
        <v>40780</v>
      </c>
      <c r="P45" s="64">
        <f t="shared" si="5"/>
        <v>74540</v>
      </c>
      <c r="Q45" s="64">
        <f t="shared" si="5"/>
        <v>71970</v>
      </c>
      <c r="R45" s="64">
        <f t="shared" si="5"/>
        <v>27130</v>
      </c>
      <c r="S45" s="64">
        <f t="shared" si="5"/>
        <v>103330</v>
      </c>
      <c r="T45" s="64">
        <f t="shared" si="5"/>
        <v>67750</v>
      </c>
      <c r="U45" s="52">
        <f t="shared" si="5"/>
        <v>107940</v>
      </c>
      <c r="V45" s="52">
        <f t="shared" si="5"/>
        <v>1490930</v>
      </c>
      <c r="W45" s="10"/>
    </row>
    <row r="46" spans="1:23" x14ac:dyDescent="0.2">
      <c r="A46" s="421" t="s">
        <v>184</v>
      </c>
      <c r="B46" s="421"/>
      <c r="C46" s="421"/>
      <c r="D46" s="421"/>
      <c r="E46" s="421"/>
      <c r="W46" s="17">
        <f>SUM(W7:W44)</f>
        <v>2208</v>
      </c>
    </row>
  </sheetData>
  <autoFilter ref="B4:B43"/>
  <mergeCells count="7">
    <mergeCell ref="A46:E46"/>
    <mergeCell ref="A1:E1"/>
    <mergeCell ref="V1:W1"/>
    <mergeCell ref="A2:E2"/>
    <mergeCell ref="D3:E3"/>
    <mergeCell ref="D4:E4"/>
    <mergeCell ref="A45:E45"/>
  </mergeCells>
  <pageMargins left="0.51181102362204722" right="0.51181102362204722" top="0.51181102362204722" bottom="0.51181102362204722" header="0" footer="0"/>
  <pageSetup paperSize="9" scale="89" orientation="landscape" blackAndWhite="1" horizontalDpi="4294967295" verticalDpi="18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1"/>
  <sheetViews>
    <sheetView workbookViewId="0">
      <pane xSplit="5" ySplit="5" topLeftCell="Y45" activePane="bottomRight" state="frozenSplit"/>
      <selection pane="topRight" activeCell="G1" sqref="G1"/>
      <selection pane="bottomLeft" activeCell="A17" sqref="A17"/>
      <selection pane="bottomRight" activeCell="AE7" sqref="AE7"/>
    </sheetView>
  </sheetViews>
  <sheetFormatPr defaultRowHeight="12.75" x14ac:dyDescent="0.2"/>
  <cols>
    <col min="1" max="1" width="4.28515625" bestFit="1" customWidth="1"/>
    <col min="2" max="2" width="10.85546875" bestFit="1" customWidth="1"/>
    <col min="3" max="3" width="34.5703125" bestFit="1" customWidth="1"/>
    <col min="4" max="4" width="5.85546875" bestFit="1" customWidth="1"/>
    <col min="5" max="5" width="5" bestFit="1" customWidth="1"/>
    <col min="6" max="28" width="8.140625" customWidth="1"/>
    <col min="29" max="29" width="10.5703125" style="16" bestFit="1" customWidth="1"/>
    <col min="30" max="30" width="9.28515625" style="16" bestFit="1" customWidth="1"/>
  </cols>
  <sheetData>
    <row r="1" spans="1:30" x14ac:dyDescent="0.2">
      <c r="A1" s="415" t="s">
        <v>293</v>
      </c>
      <c r="B1" s="422"/>
      <c r="C1" s="422"/>
      <c r="D1" s="422"/>
      <c r="E1" s="423"/>
      <c r="F1" s="72">
        <v>3177</v>
      </c>
      <c r="G1" s="72">
        <v>3180</v>
      </c>
      <c r="H1" s="72">
        <v>3182</v>
      </c>
      <c r="I1" s="72">
        <v>3185</v>
      </c>
      <c r="J1" s="72">
        <v>3189</v>
      </c>
      <c r="K1" s="70">
        <v>3191</v>
      </c>
      <c r="L1" s="81">
        <v>3193</v>
      </c>
      <c r="M1" s="70">
        <v>3195</v>
      </c>
      <c r="N1" s="70">
        <v>3197</v>
      </c>
      <c r="O1" s="70">
        <v>3198</v>
      </c>
      <c r="P1" s="70">
        <v>3199</v>
      </c>
      <c r="Q1" s="70">
        <v>3201</v>
      </c>
      <c r="R1" s="87">
        <v>3202</v>
      </c>
      <c r="S1" s="70">
        <v>3203</v>
      </c>
      <c r="T1" s="70">
        <v>3204</v>
      </c>
      <c r="U1" s="70">
        <v>3205</v>
      </c>
      <c r="V1" s="70">
        <v>3207</v>
      </c>
      <c r="W1" s="91">
        <v>3208</v>
      </c>
      <c r="X1" s="91">
        <v>3210</v>
      </c>
      <c r="Y1" s="95">
        <v>3211</v>
      </c>
      <c r="Z1" s="101">
        <v>3212</v>
      </c>
      <c r="AA1" s="105">
        <v>3214</v>
      </c>
      <c r="AB1" s="105">
        <v>3216</v>
      </c>
      <c r="AC1" s="408" t="s">
        <v>138</v>
      </c>
      <c r="AD1" s="408"/>
    </row>
    <row r="2" spans="1:30" x14ac:dyDescent="0.2">
      <c r="A2" s="410" t="s">
        <v>42</v>
      </c>
      <c r="B2" s="422"/>
      <c r="C2" s="422"/>
      <c r="D2" s="422"/>
      <c r="E2" s="423"/>
      <c r="F2" s="74" t="s">
        <v>259</v>
      </c>
      <c r="G2" s="74" t="s">
        <v>261</v>
      </c>
      <c r="H2" s="75" t="s">
        <v>266</v>
      </c>
      <c r="I2" s="77" t="s">
        <v>267</v>
      </c>
      <c r="J2" s="77" t="s">
        <v>268</v>
      </c>
      <c r="K2" s="79" t="s">
        <v>269</v>
      </c>
      <c r="L2" s="82" t="s">
        <v>284</v>
      </c>
      <c r="M2" s="82" t="s">
        <v>270</v>
      </c>
      <c r="N2" s="82" t="s">
        <v>283</v>
      </c>
      <c r="O2" s="82" t="s">
        <v>285</v>
      </c>
      <c r="P2" s="82" t="s">
        <v>286</v>
      </c>
      <c r="Q2" s="84" t="s">
        <v>288</v>
      </c>
      <c r="R2" s="88" t="s">
        <v>291</v>
      </c>
      <c r="S2" s="85" t="s">
        <v>289</v>
      </c>
      <c r="T2" s="86" t="s">
        <v>290</v>
      </c>
      <c r="U2" s="92" t="s">
        <v>292</v>
      </c>
      <c r="V2" s="92" t="s">
        <v>294</v>
      </c>
      <c r="W2" s="92" t="s">
        <v>294</v>
      </c>
      <c r="X2" s="92" t="s">
        <v>297</v>
      </c>
      <c r="Y2" s="96" t="s">
        <v>298</v>
      </c>
      <c r="Z2" s="102" t="s">
        <v>299</v>
      </c>
      <c r="AA2" s="106" t="s">
        <v>300</v>
      </c>
      <c r="AB2" s="106" t="s">
        <v>301</v>
      </c>
      <c r="AC2" s="69" t="s">
        <v>116</v>
      </c>
      <c r="AD2" s="18" t="s">
        <v>5</v>
      </c>
    </row>
    <row r="3" spans="1:30" x14ac:dyDescent="0.2">
      <c r="A3" s="71"/>
      <c r="B3" s="71"/>
      <c r="C3" s="71"/>
      <c r="D3" s="410" t="s">
        <v>140</v>
      </c>
      <c r="E3" s="414"/>
      <c r="F3" s="72">
        <v>200</v>
      </c>
      <c r="G3" s="72">
        <v>25</v>
      </c>
      <c r="H3" s="72">
        <v>142</v>
      </c>
      <c r="I3" s="72">
        <v>2</v>
      </c>
      <c r="J3" s="72">
        <v>242</v>
      </c>
      <c r="K3" s="72">
        <v>10</v>
      </c>
      <c r="L3" s="82">
        <v>45</v>
      </c>
      <c r="M3" s="72">
        <v>318</v>
      </c>
      <c r="N3" s="72">
        <v>63</v>
      </c>
      <c r="O3" s="72">
        <v>232</v>
      </c>
      <c r="P3" s="72">
        <v>143</v>
      </c>
      <c r="Q3" s="72">
        <f>67+18</f>
        <v>85</v>
      </c>
      <c r="R3" s="88">
        <v>54</v>
      </c>
      <c r="S3" s="72">
        <v>92</v>
      </c>
      <c r="T3" s="72">
        <f>16+217</f>
        <v>233</v>
      </c>
      <c r="U3" s="72">
        <v>147</v>
      </c>
      <c r="V3" s="72">
        <v>178</v>
      </c>
      <c r="W3" s="92">
        <v>57</v>
      </c>
      <c r="X3" s="92">
        <f>187+50</f>
        <v>237</v>
      </c>
      <c r="Y3" s="96">
        <v>299</v>
      </c>
      <c r="Z3" s="102">
        <v>54</v>
      </c>
      <c r="AA3" s="106">
        <v>108</v>
      </c>
      <c r="AB3" s="106">
        <v>533</v>
      </c>
      <c r="AC3" s="10"/>
      <c r="AD3" s="10"/>
    </row>
    <row r="4" spans="1:30" ht="25.5" x14ac:dyDescent="0.2">
      <c r="A4" s="9" t="s">
        <v>1</v>
      </c>
      <c r="B4" s="4" t="s">
        <v>2</v>
      </c>
      <c r="C4" s="4" t="s">
        <v>0</v>
      </c>
      <c r="D4" s="408" t="s">
        <v>3</v>
      </c>
      <c r="E4" s="415"/>
      <c r="F4" s="70" t="s">
        <v>116</v>
      </c>
      <c r="G4" s="70" t="s">
        <v>116</v>
      </c>
      <c r="H4" s="70" t="s">
        <v>116</v>
      </c>
      <c r="I4" s="70" t="s">
        <v>116</v>
      </c>
      <c r="J4" s="70" t="s">
        <v>116</v>
      </c>
      <c r="K4" s="70" t="s">
        <v>116</v>
      </c>
      <c r="L4" s="82" t="s">
        <v>116</v>
      </c>
      <c r="M4" s="72" t="s">
        <v>116</v>
      </c>
      <c r="N4" s="72" t="s">
        <v>116</v>
      </c>
      <c r="O4" s="72" t="s">
        <v>116</v>
      </c>
      <c r="P4" s="72" t="s">
        <v>116</v>
      </c>
      <c r="Q4" s="72" t="s">
        <v>116</v>
      </c>
      <c r="R4" s="88" t="s">
        <v>116</v>
      </c>
      <c r="S4" s="72" t="s">
        <v>116</v>
      </c>
      <c r="T4" s="72" t="s">
        <v>116</v>
      </c>
      <c r="U4" s="72" t="s">
        <v>116</v>
      </c>
      <c r="V4" s="72" t="s">
        <v>116</v>
      </c>
      <c r="W4" s="92" t="s">
        <v>116</v>
      </c>
      <c r="X4" s="92" t="s">
        <v>116</v>
      </c>
      <c r="Y4" s="96" t="s">
        <v>116</v>
      </c>
      <c r="Z4" s="102" t="s">
        <v>116</v>
      </c>
      <c r="AA4" s="106" t="s">
        <v>116</v>
      </c>
      <c r="AB4" s="106" t="s">
        <v>116</v>
      </c>
      <c r="AC4" s="10"/>
      <c r="AD4" s="10"/>
    </row>
    <row r="5" spans="1:30" x14ac:dyDescent="0.2">
      <c r="A5" s="10"/>
      <c r="B5" s="2"/>
      <c r="C5" s="2"/>
      <c r="D5" s="69" t="s">
        <v>4</v>
      </c>
      <c r="E5" s="73" t="s">
        <v>5</v>
      </c>
      <c r="F5" s="73"/>
      <c r="G5" s="73"/>
      <c r="H5" s="73"/>
      <c r="I5" s="73"/>
      <c r="J5" s="73"/>
      <c r="K5" s="73"/>
      <c r="L5" s="83"/>
      <c r="M5" s="73"/>
      <c r="N5" s="73"/>
      <c r="O5" s="73"/>
      <c r="P5" s="73"/>
      <c r="Q5" s="73"/>
      <c r="R5" s="89"/>
      <c r="S5" s="73"/>
      <c r="T5" s="73"/>
      <c r="U5" s="73"/>
      <c r="V5" s="73"/>
      <c r="W5" s="93"/>
      <c r="X5" s="93"/>
      <c r="Y5" s="97"/>
      <c r="Z5" s="103"/>
      <c r="AA5" s="107"/>
      <c r="AB5" s="107"/>
      <c r="AC5" s="10"/>
      <c r="AD5" s="10"/>
    </row>
    <row r="6" spans="1:30" x14ac:dyDescent="0.2">
      <c r="A6" s="29"/>
      <c r="B6" s="30"/>
      <c r="C6" s="30"/>
      <c r="D6" s="2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29"/>
      <c r="AD6" s="29"/>
    </row>
    <row r="7" spans="1:30" x14ac:dyDescent="0.2">
      <c r="A7" s="32" t="s">
        <v>222</v>
      </c>
      <c r="B7" s="33" t="s">
        <v>85</v>
      </c>
      <c r="C7" s="34" t="s">
        <v>6</v>
      </c>
      <c r="D7" s="32">
        <v>100</v>
      </c>
      <c r="E7" s="35">
        <v>2000</v>
      </c>
      <c r="F7" s="35"/>
      <c r="G7" s="35"/>
      <c r="H7" s="35">
        <v>4000</v>
      </c>
      <c r="I7" s="35"/>
      <c r="J7" s="35">
        <v>4000</v>
      </c>
      <c r="K7" s="35"/>
      <c r="L7" s="35"/>
      <c r="M7" s="35">
        <v>6000</v>
      </c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>
        <v>2000</v>
      </c>
      <c r="Z7" s="35"/>
      <c r="AA7" s="35">
        <v>20000</v>
      </c>
      <c r="AB7" s="35">
        <v>4000</v>
      </c>
      <c r="AC7" s="32">
        <f t="shared" ref="AC7:AC38" si="0">SUM(F7:AB7)</f>
        <v>40000</v>
      </c>
      <c r="AD7" s="32">
        <f t="shared" ref="AD7:AD38" si="1">AC7/E7</f>
        <v>20</v>
      </c>
    </row>
    <row r="8" spans="1:30" s="28" customFormat="1" x14ac:dyDescent="0.2">
      <c r="A8" s="36">
        <v>2</v>
      </c>
      <c r="B8" s="37" t="s">
        <v>81</v>
      </c>
      <c r="C8" s="38" t="s">
        <v>7</v>
      </c>
      <c r="D8" s="36">
        <v>100</v>
      </c>
      <c r="E8" s="39">
        <v>2000</v>
      </c>
      <c r="F8" s="39"/>
      <c r="G8" s="39"/>
      <c r="H8" s="39"/>
      <c r="I8" s="39"/>
      <c r="J8" s="39">
        <v>20000</v>
      </c>
      <c r="K8" s="39"/>
      <c r="L8" s="39"/>
      <c r="M8" s="39">
        <v>10000</v>
      </c>
      <c r="N8" s="39">
        <v>2000</v>
      </c>
      <c r="O8" s="39"/>
      <c r="P8" s="39">
        <v>8000</v>
      </c>
      <c r="Q8" s="39"/>
      <c r="R8" s="39"/>
      <c r="S8" s="39">
        <v>10000</v>
      </c>
      <c r="T8" s="39"/>
      <c r="U8" s="39"/>
      <c r="V8" s="39"/>
      <c r="W8" s="39"/>
      <c r="X8" s="39"/>
      <c r="Y8" s="39">
        <v>10000</v>
      </c>
      <c r="Z8" s="39"/>
      <c r="AA8" s="39">
        <v>10000</v>
      </c>
      <c r="AB8" s="39"/>
      <c r="AC8" s="36">
        <f t="shared" si="0"/>
        <v>70000</v>
      </c>
      <c r="AD8" s="36">
        <f t="shared" si="1"/>
        <v>35</v>
      </c>
    </row>
    <row r="9" spans="1:30" x14ac:dyDescent="0.2">
      <c r="A9" s="32">
        <v>3</v>
      </c>
      <c r="B9" s="33" t="s">
        <v>86</v>
      </c>
      <c r="C9" s="34" t="s">
        <v>8</v>
      </c>
      <c r="D9" s="32">
        <v>50</v>
      </c>
      <c r="E9" s="35">
        <v>1100</v>
      </c>
      <c r="F9" s="35">
        <v>5500</v>
      </c>
      <c r="G9" s="35"/>
      <c r="H9" s="35"/>
      <c r="I9" s="35"/>
      <c r="J9" s="35">
        <v>6600</v>
      </c>
      <c r="K9" s="35"/>
      <c r="L9" s="35"/>
      <c r="M9" s="35">
        <v>14300</v>
      </c>
      <c r="N9" s="35">
        <v>2200</v>
      </c>
      <c r="O9" s="35"/>
      <c r="P9" s="35">
        <v>8800</v>
      </c>
      <c r="Q9" s="35"/>
      <c r="R9" s="35"/>
      <c r="S9" s="35">
        <v>6600</v>
      </c>
      <c r="T9" s="35"/>
      <c r="U9" s="35"/>
      <c r="V9" s="35"/>
      <c r="W9" s="35"/>
      <c r="X9" s="35"/>
      <c r="Y9" s="35">
        <v>6600</v>
      </c>
      <c r="Z9" s="35"/>
      <c r="AA9" s="35"/>
      <c r="AB9" s="35"/>
      <c r="AC9" s="32">
        <f t="shared" si="0"/>
        <v>50600</v>
      </c>
      <c r="AD9" s="32">
        <f t="shared" si="1"/>
        <v>46</v>
      </c>
    </row>
    <row r="10" spans="1:30" s="28" customFormat="1" x14ac:dyDescent="0.2">
      <c r="A10" s="36">
        <v>4</v>
      </c>
      <c r="B10" s="37" t="s">
        <v>87</v>
      </c>
      <c r="C10" s="38" t="s">
        <v>9</v>
      </c>
      <c r="D10" s="36">
        <v>50</v>
      </c>
      <c r="E10" s="39">
        <v>1000</v>
      </c>
      <c r="F10" s="39">
        <v>1000</v>
      </c>
      <c r="G10" s="39"/>
      <c r="H10" s="39">
        <v>5000</v>
      </c>
      <c r="I10" s="39"/>
      <c r="J10" s="39">
        <v>12000</v>
      </c>
      <c r="K10" s="39"/>
      <c r="L10" s="39"/>
      <c r="M10" s="39">
        <v>5000</v>
      </c>
      <c r="N10" s="39">
        <v>6000</v>
      </c>
      <c r="O10" s="39"/>
      <c r="P10" s="39">
        <v>4000</v>
      </c>
      <c r="Q10" s="39"/>
      <c r="R10" s="39"/>
      <c r="S10" s="39"/>
      <c r="T10" s="39"/>
      <c r="U10" s="39"/>
      <c r="V10" s="39"/>
      <c r="W10" s="39"/>
      <c r="X10" s="39"/>
      <c r="Y10" s="39">
        <v>1000</v>
      </c>
      <c r="Z10" s="39"/>
      <c r="AA10" s="39">
        <v>5000</v>
      </c>
      <c r="AB10" s="39">
        <v>8000</v>
      </c>
      <c r="AC10" s="36">
        <f t="shared" si="0"/>
        <v>47000</v>
      </c>
      <c r="AD10" s="36">
        <f t="shared" si="1"/>
        <v>47</v>
      </c>
    </row>
    <row r="11" spans="1:30" x14ac:dyDescent="0.2">
      <c r="A11" s="32">
        <v>5</v>
      </c>
      <c r="B11" s="33" t="s">
        <v>82</v>
      </c>
      <c r="C11" s="34" t="s">
        <v>10</v>
      </c>
      <c r="D11" s="32">
        <v>50</v>
      </c>
      <c r="E11" s="35">
        <v>800</v>
      </c>
      <c r="F11" s="35"/>
      <c r="G11" s="35"/>
      <c r="H11" s="35">
        <v>4000</v>
      </c>
      <c r="I11" s="35"/>
      <c r="J11" s="35">
        <v>8800</v>
      </c>
      <c r="K11" s="35"/>
      <c r="L11" s="35"/>
      <c r="M11" s="35">
        <v>4000</v>
      </c>
      <c r="N11" s="35">
        <v>1600</v>
      </c>
      <c r="O11" s="35"/>
      <c r="P11" s="35">
        <v>4800</v>
      </c>
      <c r="Q11" s="35"/>
      <c r="R11" s="35"/>
      <c r="S11" s="35"/>
      <c r="T11" s="35"/>
      <c r="U11" s="35"/>
      <c r="V11" s="35"/>
      <c r="W11" s="35"/>
      <c r="X11" s="35"/>
      <c r="Y11" s="35">
        <v>800</v>
      </c>
      <c r="Z11" s="35"/>
      <c r="AA11" s="35">
        <v>8000</v>
      </c>
      <c r="AB11" s="35">
        <v>4000</v>
      </c>
      <c r="AC11" s="32">
        <f t="shared" si="0"/>
        <v>36000</v>
      </c>
      <c r="AD11" s="32">
        <f t="shared" si="1"/>
        <v>45</v>
      </c>
    </row>
    <row r="12" spans="1:30" s="28" customFormat="1" x14ac:dyDescent="0.2">
      <c r="A12" s="36">
        <v>6</v>
      </c>
      <c r="B12" s="37" t="s">
        <v>89</v>
      </c>
      <c r="C12" s="38" t="s">
        <v>11</v>
      </c>
      <c r="D12" s="36">
        <v>50</v>
      </c>
      <c r="E12" s="39">
        <v>600</v>
      </c>
      <c r="F12" s="39">
        <v>3000</v>
      </c>
      <c r="G12" s="39"/>
      <c r="H12" s="39">
        <v>4200</v>
      </c>
      <c r="I12" s="39"/>
      <c r="J12" s="39">
        <v>18600</v>
      </c>
      <c r="K12" s="39"/>
      <c r="L12" s="39"/>
      <c r="M12" s="39">
        <v>7800</v>
      </c>
      <c r="N12" s="39">
        <v>4200</v>
      </c>
      <c r="O12" s="39"/>
      <c r="P12" s="39">
        <v>3000</v>
      </c>
      <c r="Q12" s="39"/>
      <c r="R12" s="39"/>
      <c r="S12" s="39">
        <v>6000</v>
      </c>
      <c r="T12" s="39"/>
      <c r="U12" s="39">
        <v>6000</v>
      </c>
      <c r="V12" s="39"/>
      <c r="W12" s="39"/>
      <c r="X12" s="39"/>
      <c r="Y12" s="39">
        <v>6000</v>
      </c>
      <c r="Z12" s="39"/>
      <c r="AA12" s="39">
        <v>2400</v>
      </c>
      <c r="AB12" s="39"/>
      <c r="AC12" s="36">
        <f t="shared" si="0"/>
        <v>61200</v>
      </c>
      <c r="AD12" s="36">
        <f t="shared" si="1"/>
        <v>102</v>
      </c>
    </row>
    <row r="13" spans="1:30" x14ac:dyDescent="0.2">
      <c r="A13" s="32" t="s">
        <v>12</v>
      </c>
      <c r="B13" s="48" t="s">
        <v>214</v>
      </c>
      <c r="C13" s="34" t="s">
        <v>213</v>
      </c>
      <c r="D13" s="32">
        <v>50</v>
      </c>
      <c r="E13" s="35">
        <v>600</v>
      </c>
      <c r="F13" s="35"/>
      <c r="G13" s="35">
        <v>3000</v>
      </c>
      <c r="H13" s="35"/>
      <c r="I13" s="35">
        <v>1200</v>
      </c>
      <c r="J13" s="35"/>
      <c r="K13" s="35"/>
      <c r="L13" s="35"/>
      <c r="M13" s="35">
        <v>1200</v>
      </c>
      <c r="N13" s="35"/>
      <c r="O13" s="35"/>
      <c r="P13" s="35"/>
      <c r="Q13" s="35">
        <v>1200</v>
      </c>
      <c r="R13" s="35"/>
      <c r="S13" s="35">
        <v>1200</v>
      </c>
      <c r="T13" s="35"/>
      <c r="U13" s="35"/>
      <c r="V13" s="35">
        <v>2400</v>
      </c>
      <c r="W13" s="35"/>
      <c r="X13" s="35">
        <v>4200</v>
      </c>
      <c r="Y13" s="35"/>
      <c r="Z13" s="35"/>
      <c r="AA13" s="35"/>
      <c r="AB13" s="35">
        <v>2400</v>
      </c>
      <c r="AC13" s="32">
        <f t="shared" si="0"/>
        <v>16800</v>
      </c>
      <c r="AD13" s="32">
        <f t="shared" si="1"/>
        <v>28</v>
      </c>
    </row>
    <row r="14" spans="1:30" s="28" customFormat="1" x14ac:dyDescent="0.2">
      <c r="A14" s="36">
        <v>7</v>
      </c>
      <c r="B14" s="37" t="s">
        <v>88</v>
      </c>
      <c r="C14" s="38" t="s">
        <v>14</v>
      </c>
      <c r="D14" s="36">
        <v>10</v>
      </c>
      <c r="E14" s="39">
        <v>400</v>
      </c>
      <c r="F14" s="39">
        <v>2000</v>
      </c>
      <c r="G14" s="39"/>
      <c r="H14" s="39"/>
      <c r="I14" s="39"/>
      <c r="J14" s="39">
        <v>2400</v>
      </c>
      <c r="K14" s="39"/>
      <c r="L14" s="39"/>
      <c r="M14" s="39">
        <v>2000</v>
      </c>
      <c r="N14" s="39"/>
      <c r="O14" s="39"/>
      <c r="P14" s="39">
        <v>1200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>
        <v>400</v>
      </c>
      <c r="AB14" s="39">
        <v>5600</v>
      </c>
      <c r="AC14" s="36">
        <f t="shared" si="0"/>
        <v>13600</v>
      </c>
      <c r="AD14" s="36">
        <f t="shared" si="1"/>
        <v>34</v>
      </c>
    </row>
    <row r="15" spans="1:30" x14ac:dyDescent="0.2">
      <c r="A15" s="32">
        <v>8</v>
      </c>
      <c r="B15" s="33" t="s">
        <v>90</v>
      </c>
      <c r="C15" s="34" t="s">
        <v>15</v>
      </c>
      <c r="D15" s="32">
        <v>10</v>
      </c>
      <c r="E15" s="35">
        <v>400</v>
      </c>
      <c r="F15" s="35">
        <v>5200</v>
      </c>
      <c r="G15" s="35"/>
      <c r="H15" s="35">
        <v>8000</v>
      </c>
      <c r="I15" s="35"/>
      <c r="J15" s="35">
        <v>8000</v>
      </c>
      <c r="K15" s="35"/>
      <c r="L15" s="35"/>
      <c r="M15" s="35">
        <v>4000</v>
      </c>
      <c r="N15" s="35">
        <v>2000</v>
      </c>
      <c r="O15" s="35"/>
      <c r="P15" s="35">
        <v>6000</v>
      </c>
      <c r="Q15" s="35"/>
      <c r="R15" s="35"/>
      <c r="S15" s="35">
        <v>4000</v>
      </c>
      <c r="T15" s="35"/>
      <c r="U15" s="35"/>
      <c r="V15" s="35"/>
      <c r="W15" s="35"/>
      <c r="X15" s="35"/>
      <c r="Y15" s="35">
        <v>6000</v>
      </c>
      <c r="Z15" s="35"/>
      <c r="AA15" s="35"/>
      <c r="AB15" s="35"/>
      <c r="AC15" s="32">
        <f t="shared" si="0"/>
        <v>43200</v>
      </c>
      <c r="AD15" s="32">
        <f t="shared" si="1"/>
        <v>108</v>
      </c>
    </row>
    <row r="16" spans="1:30" s="28" customFormat="1" x14ac:dyDescent="0.2">
      <c r="A16" s="36">
        <v>9</v>
      </c>
      <c r="B16" s="37" t="s">
        <v>91</v>
      </c>
      <c r="C16" s="38" t="s">
        <v>16</v>
      </c>
      <c r="D16" s="36">
        <v>10</v>
      </c>
      <c r="E16" s="39">
        <v>300</v>
      </c>
      <c r="F16" s="39">
        <v>9000</v>
      </c>
      <c r="G16" s="39"/>
      <c r="H16" s="39">
        <v>9000</v>
      </c>
      <c r="I16" s="39"/>
      <c r="J16" s="39">
        <v>9000</v>
      </c>
      <c r="K16" s="39"/>
      <c r="L16" s="39"/>
      <c r="M16" s="39">
        <v>12000</v>
      </c>
      <c r="N16" s="39"/>
      <c r="O16" s="39"/>
      <c r="P16" s="39">
        <v>3000</v>
      </c>
      <c r="Q16" s="39"/>
      <c r="R16" s="39"/>
      <c r="S16" s="39">
        <v>3000</v>
      </c>
      <c r="T16" s="39"/>
      <c r="U16" s="39">
        <v>7200</v>
      </c>
      <c r="V16" s="39"/>
      <c r="W16" s="39"/>
      <c r="X16" s="39"/>
      <c r="Y16" s="39">
        <v>10800</v>
      </c>
      <c r="Z16" s="39"/>
      <c r="AA16" s="39">
        <v>3000</v>
      </c>
      <c r="AB16" s="39">
        <v>9000</v>
      </c>
      <c r="AC16" s="36">
        <f t="shared" si="0"/>
        <v>75000</v>
      </c>
      <c r="AD16" s="36">
        <f t="shared" si="1"/>
        <v>250</v>
      </c>
    </row>
    <row r="17" spans="1:30" x14ac:dyDescent="0.2">
      <c r="A17" s="32" t="s">
        <v>17</v>
      </c>
      <c r="B17" s="40">
        <v>90441300</v>
      </c>
      <c r="C17" s="34" t="s">
        <v>179</v>
      </c>
      <c r="D17" s="32">
        <v>10</v>
      </c>
      <c r="E17" s="35">
        <v>300</v>
      </c>
      <c r="F17" s="35"/>
      <c r="G17" s="35"/>
      <c r="H17" s="35"/>
      <c r="I17" s="35"/>
      <c r="J17" s="35">
        <v>900</v>
      </c>
      <c r="K17" s="35"/>
      <c r="L17" s="35"/>
      <c r="M17" s="35">
        <v>1500</v>
      </c>
      <c r="N17" s="35">
        <v>600</v>
      </c>
      <c r="O17" s="35"/>
      <c r="P17" s="35">
        <v>1200</v>
      </c>
      <c r="Q17" s="35"/>
      <c r="R17" s="35"/>
      <c r="S17" s="35"/>
      <c r="T17" s="35"/>
      <c r="U17" s="35"/>
      <c r="V17" s="35"/>
      <c r="W17" s="35">
        <v>1800</v>
      </c>
      <c r="X17" s="35"/>
      <c r="Y17" s="35">
        <v>4500</v>
      </c>
      <c r="Z17" s="35"/>
      <c r="AA17" s="35">
        <v>1200</v>
      </c>
      <c r="AB17" s="35">
        <v>1200</v>
      </c>
      <c r="AC17" s="32">
        <f t="shared" si="0"/>
        <v>12900</v>
      </c>
      <c r="AD17" s="32">
        <f t="shared" si="1"/>
        <v>43</v>
      </c>
    </row>
    <row r="18" spans="1:30" s="28" customFormat="1" x14ac:dyDescent="0.2">
      <c r="A18" s="36" t="s">
        <v>180</v>
      </c>
      <c r="B18" s="37" t="s">
        <v>168</v>
      </c>
      <c r="C18" s="76" t="s">
        <v>169</v>
      </c>
      <c r="D18" s="36">
        <v>10</v>
      </c>
      <c r="E18" s="39">
        <v>300</v>
      </c>
      <c r="F18" s="39">
        <v>3000</v>
      </c>
      <c r="G18" s="39">
        <v>3000</v>
      </c>
      <c r="H18" s="39"/>
      <c r="I18" s="39"/>
      <c r="J18" s="39"/>
      <c r="K18" s="39">
        <v>3000</v>
      </c>
      <c r="L18" s="39"/>
      <c r="M18" s="39"/>
      <c r="N18" s="39"/>
      <c r="O18" s="39"/>
      <c r="P18" s="39"/>
      <c r="Q18" s="39">
        <v>1500</v>
      </c>
      <c r="R18" s="39"/>
      <c r="S18" s="39">
        <v>1200</v>
      </c>
      <c r="T18" s="39">
        <v>3000</v>
      </c>
      <c r="U18" s="39"/>
      <c r="V18" s="39"/>
      <c r="W18" s="39"/>
      <c r="X18" s="39">
        <v>3000</v>
      </c>
      <c r="Y18" s="39"/>
      <c r="Z18" s="39">
        <v>1200</v>
      </c>
      <c r="AA18" s="39"/>
      <c r="AB18" s="39">
        <v>18000</v>
      </c>
      <c r="AC18" s="36">
        <f t="shared" si="0"/>
        <v>36900</v>
      </c>
      <c r="AD18" s="36">
        <f t="shared" si="1"/>
        <v>123</v>
      </c>
    </row>
    <row r="19" spans="1:30" x14ac:dyDescent="0.2">
      <c r="A19" s="32">
        <v>10</v>
      </c>
      <c r="B19" s="33" t="s">
        <v>94</v>
      </c>
      <c r="C19" s="34" t="s">
        <v>19</v>
      </c>
      <c r="D19" s="41">
        <v>10</v>
      </c>
      <c r="E19" s="35">
        <v>130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2">
        <f t="shared" si="0"/>
        <v>0</v>
      </c>
      <c r="AD19" s="32">
        <f t="shared" si="1"/>
        <v>0</v>
      </c>
    </row>
    <row r="20" spans="1:30" x14ac:dyDescent="0.2">
      <c r="A20" s="32"/>
      <c r="B20" s="33" t="s">
        <v>92</v>
      </c>
      <c r="C20" s="34" t="s">
        <v>287</v>
      </c>
      <c r="D20" s="41">
        <v>10</v>
      </c>
      <c r="E20" s="35">
        <v>110</v>
      </c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>
        <v>1100</v>
      </c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>
        <v>550</v>
      </c>
      <c r="AC20" s="32">
        <f t="shared" si="0"/>
        <v>1650</v>
      </c>
      <c r="AD20" s="32">
        <f t="shared" si="1"/>
        <v>15</v>
      </c>
    </row>
    <row r="21" spans="1:30" x14ac:dyDescent="0.2">
      <c r="A21" s="32">
        <v>12</v>
      </c>
      <c r="B21" s="33" t="s">
        <v>95</v>
      </c>
      <c r="C21" s="34" t="s">
        <v>21</v>
      </c>
      <c r="D21" s="32">
        <v>10</v>
      </c>
      <c r="E21" s="35">
        <v>80</v>
      </c>
      <c r="F21" s="35">
        <v>400</v>
      </c>
      <c r="G21" s="35"/>
      <c r="H21" s="35">
        <v>400</v>
      </c>
      <c r="I21" s="35"/>
      <c r="J21" s="35">
        <v>400</v>
      </c>
      <c r="K21" s="35"/>
      <c r="L21" s="35"/>
      <c r="M21" s="35">
        <v>480</v>
      </c>
      <c r="N21" s="35"/>
      <c r="O21" s="35"/>
      <c r="P21" s="35">
        <v>400</v>
      </c>
      <c r="Q21" s="35"/>
      <c r="R21" s="35"/>
      <c r="S21" s="35"/>
      <c r="T21" s="35"/>
      <c r="U21" s="35">
        <v>400</v>
      </c>
      <c r="V21" s="35"/>
      <c r="W21" s="35"/>
      <c r="X21" s="35"/>
      <c r="Y21" s="35">
        <v>480</v>
      </c>
      <c r="Z21" s="35"/>
      <c r="AA21" s="35">
        <v>480</v>
      </c>
      <c r="AB21" s="35"/>
      <c r="AC21" s="32">
        <f t="shared" si="0"/>
        <v>3440</v>
      </c>
      <c r="AD21" s="32">
        <f t="shared" si="1"/>
        <v>43</v>
      </c>
    </row>
    <row r="22" spans="1:30" s="28" customFormat="1" x14ac:dyDescent="0.2">
      <c r="A22" s="36">
        <v>13</v>
      </c>
      <c r="B22" s="37" t="s">
        <v>99</v>
      </c>
      <c r="C22" s="38" t="s">
        <v>22</v>
      </c>
      <c r="D22" s="36">
        <v>100</v>
      </c>
      <c r="E22" s="39">
        <v>1200</v>
      </c>
      <c r="F22" s="39">
        <v>24000</v>
      </c>
      <c r="G22" s="39"/>
      <c r="H22" s="39"/>
      <c r="I22" s="39"/>
      <c r="J22" s="39">
        <v>12000</v>
      </c>
      <c r="K22" s="39"/>
      <c r="L22" s="39"/>
      <c r="M22" s="39">
        <v>12000</v>
      </c>
      <c r="N22" s="39">
        <v>6000</v>
      </c>
      <c r="O22" s="39"/>
      <c r="P22" s="39">
        <v>18000</v>
      </c>
      <c r="Q22" s="39"/>
      <c r="R22" s="39"/>
      <c r="S22" s="39">
        <v>12000</v>
      </c>
      <c r="T22" s="39"/>
      <c r="U22" s="39">
        <v>24000</v>
      </c>
      <c r="V22" s="39"/>
      <c r="W22" s="39"/>
      <c r="X22" s="39"/>
      <c r="Y22" s="39">
        <v>10800</v>
      </c>
      <c r="Z22" s="39"/>
      <c r="AA22" s="39">
        <v>12000</v>
      </c>
      <c r="AB22" s="39">
        <v>3600</v>
      </c>
      <c r="AC22" s="36">
        <f t="shared" si="0"/>
        <v>134400</v>
      </c>
      <c r="AD22" s="36">
        <f t="shared" si="1"/>
        <v>112</v>
      </c>
    </row>
    <row r="23" spans="1:30" x14ac:dyDescent="0.2">
      <c r="A23" s="32">
        <v>14</v>
      </c>
      <c r="B23" s="33" t="s">
        <v>102</v>
      </c>
      <c r="C23" s="34" t="s">
        <v>23</v>
      </c>
      <c r="D23" s="32">
        <v>100</v>
      </c>
      <c r="E23" s="35">
        <v>1000</v>
      </c>
      <c r="F23" s="35">
        <v>26000</v>
      </c>
      <c r="G23" s="35"/>
      <c r="H23" s="35">
        <v>10000</v>
      </c>
      <c r="I23" s="35"/>
      <c r="J23" s="35">
        <v>10000</v>
      </c>
      <c r="K23" s="35"/>
      <c r="L23" s="35"/>
      <c r="M23" s="35">
        <v>6000</v>
      </c>
      <c r="N23" s="35">
        <v>5000</v>
      </c>
      <c r="O23" s="35"/>
      <c r="P23" s="35"/>
      <c r="Q23" s="35"/>
      <c r="R23" s="35"/>
      <c r="S23" s="35"/>
      <c r="T23" s="35"/>
      <c r="U23" s="35">
        <v>4000</v>
      </c>
      <c r="V23" s="35"/>
      <c r="W23" s="35"/>
      <c r="X23" s="35"/>
      <c r="Y23" s="35">
        <v>5000</v>
      </c>
      <c r="Z23" s="35"/>
      <c r="AA23" s="35">
        <v>5000</v>
      </c>
      <c r="AB23" s="35">
        <v>5000</v>
      </c>
      <c r="AC23" s="32">
        <f t="shared" si="0"/>
        <v>76000</v>
      </c>
      <c r="AD23" s="32">
        <f t="shared" si="1"/>
        <v>76</v>
      </c>
    </row>
    <row r="24" spans="1:30" s="28" customFormat="1" x14ac:dyDescent="0.2">
      <c r="A24" s="36">
        <v>15</v>
      </c>
      <c r="B24" s="37" t="s">
        <v>97</v>
      </c>
      <c r="C24" s="38" t="s">
        <v>24</v>
      </c>
      <c r="D24" s="36">
        <v>50</v>
      </c>
      <c r="E24" s="39">
        <v>2800</v>
      </c>
      <c r="F24" s="39">
        <v>5600</v>
      </c>
      <c r="G24" s="39"/>
      <c r="H24" s="39"/>
      <c r="I24" s="39"/>
      <c r="J24" s="39">
        <v>14000</v>
      </c>
      <c r="K24" s="39"/>
      <c r="L24" s="39"/>
      <c r="M24" s="39">
        <v>5600</v>
      </c>
      <c r="N24" s="39">
        <v>5600</v>
      </c>
      <c r="O24" s="39"/>
      <c r="P24" s="39">
        <v>5600</v>
      </c>
      <c r="Q24" s="39"/>
      <c r="R24" s="39"/>
      <c r="S24" s="39"/>
      <c r="T24" s="39"/>
      <c r="U24" s="39">
        <v>11200</v>
      </c>
      <c r="V24" s="39"/>
      <c r="W24" s="39"/>
      <c r="X24" s="39"/>
      <c r="Y24" s="39">
        <v>5600</v>
      </c>
      <c r="Z24" s="39"/>
      <c r="AA24" s="39">
        <v>8400</v>
      </c>
      <c r="AB24" s="39"/>
      <c r="AC24" s="36">
        <f t="shared" si="0"/>
        <v>61600</v>
      </c>
      <c r="AD24" s="36">
        <f t="shared" si="1"/>
        <v>22</v>
      </c>
    </row>
    <row r="25" spans="1:30" x14ac:dyDescent="0.2">
      <c r="A25" s="32">
        <v>16</v>
      </c>
      <c r="B25" s="33" t="s">
        <v>98</v>
      </c>
      <c r="C25" s="34" t="s">
        <v>25</v>
      </c>
      <c r="D25" s="32">
        <v>50</v>
      </c>
      <c r="E25" s="35">
        <v>550</v>
      </c>
      <c r="F25" s="35">
        <v>1100</v>
      </c>
      <c r="G25" s="35"/>
      <c r="H25" s="35">
        <v>4400</v>
      </c>
      <c r="I25" s="35"/>
      <c r="J25" s="35">
        <v>5500</v>
      </c>
      <c r="K25" s="35"/>
      <c r="L25" s="35"/>
      <c r="M25" s="35">
        <v>11000</v>
      </c>
      <c r="N25" s="35"/>
      <c r="O25" s="35"/>
      <c r="P25" s="35">
        <v>5500</v>
      </c>
      <c r="Q25" s="35"/>
      <c r="R25" s="35"/>
      <c r="S25" s="35"/>
      <c r="T25" s="35"/>
      <c r="U25" s="35">
        <v>4400</v>
      </c>
      <c r="V25" s="35"/>
      <c r="W25" s="35">
        <v>550</v>
      </c>
      <c r="X25" s="35"/>
      <c r="Y25" s="35">
        <v>6050</v>
      </c>
      <c r="Z25" s="35"/>
      <c r="AA25" s="35"/>
      <c r="AB25" s="35">
        <v>1100</v>
      </c>
      <c r="AC25" s="32">
        <f t="shared" si="0"/>
        <v>39600</v>
      </c>
      <c r="AD25" s="32">
        <f t="shared" si="1"/>
        <v>72</v>
      </c>
    </row>
    <row r="26" spans="1:30" s="28" customFormat="1" x14ac:dyDescent="0.2">
      <c r="A26" s="36" t="s">
        <v>141</v>
      </c>
      <c r="B26" s="37" t="s">
        <v>142</v>
      </c>
      <c r="C26" s="38" t="s">
        <v>143</v>
      </c>
      <c r="D26" s="36">
        <v>50</v>
      </c>
      <c r="E26" s="39">
        <v>550</v>
      </c>
      <c r="F26" s="39">
        <v>1100</v>
      </c>
      <c r="G26" s="39"/>
      <c r="H26" s="39">
        <v>4400</v>
      </c>
      <c r="I26" s="39"/>
      <c r="J26" s="39">
        <v>1100</v>
      </c>
      <c r="K26" s="39"/>
      <c r="L26" s="39"/>
      <c r="M26" s="39">
        <v>9900</v>
      </c>
      <c r="N26" s="39"/>
      <c r="O26" s="39"/>
      <c r="P26" s="39">
        <v>5500</v>
      </c>
      <c r="Q26" s="39"/>
      <c r="R26" s="39"/>
      <c r="S26" s="39"/>
      <c r="T26" s="39"/>
      <c r="U26" s="39">
        <v>5500</v>
      </c>
      <c r="V26" s="39"/>
      <c r="W26" s="39"/>
      <c r="X26" s="39"/>
      <c r="Y26" s="39">
        <v>5500</v>
      </c>
      <c r="Z26" s="39"/>
      <c r="AA26" s="39">
        <v>550</v>
      </c>
      <c r="AB26" s="39"/>
      <c r="AC26" s="36">
        <f t="shared" si="0"/>
        <v>33550</v>
      </c>
      <c r="AD26" s="36">
        <f t="shared" si="1"/>
        <v>61</v>
      </c>
    </row>
    <row r="27" spans="1:30" x14ac:dyDescent="0.2">
      <c r="A27" s="32" t="s">
        <v>181</v>
      </c>
      <c r="B27" s="33" t="s">
        <v>170</v>
      </c>
      <c r="C27" s="34" t="s">
        <v>171</v>
      </c>
      <c r="D27" s="32">
        <v>10</v>
      </c>
      <c r="E27" s="35">
        <v>1200</v>
      </c>
      <c r="F27" s="35"/>
      <c r="G27" s="35"/>
      <c r="H27" s="35">
        <v>8400</v>
      </c>
      <c r="I27" s="35"/>
      <c r="J27" s="35">
        <v>6000</v>
      </c>
      <c r="K27" s="35"/>
      <c r="L27" s="35"/>
      <c r="M27" s="35">
        <v>10800</v>
      </c>
      <c r="N27" s="35">
        <v>4800</v>
      </c>
      <c r="O27" s="35"/>
      <c r="P27" s="35">
        <v>4800</v>
      </c>
      <c r="Q27" s="35"/>
      <c r="R27" s="35"/>
      <c r="S27" s="35"/>
      <c r="T27" s="35"/>
      <c r="U27" s="35">
        <v>4800</v>
      </c>
      <c r="V27" s="35"/>
      <c r="W27" s="35">
        <v>4800</v>
      </c>
      <c r="X27" s="35"/>
      <c r="Y27" s="35">
        <v>9600</v>
      </c>
      <c r="Z27" s="35"/>
      <c r="AA27" s="35"/>
      <c r="AB27" s="35"/>
      <c r="AC27" s="32">
        <f t="shared" si="0"/>
        <v>54000</v>
      </c>
      <c r="AD27" s="32">
        <f t="shared" si="1"/>
        <v>45</v>
      </c>
    </row>
    <row r="28" spans="1:30" s="28" customFormat="1" x14ac:dyDescent="0.2">
      <c r="A28" s="36" t="s">
        <v>232</v>
      </c>
      <c r="B28" s="37" t="s">
        <v>195</v>
      </c>
      <c r="C28" s="38" t="s">
        <v>197</v>
      </c>
      <c r="D28" s="36">
        <v>10</v>
      </c>
      <c r="E28" s="39">
        <v>1300</v>
      </c>
      <c r="F28" s="39">
        <v>3900</v>
      </c>
      <c r="G28" s="39"/>
      <c r="H28" s="39">
        <v>1300</v>
      </c>
      <c r="I28" s="39"/>
      <c r="J28" s="39">
        <v>2600</v>
      </c>
      <c r="K28" s="39"/>
      <c r="L28" s="39"/>
      <c r="M28" s="39">
        <v>2600</v>
      </c>
      <c r="N28" s="39">
        <v>2600</v>
      </c>
      <c r="O28" s="39"/>
      <c r="P28" s="39">
        <v>2600</v>
      </c>
      <c r="Q28" s="39"/>
      <c r="R28" s="39"/>
      <c r="S28" s="39">
        <v>1300</v>
      </c>
      <c r="T28" s="39"/>
      <c r="U28" s="39"/>
      <c r="V28" s="39"/>
      <c r="W28" s="39"/>
      <c r="X28" s="39"/>
      <c r="Y28" s="39">
        <v>2600</v>
      </c>
      <c r="Z28" s="39"/>
      <c r="AA28" s="39">
        <v>2600</v>
      </c>
      <c r="AB28" s="39"/>
      <c r="AC28" s="36">
        <f t="shared" si="0"/>
        <v>22100</v>
      </c>
      <c r="AD28" s="36">
        <f t="shared" si="1"/>
        <v>17</v>
      </c>
    </row>
    <row r="29" spans="1:30" x14ac:dyDescent="0.2">
      <c r="A29" s="32" t="s">
        <v>233</v>
      </c>
      <c r="B29" s="33" t="s">
        <v>196</v>
      </c>
      <c r="C29" s="34" t="s">
        <v>198</v>
      </c>
      <c r="D29" s="32">
        <v>10</v>
      </c>
      <c r="E29" s="35">
        <v>800</v>
      </c>
      <c r="F29" s="35">
        <v>2400</v>
      </c>
      <c r="G29" s="35"/>
      <c r="H29" s="35">
        <v>800</v>
      </c>
      <c r="I29" s="35"/>
      <c r="J29" s="35">
        <v>1600</v>
      </c>
      <c r="K29" s="35"/>
      <c r="L29" s="35"/>
      <c r="M29" s="35">
        <v>1600</v>
      </c>
      <c r="N29" s="35">
        <v>1600</v>
      </c>
      <c r="O29" s="35"/>
      <c r="P29" s="35">
        <v>1600</v>
      </c>
      <c r="Q29" s="35"/>
      <c r="R29" s="35"/>
      <c r="S29" s="35">
        <v>800</v>
      </c>
      <c r="T29" s="35"/>
      <c r="U29" s="35"/>
      <c r="V29" s="35"/>
      <c r="W29" s="35"/>
      <c r="X29" s="35"/>
      <c r="Y29" s="35">
        <v>1600</v>
      </c>
      <c r="Z29" s="35"/>
      <c r="AA29" s="35">
        <v>2400</v>
      </c>
      <c r="AB29" s="35"/>
      <c r="AC29" s="32">
        <f t="shared" si="0"/>
        <v>14400</v>
      </c>
      <c r="AD29" s="32">
        <f t="shared" si="1"/>
        <v>18</v>
      </c>
    </row>
    <row r="30" spans="1:30" x14ac:dyDescent="0.2">
      <c r="A30" s="32"/>
      <c r="B30" s="33" t="s">
        <v>206</v>
      </c>
      <c r="C30" s="34" t="s">
        <v>207</v>
      </c>
      <c r="D30" s="32">
        <v>10</v>
      </c>
      <c r="E30" s="35">
        <v>450</v>
      </c>
      <c r="F30" s="35">
        <v>2700</v>
      </c>
      <c r="G30" s="35"/>
      <c r="H30" s="35">
        <v>1800</v>
      </c>
      <c r="I30" s="35"/>
      <c r="J30" s="35">
        <v>1800</v>
      </c>
      <c r="K30" s="35"/>
      <c r="L30" s="35"/>
      <c r="M30" s="35">
        <v>1800</v>
      </c>
      <c r="N30" s="35">
        <v>2250</v>
      </c>
      <c r="O30" s="35"/>
      <c r="P30" s="35">
        <v>1350</v>
      </c>
      <c r="Q30" s="35"/>
      <c r="R30" s="35"/>
      <c r="S30" s="35">
        <v>900</v>
      </c>
      <c r="T30" s="35"/>
      <c r="U30" s="35">
        <v>900</v>
      </c>
      <c r="V30" s="35"/>
      <c r="W30" s="35"/>
      <c r="X30" s="35"/>
      <c r="Y30" s="35">
        <v>1800</v>
      </c>
      <c r="Z30" s="35"/>
      <c r="AA30" s="35">
        <v>450</v>
      </c>
      <c r="AB30" s="35">
        <v>1350</v>
      </c>
      <c r="AC30" s="32">
        <f t="shared" si="0"/>
        <v>17100</v>
      </c>
      <c r="AD30" s="32">
        <f t="shared" si="1"/>
        <v>38</v>
      </c>
    </row>
    <row r="31" spans="1:30" x14ac:dyDescent="0.2">
      <c r="A31" s="32"/>
      <c r="B31" s="40">
        <v>90442200</v>
      </c>
      <c r="C31" s="34" t="s">
        <v>238</v>
      </c>
      <c r="D31" s="32">
        <v>10</v>
      </c>
      <c r="E31" s="35">
        <v>450</v>
      </c>
      <c r="F31" s="35"/>
      <c r="G31" s="35"/>
      <c r="H31" s="35"/>
      <c r="I31" s="35"/>
      <c r="J31" s="35"/>
      <c r="K31" s="35"/>
      <c r="L31" s="35"/>
      <c r="M31" s="35">
        <v>900</v>
      </c>
      <c r="N31" s="35">
        <v>2250</v>
      </c>
      <c r="O31" s="35"/>
      <c r="P31" s="35">
        <v>2250</v>
      </c>
      <c r="Q31" s="35"/>
      <c r="R31" s="35"/>
      <c r="S31" s="35">
        <v>900</v>
      </c>
      <c r="T31" s="35"/>
      <c r="U31" s="35">
        <v>900</v>
      </c>
      <c r="V31" s="35"/>
      <c r="W31" s="35">
        <v>3150</v>
      </c>
      <c r="X31" s="35"/>
      <c r="Y31" s="35">
        <v>4950</v>
      </c>
      <c r="Z31" s="35"/>
      <c r="AA31" s="35"/>
      <c r="AB31" s="35">
        <v>2250</v>
      </c>
      <c r="AC31" s="32">
        <f t="shared" si="0"/>
        <v>17550</v>
      </c>
      <c r="AD31" s="32">
        <f t="shared" si="1"/>
        <v>39</v>
      </c>
    </row>
    <row r="32" spans="1:30" s="28" customFormat="1" x14ac:dyDescent="0.2">
      <c r="A32" s="36">
        <v>19</v>
      </c>
      <c r="B32" s="37" t="s">
        <v>83</v>
      </c>
      <c r="C32" s="38" t="s">
        <v>26</v>
      </c>
      <c r="D32" s="36">
        <v>10</v>
      </c>
      <c r="E32" s="39">
        <v>330</v>
      </c>
      <c r="F32" s="39"/>
      <c r="G32" s="39"/>
      <c r="H32" s="39"/>
      <c r="I32" s="39"/>
      <c r="J32" s="39">
        <v>660</v>
      </c>
      <c r="K32" s="39"/>
      <c r="L32" s="39"/>
      <c r="M32" s="39">
        <v>330</v>
      </c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>
        <v>660</v>
      </c>
      <c r="Z32" s="39"/>
      <c r="AA32" s="39"/>
      <c r="AB32" s="39"/>
      <c r="AC32" s="36">
        <f t="shared" si="0"/>
        <v>1650</v>
      </c>
      <c r="AD32" s="36">
        <f t="shared" si="1"/>
        <v>5</v>
      </c>
    </row>
    <row r="33" spans="1:30" x14ac:dyDescent="0.2">
      <c r="A33" s="32">
        <v>21</v>
      </c>
      <c r="B33" s="33" t="s">
        <v>30</v>
      </c>
      <c r="C33" s="34" t="s">
        <v>31</v>
      </c>
      <c r="D33" s="32">
        <v>10</v>
      </c>
      <c r="E33" s="35">
        <v>230</v>
      </c>
      <c r="F33" s="35">
        <v>2070</v>
      </c>
      <c r="G33" s="35"/>
      <c r="H33" s="35">
        <v>1380</v>
      </c>
      <c r="I33" s="35"/>
      <c r="J33" s="35">
        <v>2300</v>
      </c>
      <c r="K33" s="35"/>
      <c r="L33" s="35"/>
      <c r="M33" s="35">
        <v>2760</v>
      </c>
      <c r="N33" s="35"/>
      <c r="O33" s="35"/>
      <c r="P33" s="35"/>
      <c r="Q33" s="35"/>
      <c r="R33" s="35"/>
      <c r="S33" s="35">
        <v>1150</v>
      </c>
      <c r="T33" s="35"/>
      <c r="U33" s="35">
        <v>1150</v>
      </c>
      <c r="V33" s="35"/>
      <c r="W33" s="35"/>
      <c r="X33" s="35"/>
      <c r="Y33" s="35">
        <v>2300</v>
      </c>
      <c r="Z33" s="35"/>
      <c r="AA33" s="35">
        <v>1150</v>
      </c>
      <c r="AB33" s="35">
        <v>1150</v>
      </c>
      <c r="AC33" s="32">
        <f t="shared" si="0"/>
        <v>15410</v>
      </c>
      <c r="AD33" s="32">
        <f t="shared" si="1"/>
        <v>67</v>
      </c>
    </row>
    <row r="34" spans="1:30" s="28" customFormat="1" x14ac:dyDescent="0.2">
      <c r="A34" s="36" t="s">
        <v>194</v>
      </c>
      <c r="B34" s="42">
        <v>90442300</v>
      </c>
      <c r="C34" s="38" t="s">
        <v>173</v>
      </c>
      <c r="D34" s="36">
        <v>10</v>
      </c>
      <c r="E34" s="39">
        <v>230</v>
      </c>
      <c r="F34" s="39"/>
      <c r="G34" s="39"/>
      <c r="H34" s="39"/>
      <c r="I34" s="39"/>
      <c r="J34" s="39">
        <v>1150</v>
      </c>
      <c r="K34" s="39"/>
      <c r="L34" s="39"/>
      <c r="M34" s="39">
        <v>1380</v>
      </c>
      <c r="N34" s="39">
        <v>920</v>
      </c>
      <c r="O34" s="39"/>
      <c r="P34" s="39"/>
      <c r="Q34" s="39"/>
      <c r="R34" s="39"/>
      <c r="S34" s="39">
        <v>1150</v>
      </c>
      <c r="T34" s="39"/>
      <c r="U34" s="39">
        <v>920</v>
      </c>
      <c r="V34" s="39"/>
      <c r="W34" s="39">
        <v>2070</v>
      </c>
      <c r="X34" s="39"/>
      <c r="Y34" s="39">
        <v>5520</v>
      </c>
      <c r="Z34" s="39"/>
      <c r="AA34" s="39">
        <v>1150</v>
      </c>
      <c r="AB34" s="39">
        <v>1150</v>
      </c>
      <c r="AC34" s="36">
        <f t="shared" si="0"/>
        <v>15410</v>
      </c>
      <c r="AD34" s="36">
        <f t="shared" si="1"/>
        <v>67</v>
      </c>
    </row>
    <row r="35" spans="1:30" s="28" customFormat="1" x14ac:dyDescent="0.2">
      <c r="A35" s="36"/>
      <c r="B35" s="42" t="s">
        <v>262</v>
      </c>
      <c r="C35" s="76" t="s">
        <v>264</v>
      </c>
      <c r="D35" s="36">
        <v>10</v>
      </c>
      <c r="E35" s="39">
        <v>230</v>
      </c>
      <c r="F35" s="39"/>
      <c r="G35" s="39">
        <v>920</v>
      </c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>
        <v>920</v>
      </c>
      <c r="Y35" s="39"/>
      <c r="Z35" s="39"/>
      <c r="AA35" s="39"/>
      <c r="AB35" s="39"/>
      <c r="AC35" s="36">
        <f t="shared" si="0"/>
        <v>1840</v>
      </c>
      <c r="AD35" s="36">
        <f t="shared" si="1"/>
        <v>8</v>
      </c>
    </row>
    <row r="36" spans="1:30" s="28" customFormat="1" x14ac:dyDescent="0.2">
      <c r="A36" s="36">
        <v>23</v>
      </c>
      <c r="B36" s="37" t="s">
        <v>35</v>
      </c>
      <c r="C36" s="76" t="s">
        <v>36</v>
      </c>
      <c r="D36" s="36">
        <v>5</v>
      </c>
      <c r="E36" s="39">
        <v>50</v>
      </c>
      <c r="F36" s="39">
        <v>400</v>
      </c>
      <c r="G36" s="39"/>
      <c r="H36" s="39">
        <v>400</v>
      </c>
      <c r="I36" s="39"/>
      <c r="J36" s="39">
        <v>400</v>
      </c>
      <c r="K36" s="39"/>
      <c r="L36" s="39"/>
      <c r="M36" s="39">
        <v>300</v>
      </c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>
        <v>500</v>
      </c>
      <c r="Z36" s="39"/>
      <c r="AA36" s="39">
        <v>250</v>
      </c>
      <c r="AB36" s="39">
        <v>250</v>
      </c>
      <c r="AC36" s="36">
        <f t="shared" si="0"/>
        <v>2500</v>
      </c>
      <c r="AD36" s="36">
        <f t="shared" si="1"/>
        <v>50</v>
      </c>
    </row>
    <row r="37" spans="1:30" x14ac:dyDescent="0.2">
      <c r="A37" s="32">
        <v>24</v>
      </c>
      <c r="B37" s="33" t="s">
        <v>101</v>
      </c>
      <c r="C37" s="34" t="s">
        <v>37</v>
      </c>
      <c r="D37" s="32">
        <v>50</v>
      </c>
      <c r="E37" s="35">
        <v>600</v>
      </c>
      <c r="F37" s="35">
        <v>1800</v>
      </c>
      <c r="G37" s="35"/>
      <c r="H37" s="35">
        <v>600</v>
      </c>
      <c r="I37" s="35"/>
      <c r="J37" s="35">
        <v>600</v>
      </c>
      <c r="K37" s="35"/>
      <c r="L37" s="35"/>
      <c r="M37" s="35"/>
      <c r="N37" s="35"/>
      <c r="O37" s="35"/>
      <c r="P37" s="35">
        <v>600</v>
      </c>
      <c r="Q37" s="35"/>
      <c r="R37" s="35"/>
      <c r="S37" s="35"/>
      <c r="T37" s="35"/>
      <c r="U37" s="35">
        <v>1200</v>
      </c>
      <c r="V37" s="35"/>
      <c r="W37" s="35"/>
      <c r="X37" s="35"/>
      <c r="Y37" s="35">
        <v>600</v>
      </c>
      <c r="Z37" s="35"/>
      <c r="AA37" s="35"/>
      <c r="AB37" s="35">
        <v>1200</v>
      </c>
      <c r="AC37" s="32">
        <f t="shared" si="0"/>
        <v>6600</v>
      </c>
      <c r="AD37" s="32">
        <f t="shared" si="1"/>
        <v>11</v>
      </c>
    </row>
    <row r="38" spans="1:30" s="28" customFormat="1" x14ac:dyDescent="0.2">
      <c r="A38" s="36" t="s">
        <v>234</v>
      </c>
      <c r="B38" s="42" t="s">
        <v>200</v>
      </c>
      <c r="C38" s="38" t="s">
        <v>201</v>
      </c>
      <c r="D38" s="36">
        <v>10</v>
      </c>
      <c r="E38" s="36">
        <v>800</v>
      </c>
      <c r="F38" s="39">
        <v>4000</v>
      </c>
      <c r="G38" s="39"/>
      <c r="H38" s="39"/>
      <c r="I38" s="39"/>
      <c r="J38" s="39">
        <v>2400</v>
      </c>
      <c r="K38" s="39"/>
      <c r="L38" s="39"/>
      <c r="M38" s="39">
        <v>2400</v>
      </c>
      <c r="N38" s="39"/>
      <c r="O38" s="39"/>
      <c r="P38" s="39">
        <v>4000</v>
      </c>
      <c r="Q38" s="39"/>
      <c r="R38" s="39"/>
      <c r="S38" s="39"/>
      <c r="T38" s="39"/>
      <c r="U38" s="39">
        <v>2400</v>
      </c>
      <c r="V38" s="39"/>
      <c r="W38" s="39">
        <v>800</v>
      </c>
      <c r="X38" s="39"/>
      <c r="Y38" s="39">
        <v>2400</v>
      </c>
      <c r="Z38" s="39"/>
      <c r="AA38" s="39"/>
      <c r="AB38" s="39"/>
      <c r="AC38" s="36">
        <f t="shared" si="0"/>
        <v>18400</v>
      </c>
      <c r="AD38" s="36">
        <f t="shared" si="1"/>
        <v>23</v>
      </c>
    </row>
    <row r="39" spans="1:30" s="47" customFormat="1" x14ac:dyDescent="0.2">
      <c r="A39" s="43"/>
      <c r="B39" s="44" t="s">
        <v>208</v>
      </c>
      <c r="C39" s="45" t="s">
        <v>209</v>
      </c>
      <c r="D39" s="43">
        <v>10</v>
      </c>
      <c r="E39" s="43">
        <v>400</v>
      </c>
      <c r="F39" s="46"/>
      <c r="G39" s="46"/>
      <c r="H39" s="46"/>
      <c r="I39" s="46"/>
      <c r="J39" s="46">
        <v>400</v>
      </c>
      <c r="K39" s="46"/>
      <c r="L39" s="46"/>
      <c r="M39" s="46">
        <v>400</v>
      </c>
      <c r="N39" s="46"/>
      <c r="O39" s="46"/>
      <c r="P39" s="46">
        <v>400</v>
      </c>
      <c r="Q39" s="46"/>
      <c r="R39" s="46"/>
      <c r="S39" s="46">
        <v>400</v>
      </c>
      <c r="T39" s="46"/>
      <c r="U39" s="46">
        <v>400</v>
      </c>
      <c r="V39" s="46"/>
      <c r="W39" s="46"/>
      <c r="X39" s="46"/>
      <c r="Y39" s="46">
        <v>400</v>
      </c>
      <c r="Z39" s="46"/>
      <c r="AA39" s="46">
        <v>400</v>
      </c>
      <c r="AB39" s="46"/>
      <c r="AC39" s="43">
        <f t="shared" ref="AC39:AC57" si="2">SUM(F39:AB39)</f>
        <v>2800</v>
      </c>
      <c r="AD39" s="43">
        <f t="shared" ref="AD39:AD57" si="3">AC39/E39</f>
        <v>7</v>
      </c>
    </row>
    <row r="40" spans="1:30" s="47" customFormat="1" x14ac:dyDescent="0.2">
      <c r="A40" s="43"/>
      <c r="B40" s="98" t="s">
        <v>295</v>
      </c>
      <c r="C40" s="38" t="s">
        <v>296</v>
      </c>
      <c r="D40" s="43">
        <v>10</v>
      </c>
      <c r="E40" s="43">
        <v>400</v>
      </c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>
        <v>2000</v>
      </c>
      <c r="X40" s="46"/>
      <c r="Y40" s="46">
        <v>3200</v>
      </c>
      <c r="Z40" s="46"/>
      <c r="AA40" s="46"/>
      <c r="AB40" s="46"/>
      <c r="AC40" s="43">
        <f t="shared" si="2"/>
        <v>5200</v>
      </c>
      <c r="AD40" s="43">
        <f t="shared" si="3"/>
        <v>13</v>
      </c>
    </row>
    <row r="41" spans="1:30" s="28" customFormat="1" x14ac:dyDescent="0.2">
      <c r="A41" s="36"/>
      <c r="B41" s="42" t="s">
        <v>210</v>
      </c>
      <c r="C41" s="38" t="s">
        <v>211</v>
      </c>
      <c r="D41" s="36">
        <v>10</v>
      </c>
      <c r="E41" s="36">
        <v>300</v>
      </c>
      <c r="F41" s="39">
        <v>600</v>
      </c>
      <c r="G41" s="39"/>
      <c r="H41" s="39">
        <v>600</v>
      </c>
      <c r="I41" s="39"/>
      <c r="J41" s="39">
        <v>600</v>
      </c>
      <c r="K41" s="39"/>
      <c r="L41" s="39"/>
      <c r="M41" s="39">
        <v>600</v>
      </c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>
        <v>600</v>
      </c>
      <c r="Z41" s="39"/>
      <c r="AA41" s="39"/>
      <c r="AB41" s="39">
        <v>900</v>
      </c>
      <c r="AC41" s="36">
        <f t="shared" si="2"/>
        <v>3900</v>
      </c>
      <c r="AD41" s="36">
        <f t="shared" si="3"/>
        <v>13</v>
      </c>
    </row>
    <row r="42" spans="1:30" s="28" customFormat="1" x14ac:dyDescent="0.2">
      <c r="A42" s="36"/>
      <c r="B42" s="42">
        <v>90443200</v>
      </c>
      <c r="C42" s="38" t="s">
        <v>237</v>
      </c>
      <c r="D42" s="36">
        <v>10</v>
      </c>
      <c r="E42" s="36">
        <v>300</v>
      </c>
      <c r="F42" s="39">
        <v>900</v>
      </c>
      <c r="G42" s="39"/>
      <c r="H42" s="39">
        <v>600</v>
      </c>
      <c r="I42" s="39"/>
      <c r="J42" s="39">
        <v>900</v>
      </c>
      <c r="K42" s="39"/>
      <c r="L42" s="39"/>
      <c r="M42" s="39">
        <v>600</v>
      </c>
      <c r="N42" s="39">
        <v>1200</v>
      </c>
      <c r="O42" s="39"/>
      <c r="P42" s="39">
        <v>1800</v>
      </c>
      <c r="Q42" s="39"/>
      <c r="R42" s="39"/>
      <c r="S42" s="39">
        <v>900</v>
      </c>
      <c r="T42" s="39"/>
      <c r="U42" s="39">
        <v>1800</v>
      </c>
      <c r="V42" s="39"/>
      <c r="W42" s="39">
        <v>2100</v>
      </c>
      <c r="X42" s="39"/>
      <c r="Y42" s="39">
        <v>4800</v>
      </c>
      <c r="Z42" s="39"/>
      <c r="AA42" s="39"/>
      <c r="AB42" s="39">
        <v>2400</v>
      </c>
      <c r="AC42" s="36">
        <f t="shared" si="2"/>
        <v>18000</v>
      </c>
      <c r="AD42" s="36">
        <f t="shared" si="3"/>
        <v>60</v>
      </c>
    </row>
    <row r="43" spans="1:30" x14ac:dyDescent="0.2">
      <c r="A43" s="32">
        <v>26</v>
      </c>
      <c r="B43" s="40" t="s">
        <v>157</v>
      </c>
      <c r="C43" s="34" t="s">
        <v>160</v>
      </c>
      <c r="D43" s="32">
        <v>10</v>
      </c>
      <c r="E43" s="32">
        <v>160</v>
      </c>
      <c r="F43" s="35">
        <v>800</v>
      </c>
      <c r="G43" s="35"/>
      <c r="H43" s="35">
        <v>800</v>
      </c>
      <c r="I43" s="35"/>
      <c r="J43" s="35">
        <v>1280</v>
      </c>
      <c r="K43" s="35"/>
      <c r="L43" s="35"/>
      <c r="M43" s="35">
        <v>1920</v>
      </c>
      <c r="N43" s="35"/>
      <c r="O43" s="35"/>
      <c r="P43" s="35"/>
      <c r="Q43" s="35"/>
      <c r="R43" s="35"/>
      <c r="S43" s="35">
        <v>960</v>
      </c>
      <c r="T43" s="35"/>
      <c r="U43" s="35">
        <v>1760</v>
      </c>
      <c r="V43" s="35"/>
      <c r="W43" s="35"/>
      <c r="X43" s="35">
        <v>960</v>
      </c>
      <c r="Y43" s="35">
        <v>1600</v>
      </c>
      <c r="Z43" s="35"/>
      <c r="AA43" s="35">
        <v>800</v>
      </c>
      <c r="AB43" s="35">
        <v>800</v>
      </c>
      <c r="AC43" s="32">
        <f t="shared" si="2"/>
        <v>11680</v>
      </c>
      <c r="AD43" s="32">
        <f t="shared" si="3"/>
        <v>73</v>
      </c>
    </row>
    <row r="44" spans="1:30" s="28" customFormat="1" x14ac:dyDescent="0.2">
      <c r="A44" s="36" t="s">
        <v>199</v>
      </c>
      <c r="B44" s="42">
        <v>90443300</v>
      </c>
      <c r="C44" s="38" t="s">
        <v>172</v>
      </c>
      <c r="D44" s="36">
        <v>10</v>
      </c>
      <c r="E44" s="36">
        <v>160</v>
      </c>
      <c r="F44" s="39">
        <v>2400</v>
      </c>
      <c r="G44" s="39"/>
      <c r="H44" s="39">
        <v>800</v>
      </c>
      <c r="I44" s="39"/>
      <c r="J44" s="39">
        <v>1280</v>
      </c>
      <c r="K44" s="39"/>
      <c r="L44" s="39"/>
      <c r="M44" s="39">
        <v>960</v>
      </c>
      <c r="N44" s="39"/>
      <c r="O44" s="39"/>
      <c r="P44" s="39"/>
      <c r="Q44" s="39"/>
      <c r="R44" s="39"/>
      <c r="S44" s="39">
        <v>960</v>
      </c>
      <c r="T44" s="39"/>
      <c r="U44" s="39">
        <v>1760</v>
      </c>
      <c r="V44" s="39"/>
      <c r="W44" s="39">
        <v>1760</v>
      </c>
      <c r="X44" s="39"/>
      <c r="Y44" s="39">
        <v>4960</v>
      </c>
      <c r="Z44" s="39"/>
      <c r="AA44" s="39">
        <v>800</v>
      </c>
      <c r="AB44" s="39">
        <v>800</v>
      </c>
      <c r="AC44" s="36">
        <f t="shared" si="2"/>
        <v>16480</v>
      </c>
      <c r="AD44" s="36">
        <f t="shared" si="3"/>
        <v>103</v>
      </c>
    </row>
    <row r="45" spans="1:30" s="28" customFormat="1" x14ac:dyDescent="0.2">
      <c r="A45" s="36"/>
      <c r="B45" s="42" t="s">
        <v>263</v>
      </c>
      <c r="C45" s="76" t="s">
        <v>265</v>
      </c>
      <c r="D45" s="36">
        <v>10</v>
      </c>
      <c r="E45" s="39">
        <v>160</v>
      </c>
      <c r="F45" s="39"/>
      <c r="G45" s="39">
        <v>960</v>
      </c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6">
        <f t="shared" si="2"/>
        <v>960</v>
      </c>
      <c r="AD45" s="36">
        <f t="shared" si="3"/>
        <v>6</v>
      </c>
    </row>
    <row r="46" spans="1:30" s="28" customFormat="1" x14ac:dyDescent="0.2">
      <c r="A46" s="36"/>
      <c r="B46" s="42" t="s">
        <v>158</v>
      </c>
      <c r="C46" s="76" t="s">
        <v>260</v>
      </c>
      <c r="D46" s="36">
        <v>5</v>
      </c>
      <c r="E46" s="39">
        <v>35</v>
      </c>
      <c r="F46" s="39">
        <v>350</v>
      </c>
      <c r="G46" s="39"/>
      <c r="H46" s="39"/>
      <c r="I46" s="39"/>
      <c r="J46" s="39"/>
      <c r="K46" s="39"/>
      <c r="L46" s="39"/>
      <c r="M46" s="39">
        <v>350</v>
      </c>
      <c r="N46" s="39"/>
      <c r="O46" s="39"/>
      <c r="P46" s="39"/>
      <c r="Q46" s="39"/>
      <c r="R46" s="39"/>
      <c r="S46" s="39"/>
      <c r="T46" s="39"/>
      <c r="U46" s="39">
        <v>315</v>
      </c>
      <c r="V46" s="39"/>
      <c r="W46" s="39">
        <v>210</v>
      </c>
      <c r="X46" s="39"/>
      <c r="Y46" s="39">
        <v>560</v>
      </c>
      <c r="Z46" s="39"/>
      <c r="AA46" s="39"/>
      <c r="AB46" s="39"/>
      <c r="AC46" s="36">
        <f t="shared" si="2"/>
        <v>1785</v>
      </c>
      <c r="AD46" s="36">
        <f t="shared" si="3"/>
        <v>51</v>
      </c>
    </row>
    <row r="47" spans="1:30" s="28" customFormat="1" x14ac:dyDescent="0.2">
      <c r="A47" s="36">
        <v>28</v>
      </c>
      <c r="B47" s="37" t="s">
        <v>159</v>
      </c>
      <c r="C47" s="38" t="s">
        <v>162</v>
      </c>
      <c r="D47" s="36">
        <v>50</v>
      </c>
      <c r="E47" s="39">
        <v>350</v>
      </c>
      <c r="F47" s="39">
        <v>700</v>
      </c>
      <c r="G47" s="39"/>
      <c r="H47" s="39"/>
      <c r="I47" s="39"/>
      <c r="J47" s="39">
        <v>700</v>
      </c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>
        <v>700</v>
      </c>
      <c r="V47" s="39"/>
      <c r="W47" s="39"/>
      <c r="X47" s="39"/>
      <c r="Y47" s="39">
        <v>700</v>
      </c>
      <c r="Z47" s="39"/>
      <c r="AA47" s="39">
        <v>350</v>
      </c>
      <c r="AB47" s="39"/>
      <c r="AC47" s="36">
        <f t="shared" si="2"/>
        <v>3150</v>
      </c>
      <c r="AD47" s="36">
        <f t="shared" si="3"/>
        <v>9</v>
      </c>
    </row>
    <row r="48" spans="1:30" x14ac:dyDescent="0.2">
      <c r="A48" s="32">
        <v>31</v>
      </c>
      <c r="B48" s="33" t="s">
        <v>100</v>
      </c>
      <c r="C48" s="34" t="s">
        <v>40</v>
      </c>
      <c r="D48" s="32">
        <v>50</v>
      </c>
      <c r="E48" s="35">
        <v>1750</v>
      </c>
      <c r="F48" s="35"/>
      <c r="G48" s="35"/>
      <c r="H48" s="35"/>
      <c r="I48" s="35"/>
      <c r="J48" s="35">
        <v>5250</v>
      </c>
      <c r="K48" s="35"/>
      <c r="L48" s="35"/>
      <c r="M48" s="35">
        <v>14000</v>
      </c>
      <c r="N48" s="35"/>
      <c r="O48" s="35"/>
      <c r="P48" s="35">
        <v>5250</v>
      </c>
      <c r="Q48" s="35"/>
      <c r="R48" s="35"/>
      <c r="S48" s="35">
        <v>5250</v>
      </c>
      <c r="T48" s="35"/>
      <c r="U48" s="35"/>
      <c r="V48" s="35"/>
      <c r="W48" s="35"/>
      <c r="X48" s="35"/>
      <c r="Y48" s="35">
        <v>5250</v>
      </c>
      <c r="Z48" s="35"/>
      <c r="AA48" s="35">
        <v>1750</v>
      </c>
      <c r="AB48" s="35"/>
      <c r="AC48" s="32">
        <f t="shared" si="2"/>
        <v>36750</v>
      </c>
      <c r="AD48" s="32">
        <f t="shared" si="3"/>
        <v>21</v>
      </c>
    </row>
    <row r="49" spans="1:30" x14ac:dyDescent="0.2">
      <c r="A49" s="32"/>
      <c r="B49" s="33" t="s">
        <v>271</v>
      </c>
      <c r="C49" s="34" t="s">
        <v>274</v>
      </c>
      <c r="D49" s="32">
        <v>5</v>
      </c>
      <c r="E49" s="35">
        <v>85</v>
      </c>
      <c r="F49" s="35"/>
      <c r="G49" s="35"/>
      <c r="H49" s="35"/>
      <c r="I49" s="35"/>
      <c r="J49" s="35"/>
      <c r="K49" s="35"/>
      <c r="L49" s="35"/>
      <c r="M49" s="35">
        <v>510</v>
      </c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>
        <v>510</v>
      </c>
      <c r="Y49" s="35"/>
      <c r="Z49" s="35"/>
      <c r="AA49" s="35"/>
      <c r="AB49" s="35"/>
      <c r="AC49" s="32">
        <f t="shared" si="2"/>
        <v>1020</v>
      </c>
      <c r="AD49" s="32">
        <f t="shared" si="3"/>
        <v>12</v>
      </c>
    </row>
    <row r="50" spans="1:30" x14ac:dyDescent="0.2">
      <c r="A50" s="32"/>
      <c r="B50" s="33" t="s">
        <v>272</v>
      </c>
      <c r="C50" s="34" t="s">
        <v>275</v>
      </c>
      <c r="D50" s="32">
        <v>5</v>
      </c>
      <c r="E50" s="35">
        <v>75</v>
      </c>
      <c r="F50" s="35"/>
      <c r="G50" s="35"/>
      <c r="H50" s="35"/>
      <c r="I50" s="35"/>
      <c r="J50" s="35"/>
      <c r="K50" s="35"/>
      <c r="L50" s="35"/>
      <c r="M50" s="35">
        <v>450</v>
      </c>
      <c r="N50" s="35"/>
      <c r="O50" s="35"/>
      <c r="P50" s="35"/>
      <c r="Q50" s="35"/>
      <c r="R50" s="35"/>
      <c r="S50" s="35"/>
      <c r="T50" s="35">
        <v>450</v>
      </c>
      <c r="U50" s="35"/>
      <c r="V50" s="35"/>
      <c r="W50" s="35"/>
      <c r="X50" s="35">
        <v>450</v>
      </c>
      <c r="Y50" s="35"/>
      <c r="Z50" s="35"/>
      <c r="AA50" s="35"/>
      <c r="AB50" s="35"/>
      <c r="AC50" s="32">
        <f t="shared" si="2"/>
        <v>1350</v>
      </c>
      <c r="AD50" s="32">
        <f t="shared" si="3"/>
        <v>18</v>
      </c>
    </row>
    <row r="51" spans="1:30" x14ac:dyDescent="0.2">
      <c r="A51" s="32"/>
      <c r="B51" s="33" t="s">
        <v>273</v>
      </c>
      <c r="C51" s="34" t="s">
        <v>276</v>
      </c>
      <c r="D51" s="32">
        <v>5</v>
      </c>
      <c r="E51" s="35">
        <v>45</v>
      </c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>
        <v>495</v>
      </c>
      <c r="R51" s="35"/>
      <c r="S51" s="35"/>
      <c r="T51" s="35"/>
      <c r="U51" s="35"/>
      <c r="V51" s="35"/>
      <c r="W51" s="35"/>
      <c r="X51" s="35">
        <v>495</v>
      </c>
      <c r="Y51" s="35"/>
      <c r="Z51" s="35"/>
      <c r="AA51" s="35"/>
      <c r="AB51" s="35"/>
      <c r="AC51" s="32">
        <f t="shared" si="2"/>
        <v>990</v>
      </c>
      <c r="AD51" s="32">
        <f t="shared" si="3"/>
        <v>22</v>
      </c>
    </row>
    <row r="52" spans="1:30" x14ac:dyDescent="0.2">
      <c r="A52" s="32"/>
      <c r="B52" s="33"/>
      <c r="C52" s="34" t="s">
        <v>277</v>
      </c>
      <c r="D52" s="32">
        <v>50</v>
      </c>
      <c r="E52" s="35">
        <v>200</v>
      </c>
      <c r="F52" s="35"/>
      <c r="G52" s="35"/>
      <c r="H52" s="35"/>
      <c r="I52" s="35"/>
      <c r="J52" s="35"/>
      <c r="K52" s="35"/>
      <c r="L52" s="35">
        <v>3000</v>
      </c>
      <c r="M52" s="35">
        <v>4000</v>
      </c>
      <c r="N52" s="35"/>
      <c r="O52" s="35">
        <v>16000</v>
      </c>
      <c r="P52" s="35"/>
      <c r="Q52" s="35"/>
      <c r="R52" s="35">
        <v>3600</v>
      </c>
      <c r="S52" s="35"/>
      <c r="T52" s="35"/>
      <c r="U52" s="35"/>
      <c r="V52" s="35">
        <v>5000</v>
      </c>
      <c r="W52" s="35"/>
      <c r="X52" s="35">
        <v>5000</v>
      </c>
      <c r="Y52" s="35"/>
      <c r="Z52" s="35"/>
      <c r="AA52" s="35"/>
      <c r="AB52" s="35">
        <v>15000</v>
      </c>
      <c r="AC52" s="32">
        <f t="shared" si="2"/>
        <v>51600</v>
      </c>
      <c r="AD52" s="32">
        <f t="shared" si="3"/>
        <v>258</v>
      </c>
    </row>
    <row r="53" spans="1:30" x14ac:dyDescent="0.2">
      <c r="A53" s="32"/>
      <c r="B53" s="33"/>
      <c r="C53" s="34" t="s">
        <v>278</v>
      </c>
      <c r="D53" s="32">
        <v>50</v>
      </c>
      <c r="E53" s="35">
        <v>200</v>
      </c>
      <c r="F53" s="35"/>
      <c r="G53" s="35"/>
      <c r="H53" s="35"/>
      <c r="I53" s="35"/>
      <c r="J53" s="35"/>
      <c r="K53" s="35"/>
      <c r="L53" s="35">
        <v>3000</v>
      </c>
      <c r="M53" s="35">
        <v>4000</v>
      </c>
      <c r="N53" s="35"/>
      <c r="O53" s="35">
        <v>13200</v>
      </c>
      <c r="P53" s="35"/>
      <c r="Q53" s="35">
        <v>2800</v>
      </c>
      <c r="R53" s="35">
        <v>3600</v>
      </c>
      <c r="S53" s="35"/>
      <c r="T53" s="35"/>
      <c r="U53" s="35"/>
      <c r="V53" s="35">
        <v>5000</v>
      </c>
      <c r="W53" s="35"/>
      <c r="X53" s="35">
        <v>5000</v>
      </c>
      <c r="Y53" s="35"/>
      <c r="Z53" s="35"/>
      <c r="AA53" s="35"/>
      <c r="AB53" s="35">
        <v>8000</v>
      </c>
      <c r="AC53" s="32">
        <f t="shared" si="2"/>
        <v>44600</v>
      </c>
      <c r="AD53" s="32">
        <f t="shared" si="3"/>
        <v>223</v>
      </c>
    </row>
    <row r="54" spans="1:30" x14ac:dyDescent="0.2">
      <c r="A54" s="32"/>
      <c r="B54" s="33"/>
      <c r="C54" s="34" t="s">
        <v>279</v>
      </c>
      <c r="D54" s="32">
        <v>50</v>
      </c>
      <c r="E54" s="35">
        <v>200</v>
      </c>
      <c r="F54" s="35"/>
      <c r="G54" s="35"/>
      <c r="H54" s="35"/>
      <c r="I54" s="35"/>
      <c r="J54" s="35"/>
      <c r="K54" s="35"/>
      <c r="L54" s="35">
        <v>3000</v>
      </c>
      <c r="M54" s="35">
        <v>2000</v>
      </c>
      <c r="N54" s="35"/>
      <c r="O54" s="35">
        <v>8000</v>
      </c>
      <c r="P54" s="35"/>
      <c r="Q54" s="35"/>
      <c r="R54" s="35">
        <v>3600</v>
      </c>
      <c r="S54" s="35"/>
      <c r="T54" s="35"/>
      <c r="U54" s="35"/>
      <c r="V54" s="35">
        <v>5000</v>
      </c>
      <c r="W54" s="35"/>
      <c r="X54" s="35">
        <v>5000</v>
      </c>
      <c r="Y54" s="35"/>
      <c r="Z54" s="35"/>
      <c r="AA54" s="35"/>
      <c r="AB54" s="35">
        <v>15000</v>
      </c>
      <c r="AC54" s="32">
        <f t="shared" si="2"/>
        <v>41600</v>
      </c>
      <c r="AD54" s="32">
        <f t="shared" si="3"/>
        <v>208</v>
      </c>
    </row>
    <row r="55" spans="1:30" x14ac:dyDescent="0.2">
      <c r="A55" s="32"/>
      <c r="B55" s="33"/>
      <c r="C55" s="34" t="s">
        <v>280</v>
      </c>
      <c r="D55" s="32">
        <v>50</v>
      </c>
      <c r="E55" s="35">
        <v>150</v>
      </c>
      <c r="F55" s="35"/>
      <c r="G55" s="35"/>
      <c r="H55" s="35"/>
      <c r="I55" s="35"/>
      <c r="J55" s="35"/>
      <c r="K55" s="35"/>
      <c r="L55" s="35"/>
      <c r="M55" s="35"/>
      <c r="N55" s="35"/>
      <c r="O55" s="35">
        <v>3600</v>
      </c>
      <c r="P55" s="35"/>
      <c r="Q55" s="35">
        <v>3450</v>
      </c>
      <c r="R55" s="35"/>
      <c r="S55" s="35"/>
      <c r="T55" s="35">
        <v>12000</v>
      </c>
      <c r="U55" s="35"/>
      <c r="V55" s="35">
        <v>4950</v>
      </c>
      <c r="W55" s="35"/>
      <c r="X55" s="35">
        <v>5100</v>
      </c>
      <c r="Y55" s="35"/>
      <c r="Z55" s="35"/>
      <c r="AA55" s="35"/>
      <c r="AB55" s="35">
        <v>10050</v>
      </c>
      <c r="AC55" s="32">
        <f t="shared" si="2"/>
        <v>39150</v>
      </c>
      <c r="AD55" s="32">
        <f t="shared" si="3"/>
        <v>261</v>
      </c>
    </row>
    <row r="56" spans="1:30" x14ac:dyDescent="0.2">
      <c r="A56" s="32"/>
      <c r="B56" s="33"/>
      <c r="C56" s="34" t="s">
        <v>281</v>
      </c>
      <c r="D56" s="32">
        <v>50</v>
      </c>
      <c r="E56" s="35">
        <v>150</v>
      </c>
      <c r="F56" s="35"/>
      <c r="G56" s="35"/>
      <c r="H56" s="35"/>
      <c r="I56" s="35"/>
      <c r="J56" s="35"/>
      <c r="K56" s="35"/>
      <c r="L56" s="35"/>
      <c r="M56" s="35"/>
      <c r="N56" s="35"/>
      <c r="O56" s="35">
        <v>2700</v>
      </c>
      <c r="P56" s="35"/>
      <c r="Q56" s="35">
        <v>2400</v>
      </c>
      <c r="R56" s="35"/>
      <c r="S56" s="35"/>
      <c r="T56" s="35">
        <v>10500</v>
      </c>
      <c r="U56" s="35"/>
      <c r="V56" s="35">
        <v>4950</v>
      </c>
      <c r="W56" s="35"/>
      <c r="X56" s="35">
        <v>6600</v>
      </c>
      <c r="Y56" s="35"/>
      <c r="Z56" s="35">
        <v>7500</v>
      </c>
      <c r="AA56" s="35"/>
      <c r="AB56" s="35">
        <f>2550+450</f>
        <v>3000</v>
      </c>
      <c r="AC56" s="32">
        <f t="shared" si="2"/>
        <v>37650</v>
      </c>
      <c r="AD56" s="32">
        <f t="shared" si="3"/>
        <v>251</v>
      </c>
    </row>
    <row r="57" spans="1:30" x14ac:dyDescent="0.2">
      <c r="A57" s="32"/>
      <c r="B57" s="33"/>
      <c r="C57" s="34" t="s">
        <v>282</v>
      </c>
      <c r="D57" s="32">
        <v>50</v>
      </c>
      <c r="E57" s="35">
        <v>150</v>
      </c>
      <c r="F57" s="35"/>
      <c r="G57" s="35"/>
      <c r="H57" s="35"/>
      <c r="I57" s="35"/>
      <c r="J57" s="35"/>
      <c r="K57" s="35"/>
      <c r="L57" s="35"/>
      <c r="M57" s="35"/>
      <c r="N57" s="35"/>
      <c r="O57" s="35">
        <v>600</v>
      </c>
      <c r="P57" s="35"/>
      <c r="Q57" s="35">
        <v>2100</v>
      </c>
      <c r="R57" s="35"/>
      <c r="S57" s="35"/>
      <c r="T57" s="35">
        <v>10050</v>
      </c>
      <c r="U57" s="35"/>
      <c r="V57" s="35">
        <v>4950</v>
      </c>
      <c r="W57" s="35"/>
      <c r="X57" s="35">
        <v>5100</v>
      </c>
      <c r="Y57" s="35"/>
      <c r="Z57" s="35"/>
      <c r="AA57" s="35"/>
      <c r="AB57" s="35">
        <v>10200</v>
      </c>
      <c r="AC57" s="32">
        <f t="shared" si="2"/>
        <v>33000</v>
      </c>
      <c r="AD57" s="32">
        <f t="shared" si="3"/>
        <v>220</v>
      </c>
    </row>
    <row r="58" spans="1:30" x14ac:dyDescent="0.2">
      <c r="A58" s="32"/>
      <c r="B58" s="33"/>
      <c r="C58" s="34"/>
      <c r="D58" s="32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2"/>
      <c r="AD58" s="32"/>
    </row>
    <row r="59" spans="1:30" x14ac:dyDescent="0.2">
      <c r="A59" s="410" t="s">
        <v>135</v>
      </c>
      <c r="B59" s="414"/>
      <c r="C59" s="414"/>
      <c r="D59" s="414"/>
      <c r="E59" s="411"/>
      <c r="F59" s="69">
        <f t="shared" ref="F59:AC59" si="4">SUM(F7:F58)</f>
        <v>109920</v>
      </c>
      <c r="G59" s="69">
        <f t="shared" si="4"/>
        <v>7880</v>
      </c>
      <c r="H59" s="69">
        <f t="shared" si="4"/>
        <v>70880</v>
      </c>
      <c r="I59" s="69">
        <f t="shared" si="4"/>
        <v>1200</v>
      </c>
      <c r="J59" s="69">
        <f t="shared" si="4"/>
        <v>163220</v>
      </c>
      <c r="K59" s="69">
        <f t="shared" si="4"/>
        <v>3000</v>
      </c>
      <c r="L59" s="80">
        <f t="shared" si="4"/>
        <v>9000</v>
      </c>
      <c r="M59" s="69">
        <f t="shared" si="4"/>
        <v>167440</v>
      </c>
      <c r="N59" s="69">
        <f t="shared" si="4"/>
        <v>50820</v>
      </c>
      <c r="O59" s="69">
        <f t="shared" si="4"/>
        <v>44100</v>
      </c>
      <c r="P59" s="69">
        <f t="shared" si="4"/>
        <v>100750</v>
      </c>
      <c r="Q59" s="69">
        <f t="shared" si="4"/>
        <v>13945</v>
      </c>
      <c r="R59" s="99">
        <f t="shared" si="4"/>
        <v>10800</v>
      </c>
      <c r="S59" s="69">
        <f t="shared" si="4"/>
        <v>58670</v>
      </c>
      <c r="T59" s="69">
        <f t="shared" si="4"/>
        <v>36000</v>
      </c>
      <c r="U59" s="69">
        <f t="shared" si="4"/>
        <v>81705</v>
      </c>
      <c r="V59" s="69">
        <f t="shared" si="4"/>
        <v>32250</v>
      </c>
      <c r="W59" s="90">
        <f t="shared" ref="W59" si="5">SUM(W7:W58)</f>
        <v>19240</v>
      </c>
      <c r="X59" s="90">
        <f t="shared" si="4"/>
        <v>42335</v>
      </c>
      <c r="Y59" s="94">
        <f t="shared" si="4"/>
        <v>135730</v>
      </c>
      <c r="Z59" s="100">
        <f t="shared" ref="Z59:AB59" si="6">SUM(Z7:Z58)</f>
        <v>8700</v>
      </c>
      <c r="AA59" s="104">
        <f t="shared" si="6"/>
        <v>88530</v>
      </c>
      <c r="AB59" s="104">
        <f t="shared" si="6"/>
        <v>135950</v>
      </c>
      <c r="AC59" s="69">
        <f t="shared" si="4"/>
        <v>1392065</v>
      </c>
      <c r="AD59" s="10"/>
    </row>
    <row r="60" spans="1:30" x14ac:dyDescent="0.2">
      <c r="A60" s="421" t="s">
        <v>184</v>
      </c>
      <c r="B60" s="421"/>
      <c r="C60" s="421"/>
      <c r="D60" s="421"/>
      <c r="E60" s="421"/>
      <c r="AD60" s="17">
        <f>SUM(AD7:AD58)</f>
        <v>3499</v>
      </c>
    </row>
    <row r="61" spans="1:30" x14ac:dyDescent="0.2">
      <c r="AD61" s="78">
        <f>SUM(F3:AB3)</f>
        <v>3499</v>
      </c>
    </row>
  </sheetData>
  <mergeCells count="7">
    <mergeCell ref="A60:E60"/>
    <mergeCell ref="A1:E1"/>
    <mergeCell ref="AC1:AD1"/>
    <mergeCell ref="A2:E2"/>
    <mergeCell ref="D3:E3"/>
    <mergeCell ref="D4:E4"/>
    <mergeCell ref="A59:E59"/>
  </mergeCells>
  <pageMargins left="0.51181102362204722" right="0.51181102362204722" top="0.51181102362204722" bottom="0.51181102362204722" header="0" footer="0"/>
  <pageSetup paperSize="9" scale="89" orientation="landscape" blackAndWhite="1" horizontalDpi="4294967295" verticalDpi="18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6"/>
  <sheetViews>
    <sheetView workbookViewId="0">
      <pane xSplit="5" ySplit="5" topLeftCell="R39" activePane="bottomRight" state="frozenSplit"/>
      <selection pane="topRight" activeCell="G1" sqref="G1"/>
      <selection pane="bottomLeft" activeCell="A17" sqref="A17"/>
      <selection pane="bottomRight" activeCell="U7" sqref="U7"/>
    </sheetView>
  </sheetViews>
  <sheetFormatPr defaultRowHeight="12.75" x14ac:dyDescent="0.2"/>
  <cols>
    <col min="1" max="1" width="4.28515625" bestFit="1" customWidth="1"/>
    <col min="2" max="2" width="10.85546875" bestFit="1" customWidth="1"/>
    <col min="3" max="3" width="34.5703125" bestFit="1" customWidth="1"/>
    <col min="4" max="4" width="5.85546875" bestFit="1" customWidth="1"/>
    <col min="5" max="5" width="5" bestFit="1" customWidth="1"/>
    <col min="6" max="18" width="8.140625" customWidth="1"/>
    <col min="19" max="19" width="10.5703125" style="16" bestFit="1" customWidth="1"/>
    <col min="20" max="20" width="9.28515625" style="16" bestFit="1" customWidth="1"/>
  </cols>
  <sheetData>
    <row r="1" spans="1:20" x14ac:dyDescent="0.2">
      <c r="A1" s="415" t="s">
        <v>302</v>
      </c>
      <c r="B1" s="422"/>
      <c r="C1" s="422"/>
      <c r="D1" s="422"/>
      <c r="E1" s="423"/>
      <c r="F1" s="111">
        <v>3222</v>
      </c>
      <c r="G1" s="111">
        <v>3227</v>
      </c>
      <c r="H1" s="111">
        <v>3228</v>
      </c>
      <c r="I1" s="109">
        <v>3233</v>
      </c>
      <c r="J1" s="109">
        <v>3239</v>
      </c>
      <c r="K1" s="109">
        <v>3242</v>
      </c>
      <c r="L1" s="109">
        <v>3249</v>
      </c>
      <c r="M1" s="109">
        <v>3252</v>
      </c>
      <c r="N1" s="109">
        <v>3254</v>
      </c>
      <c r="O1" s="109">
        <v>3257</v>
      </c>
      <c r="P1" s="109">
        <v>3266</v>
      </c>
      <c r="Q1" s="109">
        <v>3275</v>
      </c>
      <c r="R1" s="109">
        <v>3282</v>
      </c>
      <c r="S1" s="408" t="s">
        <v>138</v>
      </c>
      <c r="T1" s="408"/>
    </row>
    <row r="2" spans="1:20" x14ac:dyDescent="0.2">
      <c r="A2" s="410" t="s">
        <v>42</v>
      </c>
      <c r="B2" s="422"/>
      <c r="C2" s="422"/>
      <c r="D2" s="422"/>
      <c r="E2" s="423"/>
      <c r="F2" s="111" t="s">
        <v>303</v>
      </c>
      <c r="G2" s="113" t="s">
        <v>305</v>
      </c>
      <c r="H2" s="113" t="s">
        <v>306</v>
      </c>
      <c r="I2" s="114" t="s">
        <v>307</v>
      </c>
      <c r="J2" s="118" t="s">
        <v>308</v>
      </c>
      <c r="K2" s="119" t="s">
        <v>309</v>
      </c>
      <c r="L2" s="121" t="s">
        <v>310</v>
      </c>
      <c r="M2" s="122" t="s">
        <v>311</v>
      </c>
      <c r="N2" s="123" t="s">
        <v>312</v>
      </c>
      <c r="O2" s="124" t="s">
        <v>313</v>
      </c>
      <c r="P2" s="125" t="s">
        <v>314</v>
      </c>
      <c r="Q2" s="126" t="s">
        <v>315</v>
      </c>
      <c r="R2" s="126" t="s">
        <v>316</v>
      </c>
      <c r="S2" s="108" t="s">
        <v>116</v>
      </c>
      <c r="T2" s="18" t="s">
        <v>5</v>
      </c>
    </row>
    <row r="3" spans="1:20" x14ac:dyDescent="0.2">
      <c r="A3" s="110"/>
      <c r="B3" s="110"/>
      <c r="C3" s="110"/>
      <c r="D3" s="410" t="s">
        <v>140</v>
      </c>
      <c r="E3" s="414"/>
      <c r="F3" s="111">
        <v>385</v>
      </c>
      <c r="G3" s="111">
        <v>255</v>
      </c>
      <c r="H3" s="111">
        <v>21</v>
      </c>
      <c r="I3" s="111">
        <v>319</v>
      </c>
      <c r="J3" s="111">
        <v>238</v>
      </c>
      <c r="K3" s="120">
        <v>221</v>
      </c>
      <c r="L3" s="111">
        <v>274</v>
      </c>
      <c r="M3" s="111">
        <v>188</v>
      </c>
      <c r="N3" s="111">
        <v>129</v>
      </c>
      <c r="O3" s="111">
        <v>58</v>
      </c>
      <c r="P3" s="111">
        <v>185</v>
      </c>
      <c r="Q3" s="111">
        <v>135</v>
      </c>
      <c r="R3" s="111">
        <v>162</v>
      </c>
      <c r="S3" s="10"/>
      <c r="T3" s="10"/>
    </row>
    <row r="4" spans="1:20" ht="25.5" x14ac:dyDescent="0.2">
      <c r="A4" s="9" t="s">
        <v>1</v>
      </c>
      <c r="B4" s="4" t="s">
        <v>2</v>
      </c>
      <c r="C4" s="4" t="s">
        <v>0</v>
      </c>
      <c r="D4" s="408" t="s">
        <v>3</v>
      </c>
      <c r="E4" s="415"/>
      <c r="F4" s="109" t="s">
        <v>116</v>
      </c>
      <c r="G4" s="109" t="s">
        <v>116</v>
      </c>
      <c r="H4" s="109" t="s">
        <v>116</v>
      </c>
      <c r="I4" s="109" t="s">
        <v>116</v>
      </c>
      <c r="J4" s="111" t="s">
        <v>116</v>
      </c>
      <c r="K4" s="111" t="s">
        <v>116</v>
      </c>
      <c r="L4" s="111" t="s">
        <v>116</v>
      </c>
      <c r="M4" s="111" t="s">
        <v>116</v>
      </c>
      <c r="N4" s="111" t="s">
        <v>116</v>
      </c>
      <c r="O4" s="111" t="s">
        <v>116</v>
      </c>
      <c r="P4" s="111" t="s">
        <v>116</v>
      </c>
      <c r="Q4" s="111" t="s">
        <v>116</v>
      </c>
      <c r="R4" s="111" t="s">
        <v>116</v>
      </c>
      <c r="S4" s="10"/>
      <c r="T4" s="10"/>
    </row>
    <row r="5" spans="1:20" x14ac:dyDescent="0.2">
      <c r="A5" s="10"/>
      <c r="B5" s="2"/>
      <c r="C5" s="2"/>
      <c r="D5" s="108" t="s">
        <v>4</v>
      </c>
      <c r="E5" s="112" t="s">
        <v>5</v>
      </c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0"/>
      <c r="T5" s="10"/>
    </row>
    <row r="6" spans="1:20" x14ac:dyDescent="0.2">
      <c r="A6" s="29"/>
      <c r="B6" s="30"/>
      <c r="C6" s="30"/>
      <c r="D6" s="2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29"/>
      <c r="T6" s="29"/>
    </row>
    <row r="7" spans="1:20" x14ac:dyDescent="0.2">
      <c r="A7" s="32" t="s">
        <v>222</v>
      </c>
      <c r="B7" s="33" t="s">
        <v>85</v>
      </c>
      <c r="C7" s="34" t="s">
        <v>6</v>
      </c>
      <c r="D7" s="32">
        <v>100</v>
      </c>
      <c r="E7" s="35">
        <v>2000</v>
      </c>
      <c r="F7" s="35">
        <v>24000</v>
      </c>
      <c r="G7" s="35">
        <v>10000</v>
      </c>
      <c r="H7" s="35"/>
      <c r="I7" s="35">
        <v>46000</v>
      </c>
      <c r="J7" s="35">
        <v>24000</v>
      </c>
      <c r="K7" s="35"/>
      <c r="L7" s="35">
        <v>32000</v>
      </c>
      <c r="M7" s="35">
        <v>14000</v>
      </c>
      <c r="N7" s="35">
        <v>14000</v>
      </c>
      <c r="O7" s="35">
        <v>4000</v>
      </c>
      <c r="P7" s="35">
        <v>48000</v>
      </c>
      <c r="Q7" s="35">
        <v>26000</v>
      </c>
      <c r="R7" s="35">
        <f>50000+20000</f>
        <v>70000</v>
      </c>
      <c r="S7" s="32">
        <f t="shared" ref="S7:S52" si="0">SUM(F7:R7)</f>
        <v>312000</v>
      </c>
      <c r="T7" s="32">
        <f t="shared" ref="T7:T52" si="1">S7/E7</f>
        <v>156</v>
      </c>
    </row>
    <row r="8" spans="1:20" s="28" customFormat="1" x14ac:dyDescent="0.2">
      <c r="A8" s="36">
        <v>2</v>
      </c>
      <c r="B8" s="37" t="s">
        <v>81</v>
      </c>
      <c r="C8" s="38" t="s">
        <v>7</v>
      </c>
      <c r="D8" s="36">
        <v>100</v>
      </c>
      <c r="E8" s="39">
        <v>2000</v>
      </c>
      <c r="F8" s="39"/>
      <c r="G8" s="39"/>
      <c r="H8" s="39"/>
      <c r="I8" s="39">
        <v>40000</v>
      </c>
      <c r="J8" s="39">
        <v>20000</v>
      </c>
      <c r="K8" s="39"/>
      <c r="L8" s="39">
        <v>16000</v>
      </c>
      <c r="M8" s="39">
        <v>6000</v>
      </c>
      <c r="N8" s="39">
        <v>14000</v>
      </c>
      <c r="O8" s="39">
        <v>10000</v>
      </c>
      <c r="P8" s="39">
        <v>10000</v>
      </c>
      <c r="Q8" s="39">
        <v>10000</v>
      </c>
      <c r="R8" s="39">
        <v>10000</v>
      </c>
      <c r="S8" s="36">
        <f t="shared" si="0"/>
        <v>136000</v>
      </c>
      <c r="T8" s="36">
        <f t="shared" si="1"/>
        <v>68</v>
      </c>
    </row>
    <row r="9" spans="1:20" x14ac:dyDescent="0.2">
      <c r="A9" s="32">
        <v>3</v>
      </c>
      <c r="B9" s="33" t="s">
        <v>86</v>
      </c>
      <c r="C9" s="34" t="s">
        <v>8</v>
      </c>
      <c r="D9" s="32">
        <v>50</v>
      </c>
      <c r="E9" s="35">
        <v>1100</v>
      </c>
      <c r="F9" s="35">
        <v>9900</v>
      </c>
      <c r="G9" s="35">
        <v>13200</v>
      </c>
      <c r="H9" s="35"/>
      <c r="I9" s="35">
        <v>8800</v>
      </c>
      <c r="J9" s="35">
        <v>11000</v>
      </c>
      <c r="K9" s="35">
        <v>11000</v>
      </c>
      <c r="L9" s="35">
        <v>8800</v>
      </c>
      <c r="M9" s="35">
        <v>4400</v>
      </c>
      <c r="N9" s="35">
        <v>6600</v>
      </c>
      <c r="O9" s="35">
        <v>6600</v>
      </c>
      <c r="P9" s="35">
        <v>8800</v>
      </c>
      <c r="Q9" s="35">
        <v>6600</v>
      </c>
      <c r="R9" s="35"/>
      <c r="S9" s="32">
        <f t="shared" si="0"/>
        <v>95700</v>
      </c>
      <c r="T9" s="32">
        <f t="shared" si="1"/>
        <v>87</v>
      </c>
    </row>
    <row r="10" spans="1:20" s="28" customFormat="1" x14ac:dyDescent="0.2">
      <c r="A10" s="36">
        <v>4</v>
      </c>
      <c r="B10" s="37" t="s">
        <v>87</v>
      </c>
      <c r="C10" s="38" t="s">
        <v>9</v>
      </c>
      <c r="D10" s="36">
        <v>50</v>
      </c>
      <c r="E10" s="39">
        <v>1000</v>
      </c>
      <c r="F10" s="39"/>
      <c r="G10" s="39">
        <v>11000</v>
      </c>
      <c r="H10" s="39"/>
      <c r="I10" s="39">
        <v>9000</v>
      </c>
      <c r="J10" s="39">
        <v>10000</v>
      </c>
      <c r="K10" s="39">
        <v>10000</v>
      </c>
      <c r="L10" s="39">
        <v>5000</v>
      </c>
      <c r="M10" s="39">
        <v>6000</v>
      </c>
      <c r="N10" s="39">
        <v>6000</v>
      </c>
      <c r="O10" s="39"/>
      <c r="P10" s="39">
        <v>6000</v>
      </c>
      <c r="Q10" s="39"/>
      <c r="R10" s="39"/>
      <c r="S10" s="36">
        <f t="shared" si="0"/>
        <v>63000</v>
      </c>
      <c r="T10" s="36">
        <f t="shared" si="1"/>
        <v>63</v>
      </c>
    </row>
    <row r="11" spans="1:20" x14ac:dyDescent="0.2">
      <c r="A11" s="32">
        <v>5</v>
      </c>
      <c r="B11" s="33" t="s">
        <v>82</v>
      </c>
      <c r="C11" s="34" t="s">
        <v>10</v>
      </c>
      <c r="D11" s="32">
        <v>50</v>
      </c>
      <c r="E11" s="35">
        <v>800</v>
      </c>
      <c r="F11" s="35"/>
      <c r="G11" s="35">
        <v>8800</v>
      </c>
      <c r="H11" s="35"/>
      <c r="I11" s="35">
        <v>5600</v>
      </c>
      <c r="J11" s="35">
        <v>8000</v>
      </c>
      <c r="K11" s="35"/>
      <c r="L11" s="35">
        <v>9600</v>
      </c>
      <c r="M11" s="35">
        <v>4000</v>
      </c>
      <c r="N11" s="35">
        <v>4800</v>
      </c>
      <c r="O11" s="35"/>
      <c r="P11" s="35">
        <v>4800</v>
      </c>
      <c r="Q11" s="35">
        <v>4000</v>
      </c>
      <c r="R11" s="35"/>
      <c r="S11" s="32">
        <f t="shared" si="0"/>
        <v>49600</v>
      </c>
      <c r="T11" s="32">
        <f t="shared" si="1"/>
        <v>62</v>
      </c>
    </row>
    <row r="12" spans="1:20" s="28" customFormat="1" x14ac:dyDescent="0.2">
      <c r="A12" s="36">
        <v>6</v>
      </c>
      <c r="B12" s="37" t="s">
        <v>89</v>
      </c>
      <c r="C12" s="38" t="s">
        <v>11</v>
      </c>
      <c r="D12" s="36">
        <v>50</v>
      </c>
      <c r="E12" s="39">
        <v>600</v>
      </c>
      <c r="F12" s="39">
        <v>21600</v>
      </c>
      <c r="G12" s="39"/>
      <c r="H12" s="39"/>
      <c r="I12" s="39">
        <v>7200</v>
      </c>
      <c r="J12" s="39">
        <v>12000</v>
      </c>
      <c r="K12" s="39">
        <v>12000</v>
      </c>
      <c r="L12" s="39">
        <v>9000</v>
      </c>
      <c r="M12" s="39">
        <v>6000</v>
      </c>
      <c r="N12" s="39"/>
      <c r="O12" s="39">
        <v>6000</v>
      </c>
      <c r="P12" s="39">
        <v>6000</v>
      </c>
      <c r="Q12" s="39">
        <v>6000</v>
      </c>
      <c r="R12" s="39">
        <v>6000</v>
      </c>
      <c r="S12" s="36">
        <f t="shared" si="0"/>
        <v>91800</v>
      </c>
      <c r="T12" s="36">
        <f t="shared" si="1"/>
        <v>153</v>
      </c>
    </row>
    <row r="13" spans="1:20" x14ac:dyDescent="0.2">
      <c r="A13" s="32" t="s">
        <v>12</v>
      </c>
      <c r="B13" s="48" t="s">
        <v>214</v>
      </c>
      <c r="C13" s="34" t="s">
        <v>213</v>
      </c>
      <c r="D13" s="32">
        <v>50</v>
      </c>
      <c r="E13" s="35">
        <v>600</v>
      </c>
      <c r="F13" s="35">
        <v>2400</v>
      </c>
      <c r="G13" s="35"/>
      <c r="H13" s="35">
        <v>1800</v>
      </c>
      <c r="I13" s="35">
        <v>1800</v>
      </c>
      <c r="J13" s="35">
        <v>1200</v>
      </c>
      <c r="K13" s="35"/>
      <c r="L13" s="35">
        <v>600</v>
      </c>
      <c r="M13" s="35"/>
      <c r="N13" s="35"/>
      <c r="O13" s="35"/>
      <c r="P13" s="35"/>
      <c r="Q13" s="35"/>
      <c r="R13" s="35">
        <v>1200</v>
      </c>
      <c r="S13" s="32">
        <f t="shared" si="0"/>
        <v>9000</v>
      </c>
      <c r="T13" s="32">
        <f t="shared" si="1"/>
        <v>15</v>
      </c>
    </row>
    <row r="14" spans="1:20" s="28" customFormat="1" x14ac:dyDescent="0.2">
      <c r="A14" s="36">
        <v>7</v>
      </c>
      <c r="B14" s="37" t="s">
        <v>88</v>
      </c>
      <c r="C14" s="38" t="s">
        <v>14</v>
      </c>
      <c r="D14" s="36">
        <v>10</v>
      </c>
      <c r="E14" s="39">
        <v>400</v>
      </c>
      <c r="F14" s="39">
        <v>4000</v>
      </c>
      <c r="G14" s="39"/>
      <c r="H14" s="39"/>
      <c r="I14" s="39">
        <v>4000</v>
      </c>
      <c r="J14" s="39">
        <v>4000</v>
      </c>
      <c r="K14" s="39">
        <v>4000</v>
      </c>
      <c r="L14" s="39">
        <v>2000</v>
      </c>
      <c r="M14" s="39"/>
      <c r="N14" s="39"/>
      <c r="O14" s="39"/>
      <c r="P14" s="39"/>
      <c r="Q14" s="39"/>
      <c r="R14" s="39"/>
      <c r="S14" s="36">
        <f t="shared" si="0"/>
        <v>18000</v>
      </c>
      <c r="T14" s="36">
        <f t="shared" si="1"/>
        <v>45</v>
      </c>
    </row>
    <row r="15" spans="1:20" x14ac:dyDescent="0.2">
      <c r="A15" s="32">
        <v>8</v>
      </c>
      <c r="B15" s="33" t="s">
        <v>90</v>
      </c>
      <c r="C15" s="34" t="s">
        <v>15</v>
      </c>
      <c r="D15" s="32">
        <v>10</v>
      </c>
      <c r="E15" s="35">
        <v>400</v>
      </c>
      <c r="F15" s="35">
        <v>8000</v>
      </c>
      <c r="G15" s="35">
        <v>8000</v>
      </c>
      <c r="H15" s="35"/>
      <c r="I15" s="35"/>
      <c r="J15" s="35">
        <v>8000</v>
      </c>
      <c r="K15" s="35">
        <v>8000</v>
      </c>
      <c r="L15" s="35">
        <v>8000</v>
      </c>
      <c r="M15" s="35">
        <v>4000</v>
      </c>
      <c r="N15" s="35">
        <v>4000</v>
      </c>
      <c r="O15" s="35"/>
      <c r="P15" s="35">
        <v>4000</v>
      </c>
      <c r="Q15" s="35">
        <v>4000</v>
      </c>
      <c r="R15" s="35">
        <v>4000</v>
      </c>
      <c r="S15" s="32">
        <f t="shared" si="0"/>
        <v>60000</v>
      </c>
      <c r="T15" s="32">
        <f t="shared" si="1"/>
        <v>150</v>
      </c>
    </row>
    <row r="16" spans="1:20" s="28" customFormat="1" x14ac:dyDescent="0.2">
      <c r="A16" s="36">
        <v>9</v>
      </c>
      <c r="B16" s="37" t="s">
        <v>91</v>
      </c>
      <c r="C16" s="38" t="s">
        <v>16</v>
      </c>
      <c r="D16" s="36">
        <v>10</v>
      </c>
      <c r="E16" s="39">
        <v>300</v>
      </c>
      <c r="F16" s="39">
        <v>12000</v>
      </c>
      <c r="G16" s="39">
        <v>12000</v>
      </c>
      <c r="H16" s="39"/>
      <c r="I16" s="39">
        <v>9000</v>
      </c>
      <c r="J16" s="39"/>
      <c r="K16" s="39">
        <v>9000</v>
      </c>
      <c r="L16" s="39">
        <v>9000</v>
      </c>
      <c r="M16" s="39">
        <v>6000</v>
      </c>
      <c r="N16" s="39">
        <v>4800</v>
      </c>
      <c r="O16" s="39">
        <v>4200</v>
      </c>
      <c r="P16" s="39">
        <v>6000</v>
      </c>
      <c r="Q16" s="39">
        <v>6000</v>
      </c>
      <c r="R16" s="39">
        <v>6000</v>
      </c>
      <c r="S16" s="36">
        <f t="shared" si="0"/>
        <v>84000</v>
      </c>
      <c r="T16" s="36">
        <f t="shared" si="1"/>
        <v>280</v>
      </c>
    </row>
    <row r="17" spans="1:20" x14ac:dyDescent="0.2">
      <c r="A17" s="32" t="s">
        <v>17</v>
      </c>
      <c r="B17" s="40">
        <v>90441300</v>
      </c>
      <c r="C17" s="34" t="s">
        <v>179</v>
      </c>
      <c r="D17" s="32">
        <v>10</v>
      </c>
      <c r="E17" s="35">
        <v>300</v>
      </c>
      <c r="F17" s="35">
        <v>1500</v>
      </c>
      <c r="G17" s="35">
        <v>1500</v>
      </c>
      <c r="H17" s="35"/>
      <c r="I17" s="35">
        <v>1500</v>
      </c>
      <c r="J17" s="35"/>
      <c r="K17" s="35">
        <v>1500</v>
      </c>
      <c r="L17" s="35">
        <v>1200</v>
      </c>
      <c r="M17" s="35"/>
      <c r="N17" s="35"/>
      <c r="O17" s="35"/>
      <c r="P17" s="35"/>
      <c r="Q17" s="35"/>
      <c r="R17" s="35">
        <v>900</v>
      </c>
      <c r="S17" s="32">
        <f t="shared" si="0"/>
        <v>8100</v>
      </c>
      <c r="T17" s="32">
        <f t="shared" si="1"/>
        <v>27</v>
      </c>
    </row>
    <row r="18" spans="1:20" s="28" customFormat="1" x14ac:dyDescent="0.2">
      <c r="A18" s="36" t="s">
        <v>180</v>
      </c>
      <c r="B18" s="37" t="s">
        <v>168</v>
      </c>
      <c r="C18" s="76" t="s">
        <v>169</v>
      </c>
      <c r="D18" s="36">
        <v>10</v>
      </c>
      <c r="E18" s="39">
        <v>300</v>
      </c>
      <c r="F18" s="39">
        <v>12000</v>
      </c>
      <c r="G18" s="39"/>
      <c r="H18" s="39">
        <v>4200</v>
      </c>
      <c r="I18" s="39">
        <v>9900</v>
      </c>
      <c r="J18" s="39">
        <v>6000</v>
      </c>
      <c r="K18" s="39"/>
      <c r="L18" s="39">
        <v>6600</v>
      </c>
      <c r="M18" s="39"/>
      <c r="N18" s="39"/>
      <c r="O18" s="39"/>
      <c r="P18" s="39"/>
      <c r="Q18" s="39"/>
      <c r="R18" s="39"/>
      <c r="S18" s="36">
        <f t="shared" si="0"/>
        <v>38700</v>
      </c>
      <c r="T18" s="36">
        <f t="shared" si="1"/>
        <v>129</v>
      </c>
    </row>
    <row r="19" spans="1:20" x14ac:dyDescent="0.2">
      <c r="A19" s="32">
        <v>10</v>
      </c>
      <c r="B19" s="33" t="s">
        <v>94</v>
      </c>
      <c r="C19" s="34" t="s">
        <v>19</v>
      </c>
      <c r="D19" s="41">
        <v>10</v>
      </c>
      <c r="E19" s="35">
        <v>130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2">
        <f t="shared" si="0"/>
        <v>0</v>
      </c>
      <c r="T19" s="32">
        <f t="shared" si="1"/>
        <v>0</v>
      </c>
    </row>
    <row r="20" spans="1:20" s="28" customFormat="1" x14ac:dyDescent="0.2">
      <c r="A20" s="36"/>
      <c r="B20" s="37" t="s">
        <v>92</v>
      </c>
      <c r="C20" s="38" t="s">
        <v>287</v>
      </c>
      <c r="D20" s="115">
        <v>10</v>
      </c>
      <c r="E20" s="39">
        <v>110</v>
      </c>
      <c r="F20" s="39">
        <v>440</v>
      </c>
      <c r="G20" s="39"/>
      <c r="H20" s="39"/>
      <c r="I20" s="39"/>
      <c r="J20" s="39"/>
      <c r="K20" s="39">
        <v>440</v>
      </c>
      <c r="L20" s="39"/>
      <c r="M20" s="39">
        <v>550</v>
      </c>
      <c r="N20" s="39"/>
      <c r="O20" s="39"/>
      <c r="P20" s="39"/>
      <c r="Q20" s="39"/>
      <c r="R20" s="39"/>
      <c r="S20" s="36">
        <f t="shared" si="0"/>
        <v>1430</v>
      </c>
      <c r="T20" s="36">
        <f t="shared" si="1"/>
        <v>13</v>
      </c>
    </row>
    <row r="21" spans="1:20" x14ac:dyDescent="0.2">
      <c r="A21" s="32">
        <v>12</v>
      </c>
      <c r="B21" s="33" t="s">
        <v>95</v>
      </c>
      <c r="C21" s="34" t="s">
        <v>21</v>
      </c>
      <c r="D21" s="32">
        <v>10</v>
      </c>
      <c r="E21" s="35">
        <v>80</v>
      </c>
      <c r="F21" s="35">
        <v>480</v>
      </c>
      <c r="G21" s="35">
        <v>480</v>
      </c>
      <c r="H21" s="35"/>
      <c r="I21" s="35">
        <v>400</v>
      </c>
      <c r="J21" s="35"/>
      <c r="K21" s="35">
        <v>560</v>
      </c>
      <c r="L21" s="35">
        <v>480</v>
      </c>
      <c r="M21" s="35">
        <v>480</v>
      </c>
      <c r="N21" s="35">
        <v>480</v>
      </c>
      <c r="O21" s="35"/>
      <c r="P21" s="35">
        <v>480</v>
      </c>
      <c r="Q21" s="35">
        <v>480</v>
      </c>
      <c r="R21" s="35">
        <v>480</v>
      </c>
      <c r="S21" s="32">
        <f t="shared" si="0"/>
        <v>4800</v>
      </c>
      <c r="T21" s="32">
        <f t="shared" si="1"/>
        <v>60</v>
      </c>
    </row>
    <row r="22" spans="1:20" s="28" customFormat="1" x14ac:dyDescent="0.2">
      <c r="A22" s="36">
        <v>13</v>
      </c>
      <c r="B22" s="37" t="s">
        <v>99</v>
      </c>
      <c r="C22" s="38" t="s">
        <v>22</v>
      </c>
      <c r="D22" s="36">
        <v>100</v>
      </c>
      <c r="E22" s="39">
        <v>1200</v>
      </c>
      <c r="F22" s="39">
        <v>20400</v>
      </c>
      <c r="G22" s="39">
        <v>14400</v>
      </c>
      <c r="H22" s="39"/>
      <c r="I22" s="39">
        <v>3600</v>
      </c>
      <c r="J22" s="39">
        <v>18000</v>
      </c>
      <c r="K22" s="39">
        <v>18000</v>
      </c>
      <c r="L22" s="39">
        <v>7200</v>
      </c>
      <c r="M22" s="39">
        <v>4800</v>
      </c>
      <c r="N22" s="39">
        <v>12000</v>
      </c>
      <c r="O22" s="39"/>
      <c r="P22" s="39">
        <v>18000</v>
      </c>
      <c r="Q22" s="39">
        <v>12000</v>
      </c>
      <c r="R22" s="39">
        <v>12000</v>
      </c>
      <c r="S22" s="36">
        <f t="shared" si="0"/>
        <v>140400</v>
      </c>
      <c r="T22" s="36">
        <f t="shared" si="1"/>
        <v>117</v>
      </c>
    </row>
    <row r="23" spans="1:20" x14ac:dyDescent="0.2">
      <c r="A23" s="32">
        <v>14</v>
      </c>
      <c r="B23" s="33" t="s">
        <v>102</v>
      </c>
      <c r="C23" s="34" t="s">
        <v>23</v>
      </c>
      <c r="D23" s="32">
        <v>100</v>
      </c>
      <c r="E23" s="35">
        <v>1000</v>
      </c>
      <c r="F23" s="35">
        <v>8000</v>
      </c>
      <c r="G23" s="35">
        <v>6000</v>
      </c>
      <c r="H23" s="35"/>
      <c r="I23" s="35"/>
      <c r="J23" s="35">
        <v>8000</v>
      </c>
      <c r="K23" s="35"/>
      <c r="L23" s="35">
        <v>6000</v>
      </c>
      <c r="M23" s="35">
        <v>16000</v>
      </c>
      <c r="N23" s="35">
        <v>5000</v>
      </c>
      <c r="O23" s="35"/>
      <c r="P23" s="35">
        <v>10000</v>
      </c>
      <c r="Q23" s="35">
        <v>5000</v>
      </c>
      <c r="R23" s="35">
        <v>5000</v>
      </c>
      <c r="S23" s="32">
        <f t="shared" si="0"/>
        <v>69000</v>
      </c>
      <c r="T23" s="32">
        <f t="shared" si="1"/>
        <v>69</v>
      </c>
    </row>
    <row r="24" spans="1:20" s="28" customFormat="1" x14ac:dyDescent="0.2">
      <c r="A24" s="36">
        <v>15</v>
      </c>
      <c r="B24" s="37" t="s">
        <v>97</v>
      </c>
      <c r="C24" s="38" t="s">
        <v>24</v>
      </c>
      <c r="D24" s="36">
        <v>50</v>
      </c>
      <c r="E24" s="39">
        <v>2800</v>
      </c>
      <c r="F24" s="39">
        <v>8400</v>
      </c>
      <c r="G24" s="39"/>
      <c r="H24" s="39"/>
      <c r="I24" s="39">
        <v>8400</v>
      </c>
      <c r="J24" s="39">
        <v>8400</v>
      </c>
      <c r="K24" s="39"/>
      <c r="L24" s="39"/>
      <c r="M24" s="39">
        <v>8400</v>
      </c>
      <c r="N24" s="39">
        <v>11200</v>
      </c>
      <c r="O24" s="39">
        <v>5600</v>
      </c>
      <c r="P24" s="39"/>
      <c r="Q24" s="39">
        <v>5600</v>
      </c>
      <c r="R24" s="39">
        <v>5600</v>
      </c>
      <c r="S24" s="36">
        <f t="shared" si="0"/>
        <v>61600</v>
      </c>
      <c r="T24" s="36">
        <f t="shared" si="1"/>
        <v>22</v>
      </c>
    </row>
    <row r="25" spans="1:20" x14ac:dyDescent="0.2">
      <c r="A25" s="32">
        <v>16</v>
      </c>
      <c r="B25" s="33" t="s">
        <v>98</v>
      </c>
      <c r="C25" s="34" t="s">
        <v>25</v>
      </c>
      <c r="D25" s="32">
        <v>50</v>
      </c>
      <c r="E25" s="35">
        <v>550</v>
      </c>
      <c r="F25" s="35">
        <v>9900</v>
      </c>
      <c r="G25" s="35"/>
      <c r="H25" s="35"/>
      <c r="I25" s="35">
        <v>5500</v>
      </c>
      <c r="J25" s="35">
        <v>5500</v>
      </c>
      <c r="K25" s="35">
        <v>5500</v>
      </c>
      <c r="L25" s="35">
        <v>5500</v>
      </c>
      <c r="M25" s="35">
        <v>5500</v>
      </c>
      <c r="N25" s="35">
        <v>1100</v>
      </c>
      <c r="O25" s="35">
        <v>2200</v>
      </c>
      <c r="P25" s="35"/>
      <c r="Q25" s="35"/>
      <c r="R25" s="35"/>
      <c r="S25" s="32">
        <f t="shared" si="0"/>
        <v>40700</v>
      </c>
      <c r="T25" s="32">
        <f t="shared" si="1"/>
        <v>74</v>
      </c>
    </row>
    <row r="26" spans="1:20" s="28" customFormat="1" x14ac:dyDescent="0.2">
      <c r="A26" s="36" t="s">
        <v>141</v>
      </c>
      <c r="B26" s="37" t="s">
        <v>142</v>
      </c>
      <c r="C26" s="38" t="s">
        <v>143</v>
      </c>
      <c r="D26" s="36">
        <v>50</v>
      </c>
      <c r="E26" s="39">
        <v>550</v>
      </c>
      <c r="F26" s="39">
        <v>5500</v>
      </c>
      <c r="G26" s="39"/>
      <c r="H26" s="39"/>
      <c r="I26" s="39">
        <v>5500</v>
      </c>
      <c r="J26" s="39">
        <v>5500</v>
      </c>
      <c r="K26" s="39">
        <v>5500</v>
      </c>
      <c r="L26" s="39">
        <v>5500</v>
      </c>
      <c r="M26" s="39">
        <v>5500</v>
      </c>
      <c r="N26" s="39">
        <v>1650</v>
      </c>
      <c r="O26" s="39">
        <v>1650</v>
      </c>
      <c r="P26" s="39"/>
      <c r="Q26" s="39"/>
      <c r="R26" s="39"/>
      <c r="S26" s="36">
        <f t="shared" si="0"/>
        <v>36300</v>
      </c>
      <c r="T26" s="36">
        <f t="shared" si="1"/>
        <v>66</v>
      </c>
    </row>
    <row r="27" spans="1:20" x14ac:dyDescent="0.2">
      <c r="A27" s="32" t="s">
        <v>181</v>
      </c>
      <c r="B27" s="33" t="s">
        <v>170</v>
      </c>
      <c r="C27" s="34" t="s">
        <v>171</v>
      </c>
      <c r="D27" s="32">
        <v>10</v>
      </c>
      <c r="E27" s="35">
        <v>1200</v>
      </c>
      <c r="F27" s="35">
        <v>4800</v>
      </c>
      <c r="G27" s="35"/>
      <c r="H27" s="35"/>
      <c r="I27" s="35">
        <v>12000</v>
      </c>
      <c r="J27" s="35">
        <v>6000</v>
      </c>
      <c r="K27" s="35">
        <v>6000</v>
      </c>
      <c r="L27" s="35">
        <v>4800</v>
      </c>
      <c r="M27" s="35">
        <v>3600</v>
      </c>
      <c r="N27" s="35">
        <v>1200</v>
      </c>
      <c r="O27" s="35">
        <v>3600</v>
      </c>
      <c r="P27" s="35">
        <v>1200</v>
      </c>
      <c r="Q27" s="35">
        <v>4800</v>
      </c>
      <c r="R27" s="35">
        <v>4800</v>
      </c>
      <c r="S27" s="32">
        <f t="shared" si="0"/>
        <v>52800</v>
      </c>
      <c r="T27" s="32">
        <f t="shared" si="1"/>
        <v>44</v>
      </c>
    </row>
    <row r="28" spans="1:20" s="28" customFormat="1" x14ac:dyDescent="0.2">
      <c r="A28" s="36" t="s">
        <v>232</v>
      </c>
      <c r="B28" s="37" t="s">
        <v>195</v>
      </c>
      <c r="C28" s="38" t="s">
        <v>197</v>
      </c>
      <c r="D28" s="36">
        <v>10</v>
      </c>
      <c r="E28" s="39">
        <v>1300</v>
      </c>
      <c r="F28" s="39"/>
      <c r="G28" s="39">
        <v>5200</v>
      </c>
      <c r="H28" s="39"/>
      <c r="I28" s="39"/>
      <c r="J28" s="39">
        <v>2600</v>
      </c>
      <c r="K28" s="39">
        <v>2600</v>
      </c>
      <c r="L28" s="39">
        <v>2600</v>
      </c>
      <c r="M28" s="39">
        <v>1300</v>
      </c>
      <c r="N28" s="39">
        <v>1300</v>
      </c>
      <c r="O28" s="39">
        <v>2600</v>
      </c>
      <c r="P28" s="39">
        <v>2600</v>
      </c>
      <c r="Q28" s="39">
        <v>2600</v>
      </c>
      <c r="R28" s="39">
        <v>1300</v>
      </c>
      <c r="S28" s="36">
        <f t="shared" si="0"/>
        <v>24700</v>
      </c>
      <c r="T28" s="36">
        <f t="shared" si="1"/>
        <v>19</v>
      </c>
    </row>
    <row r="29" spans="1:20" x14ac:dyDescent="0.2">
      <c r="A29" s="32" t="s">
        <v>233</v>
      </c>
      <c r="B29" s="33" t="s">
        <v>196</v>
      </c>
      <c r="C29" s="34" t="s">
        <v>198</v>
      </c>
      <c r="D29" s="32">
        <v>10</v>
      </c>
      <c r="E29" s="35">
        <v>800</v>
      </c>
      <c r="F29" s="35"/>
      <c r="G29" s="35">
        <v>4000</v>
      </c>
      <c r="H29" s="35"/>
      <c r="I29" s="35"/>
      <c r="J29" s="35">
        <v>2400</v>
      </c>
      <c r="K29" s="35">
        <v>1600</v>
      </c>
      <c r="L29" s="35">
        <v>2400</v>
      </c>
      <c r="M29" s="35">
        <v>2400</v>
      </c>
      <c r="N29" s="35">
        <v>2400</v>
      </c>
      <c r="O29" s="35"/>
      <c r="P29" s="35">
        <v>2400</v>
      </c>
      <c r="Q29" s="35">
        <v>1600</v>
      </c>
      <c r="R29" s="35">
        <v>800</v>
      </c>
      <c r="S29" s="32">
        <f t="shared" si="0"/>
        <v>20000</v>
      </c>
      <c r="T29" s="32">
        <f t="shared" si="1"/>
        <v>25</v>
      </c>
    </row>
    <row r="30" spans="1:20" s="28" customFormat="1" x14ac:dyDescent="0.2">
      <c r="A30" s="36"/>
      <c r="B30" s="37" t="s">
        <v>206</v>
      </c>
      <c r="C30" s="38" t="s">
        <v>207</v>
      </c>
      <c r="D30" s="36">
        <v>10</v>
      </c>
      <c r="E30" s="39">
        <v>450</v>
      </c>
      <c r="F30" s="39">
        <v>2700</v>
      </c>
      <c r="G30" s="39">
        <v>2250</v>
      </c>
      <c r="H30" s="39"/>
      <c r="I30" s="39">
        <v>1800</v>
      </c>
      <c r="J30" s="39"/>
      <c r="K30" s="39">
        <v>1800</v>
      </c>
      <c r="L30" s="39">
        <v>1800</v>
      </c>
      <c r="M30" s="39">
        <v>2250</v>
      </c>
      <c r="N30" s="39">
        <v>900</v>
      </c>
      <c r="O30" s="39"/>
      <c r="P30" s="39">
        <v>900</v>
      </c>
      <c r="Q30" s="39">
        <v>1350</v>
      </c>
      <c r="R30" s="39">
        <v>1350</v>
      </c>
      <c r="S30" s="36">
        <f t="shared" si="0"/>
        <v>17100</v>
      </c>
      <c r="T30" s="36">
        <f t="shared" si="1"/>
        <v>38</v>
      </c>
    </row>
    <row r="31" spans="1:20" x14ac:dyDescent="0.2">
      <c r="A31" s="32"/>
      <c r="B31" s="40">
        <v>90442200</v>
      </c>
      <c r="C31" s="34" t="s">
        <v>238</v>
      </c>
      <c r="D31" s="32">
        <v>10</v>
      </c>
      <c r="E31" s="35">
        <v>450</v>
      </c>
      <c r="F31" s="35">
        <v>2250</v>
      </c>
      <c r="G31" s="35">
        <v>1800</v>
      </c>
      <c r="H31" s="35"/>
      <c r="I31" s="35">
        <v>1800</v>
      </c>
      <c r="J31" s="35"/>
      <c r="K31" s="35">
        <v>1800</v>
      </c>
      <c r="L31" s="35">
        <v>1800</v>
      </c>
      <c r="M31" s="35"/>
      <c r="N31" s="35"/>
      <c r="O31" s="35"/>
      <c r="P31" s="35"/>
      <c r="Q31" s="35"/>
      <c r="R31" s="35">
        <v>900</v>
      </c>
      <c r="S31" s="32">
        <f t="shared" si="0"/>
        <v>10350</v>
      </c>
      <c r="T31" s="32">
        <f t="shared" si="1"/>
        <v>23</v>
      </c>
    </row>
    <row r="32" spans="1:20" s="28" customFormat="1" x14ac:dyDescent="0.2">
      <c r="A32" s="36">
        <v>19</v>
      </c>
      <c r="B32" s="37" t="s">
        <v>83</v>
      </c>
      <c r="C32" s="38" t="s">
        <v>26</v>
      </c>
      <c r="D32" s="36">
        <v>10</v>
      </c>
      <c r="E32" s="39">
        <v>330</v>
      </c>
      <c r="F32" s="39">
        <v>660</v>
      </c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6">
        <f t="shared" si="0"/>
        <v>660</v>
      </c>
      <c r="T32" s="36">
        <f t="shared" si="1"/>
        <v>2</v>
      </c>
    </row>
    <row r="33" spans="1:20" x14ac:dyDescent="0.2">
      <c r="A33" s="32">
        <v>21</v>
      </c>
      <c r="B33" s="33" t="s">
        <v>30</v>
      </c>
      <c r="C33" s="34" t="s">
        <v>31</v>
      </c>
      <c r="D33" s="32">
        <v>10</v>
      </c>
      <c r="E33" s="35">
        <v>230</v>
      </c>
      <c r="F33" s="35">
        <v>1840</v>
      </c>
      <c r="G33" s="35">
        <v>1840</v>
      </c>
      <c r="H33" s="35"/>
      <c r="I33" s="35">
        <v>2300</v>
      </c>
      <c r="J33" s="35"/>
      <c r="K33" s="35">
        <v>2300</v>
      </c>
      <c r="L33" s="35">
        <v>1380</v>
      </c>
      <c r="M33" s="35">
        <v>1380</v>
      </c>
      <c r="N33" s="35">
        <v>1150</v>
      </c>
      <c r="O33" s="35"/>
      <c r="P33" s="35">
        <v>230</v>
      </c>
      <c r="Q33" s="35">
        <v>690</v>
      </c>
      <c r="R33" s="35">
        <v>1150</v>
      </c>
      <c r="S33" s="32">
        <f t="shared" si="0"/>
        <v>14260</v>
      </c>
      <c r="T33" s="32">
        <f t="shared" si="1"/>
        <v>62</v>
      </c>
    </row>
    <row r="34" spans="1:20" s="28" customFormat="1" x14ac:dyDescent="0.2">
      <c r="A34" s="36" t="s">
        <v>194</v>
      </c>
      <c r="B34" s="42">
        <v>90442300</v>
      </c>
      <c r="C34" s="38" t="s">
        <v>173</v>
      </c>
      <c r="D34" s="36">
        <v>10</v>
      </c>
      <c r="E34" s="39">
        <v>230</v>
      </c>
      <c r="F34" s="39">
        <v>1380</v>
      </c>
      <c r="G34" s="39">
        <v>1150</v>
      </c>
      <c r="H34" s="39"/>
      <c r="I34" s="39">
        <v>2300</v>
      </c>
      <c r="J34" s="39"/>
      <c r="K34" s="39">
        <v>2300</v>
      </c>
      <c r="L34" s="39"/>
      <c r="M34" s="39"/>
      <c r="N34" s="39"/>
      <c r="O34" s="39"/>
      <c r="P34" s="39"/>
      <c r="Q34" s="39"/>
      <c r="R34" s="39">
        <v>1150</v>
      </c>
      <c r="S34" s="36">
        <f t="shared" si="0"/>
        <v>8280</v>
      </c>
      <c r="T34" s="36">
        <f t="shared" si="1"/>
        <v>36</v>
      </c>
    </row>
    <row r="35" spans="1:20" s="47" customFormat="1" x14ac:dyDescent="0.2">
      <c r="A35" s="43"/>
      <c r="B35" s="44" t="s">
        <v>262</v>
      </c>
      <c r="C35" s="116" t="s">
        <v>264</v>
      </c>
      <c r="D35" s="43">
        <v>10</v>
      </c>
      <c r="E35" s="46">
        <v>230</v>
      </c>
      <c r="F35" s="46">
        <v>690</v>
      </c>
      <c r="G35" s="46"/>
      <c r="H35" s="46"/>
      <c r="I35" s="46">
        <v>230</v>
      </c>
      <c r="J35" s="46"/>
      <c r="K35" s="46"/>
      <c r="L35" s="46">
        <v>920</v>
      </c>
      <c r="M35" s="46"/>
      <c r="N35" s="46"/>
      <c r="O35" s="46"/>
      <c r="P35" s="46"/>
      <c r="Q35" s="46"/>
      <c r="R35" s="46"/>
      <c r="S35" s="43">
        <f t="shared" si="0"/>
        <v>1840</v>
      </c>
      <c r="T35" s="43">
        <f t="shared" si="1"/>
        <v>8</v>
      </c>
    </row>
    <row r="36" spans="1:20" s="28" customFormat="1" x14ac:dyDescent="0.2">
      <c r="A36" s="36">
        <v>23</v>
      </c>
      <c r="B36" s="37" t="s">
        <v>93</v>
      </c>
      <c r="C36" s="76" t="s">
        <v>304</v>
      </c>
      <c r="D36" s="36">
        <v>5</v>
      </c>
      <c r="E36" s="39">
        <v>75</v>
      </c>
      <c r="F36" s="39">
        <v>600</v>
      </c>
      <c r="G36" s="39">
        <v>300</v>
      </c>
      <c r="H36" s="39"/>
      <c r="I36" s="39"/>
      <c r="J36" s="39">
        <v>300</v>
      </c>
      <c r="K36" s="39"/>
      <c r="L36" s="39"/>
      <c r="M36" s="39"/>
      <c r="N36" s="39"/>
      <c r="O36" s="39"/>
      <c r="P36" s="39"/>
      <c r="Q36" s="39"/>
      <c r="R36" s="39"/>
      <c r="S36" s="36">
        <f t="shared" si="0"/>
        <v>1200</v>
      </c>
      <c r="T36" s="36">
        <f t="shared" si="1"/>
        <v>16</v>
      </c>
    </row>
    <row r="37" spans="1:20" s="47" customFormat="1" x14ac:dyDescent="0.2">
      <c r="A37" s="43"/>
      <c r="B37" s="117" t="s">
        <v>35</v>
      </c>
      <c r="C37" s="116" t="s">
        <v>36</v>
      </c>
      <c r="D37" s="43">
        <v>5</v>
      </c>
      <c r="E37" s="46">
        <v>50</v>
      </c>
      <c r="F37" s="46">
        <v>500</v>
      </c>
      <c r="G37" s="46">
        <v>300</v>
      </c>
      <c r="H37" s="46"/>
      <c r="I37" s="46">
        <v>500</v>
      </c>
      <c r="J37" s="46"/>
      <c r="K37" s="46">
        <v>500</v>
      </c>
      <c r="L37" s="46">
        <v>500</v>
      </c>
      <c r="M37" s="46">
        <v>500</v>
      </c>
      <c r="N37" s="46">
        <v>300</v>
      </c>
      <c r="O37" s="46">
        <v>200</v>
      </c>
      <c r="P37" s="46">
        <v>500</v>
      </c>
      <c r="Q37" s="46">
        <v>500</v>
      </c>
      <c r="R37" s="46">
        <v>500</v>
      </c>
      <c r="S37" s="43">
        <f t="shared" si="0"/>
        <v>4800</v>
      </c>
      <c r="T37" s="43">
        <f t="shared" si="1"/>
        <v>96</v>
      </c>
    </row>
    <row r="38" spans="1:20" s="28" customFormat="1" x14ac:dyDescent="0.2">
      <c r="A38" s="36">
        <v>24</v>
      </c>
      <c r="B38" s="37" t="s">
        <v>101</v>
      </c>
      <c r="C38" s="38" t="s">
        <v>37</v>
      </c>
      <c r="D38" s="36">
        <v>50</v>
      </c>
      <c r="E38" s="39">
        <v>600</v>
      </c>
      <c r="F38" s="39">
        <v>600</v>
      </c>
      <c r="G38" s="39">
        <v>2400</v>
      </c>
      <c r="H38" s="39"/>
      <c r="I38" s="39"/>
      <c r="J38" s="39">
        <v>1200</v>
      </c>
      <c r="K38" s="39">
        <v>2400</v>
      </c>
      <c r="L38" s="39">
        <v>600</v>
      </c>
      <c r="M38" s="39">
        <v>600</v>
      </c>
      <c r="N38" s="39"/>
      <c r="O38" s="39"/>
      <c r="P38" s="39"/>
      <c r="Q38" s="39">
        <v>600</v>
      </c>
      <c r="R38" s="39"/>
      <c r="S38" s="36">
        <f t="shared" si="0"/>
        <v>8400</v>
      </c>
      <c r="T38" s="36">
        <f t="shared" si="1"/>
        <v>14</v>
      </c>
    </row>
    <row r="39" spans="1:20" s="47" customFormat="1" x14ac:dyDescent="0.2">
      <c r="A39" s="43" t="s">
        <v>234</v>
      </c>
      <c r="B39" s="44" t="s">
        <v>200</v>
      </c>
      <c r="C39" s="45" t="s">
        <v>201</v>
      </c>
      <c r="D39" s="43">
        <v>10</v>
      </c>
      <c r="E39" s="43">
        <v>800</v>
      </c>
      <c r="F39" s="46">
        <v>4800</v>
      </c>
      <c r="G39" s="46"/>
      <c r="H39" s="46"/>
      <c r="I39" s="46">
        <v>2400</v>
      </c>
      <c r="J39" s="46">
        <v>2400</v>
      </c>
      <c r="K39" s="46">
        <v>2400</v>
      </c>
      <c r="L39" s="46">
        <v>2400</v>
      </c>
      <c r="M39" s="46"/>
      <c r="N39" s="46">
        <v>2400</v>
      </c>
      <c r="O39" s="46">
        <v>2400</v>
      </c>
      <c r="P39" s="46">
        <v>2400</v>
      </c>
      <c r="Q39" s="46">
        <v>1600</v>
      </c>
      <c r="R39" s="46">
        <v>1600</v>
      </c>
      <c r="S39" s="43">
        <f t="shared" si="0"/>
        <v>24800</v>
      </c>
      <c r="T39" s="43">
        <f t="shared" si="1"/>
        <v>31</v>
      </c>
    </row>
    <row r="40" spans="1:20" s="28" customFormat="1" x14ac:dyDescent="0.2">
      <c r="A40" s="36"/>
      <c r="B40" s="42" t="s">
        <v>208</v>
      </c>
      <c r="C40" s="38" t="s">
        <v>209</v>
      </c>
      <c r="D40" s="36">
        <v>10</v>
      </c>
      <c r="E40" s="36">
        <v>400</v>
      </c>
      <c r="F40" s="39">
        <v>800</v>
      </c>
      <c r="G40" s="39">
        <v>400</v>
      </c>
      <c r="H40" s="39"/>
      <c r="I40" s="39"/>
      <c r="J40" s="39">
        <v>400</v>
      </c>
      <c r="K40" s="39">
        <v>400</v>
      </c>
      <c r="L40" s="39"/>
      <c r="M40" s="39"/>
      <c r="N40" s="39"/>
      <c r="O40" s="39"/>
      <c r="P40" s="39"/>
      <c r="Q40" s="39"/>
      <c r="R40" s="39"/>
      <c r="S40" s="36">
        <f t="shared" si="0"/>
        <v>2000</v>
      </c>
      <c r="T40" s="36">
        <f t="shared" si="1"/>
        <v>5</v>
      </c>
    </row>
    <row r="41" spans="1:20" s="47" customFormat="1" x14ac:dyDescent="0.2">
      <c r="A41" s="43"/>
      <c r="B41" s="98" t="s">
        <v>295</v>
      </c>
      <c r="C41" s="38" t="s">
        <v>296</v>
      </c>
      <c r="D41" s="43">
        <v>10</v>
      </c>
      <c r="E41" s="43">
        <v>400</v>
      </c>
      <c r="F41" s="46"/>
      <c r="G41" s="46">
        <v>400</v>
      </c>
      <c r="H41" s="46"/>
      <c r="I41" s="46"/>
      <c r="J41" s="46">
        <v>400</v>
      </c>
      <c r="K41" s="46">
        <v>400</v>
      </c>
      <c r="L41" s="46">
        <v>1200</v>
      </c>
      <c r="M41" s="46"/>
      <c r="N41" s="46"/>
      <c r="O41" s="46"/>
      <c r="P41" s="46"/>
      <c r="Q41" s="46"/>
      <c r="R41" s="46"/>
      <c r="S41" s="43">
        <f t="shared" si="0"/>
        <v>2400</v>
      </c>
      <c r="T41" s="43">
        <f t="shared" si="1"/>
        <v>6</v>
      </c>
    </row>
    <row r="42" spans="1:20" s="28" customFormat="1" x14ac:dyDescent="0.2">
      <c r="A42" s="36"/>
      <c r="B42" s="42" t="s">
        <v>210</v>
      </c>
      <c r="C42" s="38" t="s">
        <v>211</v>
      </c>
      <c r="D42" s="36">
        <v>10</v>
      </c>
      <c r="E42" s="36">
        <v>300</v>
      </c>
      <c r="F42" s="39">
        <v>600</v>
      </c>
      <c r="G42" s="39">
        <v>300</v>
      </c>
      <c r="H42" s="39"/>
      <c r="I42" s="39">
        <v>300</v>
      </c>
      <c r="J42" s="39"/>
      <c r="K42" s="39">
        <v>300</v>
      </c>
      <c r="L42" s="39">
        <v>600</v>
      </c>
      <c r="M42" s="39"/>
      <c r="N42" s="39"/>
      <c r="O42" s="39"/>
      <c r="P42" s="39"/>
      <c r="Q42" s="39"/>
      <c r="R42" s="39"/>
      <c r="S42" s="36">
        <f t="shared" si="0"/>
        <v>2100</v>
      </c>
      <c r="T42" s="36">
        <f t="shared" si="1"/>
        <v>7</v>
      </c>
    </row>
    <row r="43" spans="1:20" s="47" customFormat="1" x14ac:dyDescent="0.2">
      <c r="A43" s="43"/>
      <c r="B43" s="44">
        <v>90443200</v>
      </c>
      <c r="C43" s="45" t="s">
        <v>237</v>
      </c>
      <c r="D43" s="43">
        <v>10</v>
      </c>
      <c r="E43" s="43">
        <v>300</v>
      </c>
      <c r="F43" s="46">
        <v>1500</v>
      </c>
      <c r="G43" s="46">
        <v>2100</v>
      </c>
      <c r="H43" s="46"/>
      <c r="I43" s="46">
        <v>1500</v>
      </c>
      <c r="J43" s="46"/>
      <c r="K43" s="46">
        <v>1800</v>
      </c>
      <c r="L43" s="46">
        <v>1200</v>
      </c>
      <c r="M43" s="46">
        <v>900</v>
      </c>
      <c r="N43" s="46"/>
      <c r="O43" s="46"/>
      <c r="P43" s="46">
        <v>1200</v>
      </c>
      <c r="Q43" s="46">
        <v>900</v>
      </c>
      <c r="R43" s="46">
        <v>900</v>
      </c>
      <c r="S43" s="43">
        <f t="shared" si="0"/>
        <v>12000</v>
      </c>
      <c r="T43" s="43">
        <f t="shared" si="1"/>
        <v>40</v>
      </c>
    </row>
    <row r="44" spans="1:20" s="28" customFormat="1" x14ac:dyDescent="0.2">
      <c r="A44" s="36">
        <v>26</v>
      </c>
      <c r="B44" s="42" t="s">
        <v>157</v>
      </c>
      <c r="C44" s="38" t="s">
        <v>160</v>
      </c>
      <c r="D44" s="36">
        <v>10</v>
      </c>
      <c r="E44" s="36">
        <v>160</v>
      </c>
      <c r="F44" s="39">
        <v>1600</v>
      </c>
      <c r="G44" s="39">
        <v>1600</v>
      </c>
      <c r="H44" s="39"/>
      <c r="I44" s="39">
        <v>1600</v>
      </c>
      <c r="J44" s="39">
        <v>1600</v>
      </c>
      <c r="K44" s="39"/>
      <c r="L44" s="39">
        <v>1120</v>
      </c>
      <c r="M44" s="39">
        <v>1600</v>
      </c>
      <c r="N44" s="39">
        <v>800</v>
      </c>
      <c r="O44" s="39"/>
      <c r="P44" s="39">
        <v>800</v>
      </c>
      <c r="Q44" s="39">
        <v>640</v>
      </c>
      <c r="R44" s="39">
        <v>960</v>
      </c>
      <c r="S44" s="36">
        <f t="shared" si="0"/>
        <v>12320</v>
      </c>
      <c r="T44" s="36">
        <f t="shared" si="1"/>
        <v>77</v>
      </c>
    </row>
    <row r="45" spans="1:20" s="47" customFormat="1" x14ac:dyDescent="0.2">
      <c r="A45" s="43" t="s">
        <v>199</v>
      </c>
      <c r="B45" s="44">
        <v>90443300</v>
      </c>
      <c r="C45" s="45" t="s">
        <v>172</v>
      </c>
      <c r="D45" s="43">
        <v>10</v>
      </c>
      <c r="E45" s="43">
        <v>160</v>
      </c>
      <c r="F45" s="46">
        <v>1600</v>
      </c>
      <c r="G45" s="46">
        <v>1920</v>
      </c>
      <c r="H45" s="46"/>
      <c r="I45" s="46">
        <v>1600</v>
      </c>
      <c r="J45" s="46">
        <v>1600</v>
      </c>
      <c r="K45" s="46"/>
      <c r="L45" s="46">
        <v>1120</v>
      </c>
      <c r="M45" s="46">
        <v>1600</v>
      </c>
      <c r="N45" s="46">
        <v>800</v>
      </c>
      <c r="O45" s="46"/>
      <c r="P45" s="46">
        <v>800</v>
      </c>
      <c r="Q45" s="46">
        <v>960</v>
      </c>
      <c r="R45" s="46">
        <v>1600</v>
      </c>
      <c r="S45" s="43">
        <f t="shared" si="0"/>
        <v>13600</v>
      </c>
      <c r="T45" s="43">
        <f t="shared" si="1"/>
        <v>85</v>
      </c>
    </row>
    <row r="46" spans="1:20" s="28" customFormat="1" x14ac:dyDescent="0.2">
      <c r="A46" s="36"/>
      <c r="B46" s="42" t="s">
        <v>263</v>
      </c>
      <c r="C46" s="76" t="s">
        <v>265</v>
      </c>
      <c r="D46" s="36">
        <v>10</v>
      </c>
      <c r="E46" s="39">
        <v>160</v>
      </c>
      <c r="F46" s="39">
        <v>320</v>
      </c>
      <c r="G46" s="39"/>
      <c r="H46" s="39">
        <v>160</v>
      </c>
      <c r="I46" s="39">
        <v>320</v>
      </c>
      <c r="J46" s="39"/>
      <c r="K46" s="39"/>
      <c r="L46" s="39">
        <v>480</v>
      </c>
      <c r="M46" s="39"/>
      <c r="N46" s="39"/>
      <c r="O46" s="39"/>
      <c r="P46" s="39">
        <v>800</v>
      </c>
      <c r="Q46" s="39"/>
      <c r="R46" s="39"/>
      <c r="S46" s="36">
        <f t="shared" si="0"/>
        <v>2080</v>
      </c>
      <c r="T46" s="36">
        <f t="shared" si="1"/>
        <v>13</v>
      </c>
    </row>
    <row r="47" spans="1:20" s="47" customFormat="1" x14ac:dyDescent="0.2">
      <c r="A47" s="43"/>
      <c r="B47" s="44" t="s">
        <v>158</v>
      </c>
      <c r="C47" s="116" t="s">
        <v>260</v>
      </c>
      <c r="D47" s="43">
        <v>5</v>
      </c>
      <c r="E47" s="46">
        <v>35</v>
      </c>
      <c r="F47" s="46">
        <v>1050</v>
      </c>
      <c r="G47" s="46">
        <v>1750</v>
      </c>
      <c r="H47" s="46"/>
      <c r="I47" s="46">
        <v>1050</v>
      </c>
      <c r="J47" s="46">
        <v>700</v>
      </c>
      <c r="K47" s="46"/>
      <c r="L47" s="46">
        <v>350</v>
      </c>
      <c r="M47" s="46">
        <v>350</v>
      </c>
      <c r="N47" s="46">
        <v>350</v>
      </c>
      <c r="O47" s="46"/>
      <c r="P47" s="46"/>
      <c r="Q47" s="46"/>
      <c r="R47" s="46"/>
      <c r="S47" s="43">
        <f t="shared" si="0"/>
        <v>5600</v>
      </c>
      <c r="T47" s="43">
        <f t="shared" si="1"/>
        <v>160</v>
      </c>
    </row>
    <row r="48" spans="1:20" s="28" customFormat="1" x14ac:dyDescent="0.2">
      <c r="A48" s="36">
        <v>28</v>
      </c>
      <c r="B48" s="37" t="s">
        <v>159</v>
      </c>
      <c r="C48" s="38" t="s">
        <v>162</v>
      </c>
      <c r="D48" s="36">
        <v>50</v>
      </c>
      <c r="E48" s="39">
        <v>350</v>
      </c>
      <c r="F48" s="39">
        <v>700</v>
      </c>
      <c r="G48" s="39"/>
      <c r="H48" s="39"/>
      <c r="I48" s="39">
        <v>700</v>
      </c>
      <c r="J48" s="39">
        <v>1050</v>
      </c>
      <c r="K48" s="39">
        <v>700</v>
      </c>
      <c r="L48" s="39">
        <v>700</v>
      </c>
      <c r="M48" s="39">
        <v>350</v>
      </c>
      <c r="N48" s="39"/>
      <c r="O48" s="39"/>
      <c r="P48" s="39"/>
      <c r="Q48" s="39"/>
      <c r="R48" s="39"/>
      <c r="S48" s="36">
        <f t="shared" si="0"/>
        <v>4200</v>
      </c>
      <c r="T48" s="36">
        <f t="shared" si="1"/>
        <v>12</v>
      </c>
    </row>
    <row r="49" spans="1:20" x14ac:dyDescent="0.2">
      <c r="A49" s="32">
        <v>31</v>
      </c>
      <c r="B49" s="33" t="s">
        <v>100</v>
      </c>
      <c r="C49" s="34" t="s">
        <v>40</v>
      </c>
      <c r="D49" s="32">
        <v>50</v>
      </c>
      <c r="E49" s="35">
        <v>1750</v>
      </c>
      <c r="F49" s="35">
        <v>14000</v>
      </c>
      <c r="G49" s="35"/>
      <c r="H49" s="35"/>
      <c r="I49" s="35">
        <v>7000</v>
      </c>
      <c r="J49" s="35">
        <v>7000</v>
      </c>
      <c r="K49" s="35">
        <v>8750</v>
      </c>
      <c r="L49" s="35"/>
      <c r="M49" s="35">
        <v>10500</v>
      </c>
      <c r="N49" s="35"/>
      <c r="O49" s="35"/>
      <c r="P49" s="35">
        <v>14000</v>
      </c>
      <c r="Q49" s="35">
        <v>5250</v>
      </c>
      <c r="R49" s="35">
        <v>3500</v>
      </c>
      <c r="S49" s="32">
        <f t="shared" si="0"/>
        <v>70000</v>
      </c>
      <c r="T49" s="32">
        <f t="shared" si="1"/>
        <v>40</v>
      </c>
    </row>
    <row r="50" spans="1:20" s="28" customFormat="1" x14ac:dyDescent="0.2">
      <c r="A50" s="36"/>
      <c r="B50" s="37" t="s">
        <v>271</v>
      </c>
      <c r="C50" s="38" t="s">
        <v>274</v>
      </c>
      <c r="D50" s="36">
        <v>5</v>
      </c>
      <c r="E50" s="39">
        <v>85</v>
      </c>
      <c r="F50" s="39">
        <v>255</v>
      </c>
      <c r="G50" s="39"/>
      <c r="H50" s="39">
        <v>85</v>
      </c>
      <c r="I50" s="39">
        <v>170</v>
      </c>
      <c r="J50" s="39"/>
      <c r="K50" s="39"/>
      <c r="L50" s="39">
        <v>255</v>
      </c>
      <c r="M50" s="39"/>
      <c r="N50" s="39"/>
      <c r="O50" s="39"/>
      <c r="P50" s="39">
        <v>255</v>
      </c>
      <c r="Q50" s="39"/>
      <c r="R50" s="39"/>
      <c r="S50" s="36">
        <f t="shared" si="0"/>
        <v>1020</v>
      </c>
      <c r="T50" s="36">
        <f t="shared" si="1"/>
        <v>12</v>
      </c>
    </row>
    <row r="51" spans="1:20" x14ac:dyDescent="0.2">
      <c r="A51" s="32"/>
      <c r="B51" s="33" t="s">
        <v>272</v>
      </c>
      <c r="C51" s="34" t="s">
        <v>275</v>
      </c>
      <c r="D51" s="32">
        <v>5</v>
      </c>
      <c r="E51" s="35">
        <v>75</v>
      </c>
      <c r="F51" s="35">
        <v>300</v>
      </c>
      <c r="G51" s="35"/>
      <c r="H51" s="35">
        <v>150</v>
      </c>
      <c r="I51" s="35">
        <v>150</v>
      </c>
      <c r="J51" s="35"/>
      <c r="K51" s="35"/>
      <c r="L51" s="35">
        <v>300</v>
      </c>
      <c r="M51" s="35"/>
      <c r="N51" s="35"/>
      <c r="O51" s="35"/>
      <c r="P51" s="35">
        <v>300</v>
      </c>
      <c r="Q51" s="35"/>
      <c r="R51" s="35"/>
      <c r="S51" s="32">
        <f t="shared" si="0"/>
        <v>1200</v>
      </c>
      <c r="T51" s="32">
        <f t="shared" si="1"/>
        <v>16</v>
      </c>
    </row>
    <row r="52" spans="1:20" s="28" customFormat="1" x14ac:dyDescent="0.2">
      <c r="A52" s="36"/>
      <c r="B52" s="37" t="s">
        <v>273</v>
      </c>
      <c r="C52" s="38" t="s">
        <v>276</v>
      </c>
      <c r="D52" s="36">
        <v>5</v>
      </c>
      <c r="E52" s="39">
        <v>45</v>
      </c>
      <c r="F52" s="39">
        <v>270</v>
      </c>
      <c r="G52" s="39"/>
      <c r="H52" s="39"/>
      <c r="I52" s="39">
        <v>360</v>
      </c>
      <c r="J52" s="39"/>
      <c r="K52" s="39"/>
      <c r="L52" s="39">
        <v>180</v>
      </c>
      <c r="M52" s="39"/>
      <c r="N52" s="39"/>
      <c r="O52" s="39"/>
      <c r="P52" s="39">
        <v>405</v>
      </c>
      <c r="Q52" s="39"/>
      <c r="R52" s="39"/>
      <c r="S52" s="36">
        <f t="shared" si="0"/>
        <v>1215</v>
      </c>
      <c r="T52" s="36">
        <f t="shared" si="1"/>
        <v>27</v>
      </c>
    </row>
    <row r="53" spans="1:20" x14ac:dyDescent="0.2">
      <c r="A53" s="32"/>
      <c r="B53" s="33"/>
      <c r="C53" s="34"/>
      <c r="D53" s="32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2"/>
      <c r="T53" s="32"/>
    </row>
    <row r="54" spans="1:20" x14ac:dyDescent="0.2">
      <c r="A54" s="410" t="s">
        <v>135</v>
      </c>
      <c r="B54" s="414"/>
      <c r="C54" s="414"/>
      <c r="D54" s="414"/>
      <c r="E54" s="411"/>
      <c r="F54" s="108">
        <f t="shared" ref="F54:S54" si="2">SUM(F7:F53)</f>
        <v>192335</v>
      </c>
      <c r="G54" s="108">
        <f t="shared" si="2"/>
        <v>113090</v>
      </c>
      <c r="H54" s="108">
        <f t="shared" si="2"/>
        <v>6395</v>
      </c>
      <c r="I54" s="108">
        <f t="shared" si="2"/>
        <v>204280</v>
      </c>
      <c r="J54" s="108">
        <f t="shared" si="2"/>
        <v>177250</v>
      </c>
      <c r="K54" s="108">
        <f t="shared" si="2"/>
        <v>121550</v>
      </c>
      <c r="L54" s="108">
        <f t="shared" si="2"/>
        <v>159185</v>
      </c>
      <c r="M54" s="108">
        <f t="shared" si="2"/>
        <v>118960</v>
      </c>
      <c r="N54" s="108">
        <f t="shared" si="2"/>
        <v>97230</v>
      </c>
      <c r="O54" s="108">
        <f t="shared" si="2"/>
        <v>49050</v>
      </c>
      <c r="P54" s="108">
        <f t="shared" si="2"/>
        <v>150870</v>
      </c>
      <c r="Q54" s="108">
        <f t="shared" si="2"/>
        <v>107170</v>
      </c>
      <c r="R54" s="108">
        <f t="shared" si="2"/>
        <v>141690</v>
      </c>
      <c r="S54" s="108">
        <f t="shared" si="2"/>
        <v>1639055</v>
      </c>
      <c r="T54" s="10"/>
    </row>
    <row r="55" spans="1:20" x14ac:dyDescent="0.2">
      <c r="A55" s="421" t="s">
        <v>184</v>
      </c>
      <c r="B55" s="421"/>
      <c r="C55" s="421"/>
      <c r="D55" s="421"/>
      <c r="E55" s="421"/>
      <c r="T55" s="17">
        <f>SUM(T7:T53)</f>
        <v>2570</v>
      </c>
    </row>
    <row r="56" spans="1:20" x14ac:dyDescent="0.2">
      <c r="T56" s="78">
        <f>SUM(F3:R3)</f>
        <v>2570</v>
      </c>
    </row>
  </sheetData>
  <mergeCells count="7">
    <mergeCell ref="A55:E55"/>
    <mergeCell ref="A1:E1"/>
    <mergeCell ref="S1:T1"/>
    <mergeCell ref="A2:E2"/>
    <mergeCell ref="D3:E3"/>
    <mergeCell ref="D4:E4"/>
    <mergeCell ref="A54:E54"/>
  </mergeCells>
  <pageMargins left="0.51181102362204722" right="0.51181102362204722" top="0.51181102362204722" bottom="0.51181102362204722" header="0" footer="0"/>
  <pageSetup paperSize="9" scale="74" orientation="landscape" blackAndWhite="1" horizontalDpi="4294967295" verticalDpi="18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6"/>
  <sheetViews>
    <sheetView workbookViewId="0">
      <pane xSplit="5" ySplit="5" topLeftCell="V42" activePane="bottomRight" state="frozenSplit"/>
      <selection pane="topRight" activeCell="G1" sqref="G1"/>
      <selection pane="bottomLeft" activeCell="A17" sqref="A17"/>
      <selection pane="bottomRight" activeCell="AH7" sqref="AH7"/>
    </sheetView>
  </sheetViews>
  <sheetFormatPr defaultRowHeight="12.75" x14ac:dyDescent="0.2"/>
  <cols>
    <col min="1" max="1" width="4.28515625" bestFit="1" customWidth="1"/>
    <col min="2" max="2" width="10.85546875" bestFit="1" customWidth="1"/>
    <col min="3" max="3" width="34.5703125" bestFit="1" customWidth="1"/>
    <col min="4" max="4" width="5.85546875" bestFit="1" customWidth="1"/>
    <col min="5" max="5" width="5" bestFit="1" customWidth="1"/>
    <col min="6" max="15" width="8.140625" bestFit="1" customWidth="1"/>
    <col min="16" max="16" width="10.140625" bestFit="1" customWidth="1"/>
    <col min="17" max="21" width="8.140625" bestFit="1" customWidth="1"/>
    <col min="22" max="22" width="10.5703125" style="16" bestFit="1" customWidth="1"/>
    <col min="23" max="23" width="9.28515625" style="16" bestFit="1" customWidth="1"/>
  </cols>
  <sheetData>
    <row r="1" spans="1:23" x14ac:dyDescent="0.2">
      <c r="A1" s="415" t="s">
        <v>317</v>
      </c>
      <c r="B1" s="422"/>
      <c r="C1" s="422"/>
      <c r="D1" s="422"/>
      <c r="E1" s="423"/>
      <c r="F1" s="130">
        <v>3290</v>
      </c>
      <c r="G1" s="130">
        <v>3293</v>
      </c>
      <c r="H1" s="130">
        <v>3296</v>
      </c>
      <c r="I1" s="128">
        <v>3300</v>
      </c>
      <c r="J1" s="128">
        <v>3303</v>
      </c>
      <c r="K1" s="128">
        <v>3306</v>
      </c>
      <c r="L1" s="128">
        <v>3310</v>
      </c>
      <c r="M1" s="128">
        <v>3311</v>
      </c>
      <c r="N1" s="128">
        <v>3312</v>
      </c>
      <c r="O1" s="128">
        <v>3316</v>
      </c>
      <c r="P1" s="128">
        <v>3318</v>
      </c>
      <c r="Q1" s="140">
        <v>3319</v>
      </c>
      <c r="R1" s="144">
        <v>3320</v>
      </c>
      <c r="S1" s="148">
        <v>3321</v>
      </c>
      <c r="T1" s="152">
        <v>3322</v>
      </c>
      <c r="U1" s="156">
        <v>3331</v>
      </c>
      <c r="V1" s="408" t="s">
        <v>138</v>
      </c>
      <c r="W1" s="408"/>
    </row>
    <row r="2" spans="1:23" x14ac:dyDescent="0.2">
      <c r="A2" s="410" t="s">
        <v>42</v>
      </c>
      <c r="B2" s="422"/>
      <c r="C2" s="422"/>
      <c r="D2" s="422"/>
      <c r="E2" s="423"/>
      <c r="F2" s="138" t="s">
        <v>321</v>
      </c>
      <c r="G2" s="138" t="s">
        <v>322</v>
      </c>
      <c r="H2" s="138" t="s">
        <v>323</v>
      </c>
      <c r="I2" s="138" t="s">
        <v>324</v>
      </c>
      <c r="J2" s="138" t="s">
        <v>325</v>
      </c>
      <c r="K2" s="138" t="s">
        <v>326</v>
      </c>
      <c r="L2" s="138" t="s">
        <v>327</v>
      </c>
      <c r="M2" s="138" t="s">
        <v>328</v>
      </c>
      <c r="N2" s="138" t="s">
        <v>329</v>
      </c>
      <c r="O2" s="138" t="s">
        <v>330</v>
      </c>
      <c r="P2" s="162" t="s">
        <v>338</v>
      </c>
      <c r="Q2" s="162" t="s">
        <v>339</v>
      </c>
      <c r="R2" s="162" t="s">
        <v>340</v>
      </c>
      <c r="S2" s="162" t="s">
        <v>341</v>
      </c>
      <c r="T2" s="162" t="s">
        <v>342</v>
      </c>
      <c r="U2" s="162" t="s">
        <v>343</v>
      </c>
      <c r="V2" s="127" t="s">
        <v>116</v>
      </c>
      <c r="W2" s="18" t="s">
        <v>5</v>
      </c>
    </row>
    <row r="3" spans="1:23" x14ac:dyDescent="0.2">
      <c r="A3" s="129"/>
      <c r="B3" s="129"/>
      <c r="C3" s="129"/>
      <c r="D3" s="410" t="s">
        <v>140</v>
      </c>
      <c r="E3" s="414"/>
      <c r="F3" s="130">
        <v>118</v>
      </c>
      <c r="G3" s="130">
        <v>14</v>
      </c>
      <c r="H3" s="130">
        <v>121</v>
      </c>
      <c r="I3" s="130">
        <v>71</v>
      </c>
      <c r="J3" s="130">
        <v>111</v>
      </c>
      <c r="K3" s="130">
        <v>220</v>
      </c>
      <c r="L3" s="130">
        <v>200</v>
      </c>
      <c r="M3" s="130">
        <v>10</v>
      </c>
      <c r="N3" s="130">
        <v>109</v>
      </c>
      <c r="O3" s="130">
        <v>149</v>
      </c>
      <c r="P3" s="130">
        <v>99</v>
      </c>
      <c r="Q3" s="141">
        <v>18</v>
      </c>
      <c r="R3" s="145">
        <v>100</v>
      </c>
      <c r="S3" s="149">
        <v>119</v>
      </c>
      <c r="T3" s="153">
        <v>52</v>
      </c>
      <c r="U3" s="157">
        <v>318</v>
      </c>
      <c r="V3" s="10"/>
      <c r="W3" s="10"/>
    </row>
    <row r="4" spans="1:23" ht="25.5" x14ac:dyDescent="0.2">
      <c r="A4" s="9" t="s">
        <v>1</v>
      </c>
      <c r="B4" s="4" t="s">
        <v>2</v>
      </c>
      <c r="C4" s="4" t="s">
        <v>0</v>
      </c>
      <c r="D4" s="408" t="s">
        <v>3</v>
      </c>
      <c r="E4" s="415"/>
      <c r="F4" s="128" t="s">
        <v>116</v>
      </c>
      <c r="G4" s="128" t="s">
        <v>116</v>
      </c>
      <c r="H4" s="128" t="s">
        <v>116</v>
      </c>
      <c r="I4" s="128" t="s">
        <v>116</v>
      </c>
      <c r="J4" s="130" t="s">
        <v>116</v>
      </c>
      <c r="K4" s="130" t="s">
        <v>116</v>
      </c>
      <c r="L4" s="130" t="s">
        <v>116</v>
      </c>
      <c r="M4" s="130" t="s">
        <v>116</v>
      </c>
      <c r="N4" s="130" t="s">
        <v>116</v>
      </c>
      <c r="O4" s="130" t="s">
        <v>116</v>
      </c>
      <c r="P4" s="130" t="s">
        <v>116</v>
      </c>
      <c r="Q4" s="141" t="s">
        <v>116</v>
      </c>
      <c r="R4" s="145" t="s">
        <v>116</v>
      </c>
      <c r="S4" s="149" t="s">
        <v>116</v>
      </c>
      <c r="T4" s="153" t="s">
        <v>116</v>
      </c>
      <c r="U4" s="157" t="s">
        <v>116</v>
      </c>
      <c r="V4" s="10"/>
      <c r="W4" s="10"/>
    </row>
    <row r="5" spans="1:23" x14ac:dyDescent="0.2">
      <c r="A5" s="10"/>
      <c r="B5" s="2"/>
      <c r="C5" s="2"/>
      <c r="D5" s="127" t="s">
        <v>4</v>
      </c>
      <c r="E5" s="131" t="s">
        <v>5</v>
      </c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42"/>
      <c r="R5" s="146"/>
      <c r="S5" s="150"/>
      <c r="T5" s="154"/>
      <c r="U5" s="158"/>
      <c r="V5" s="10"/>
      <c r="W5" s="10"/>
    </row>
    <row r="6" spans="1:23" x14ac:dyDescent="0.2">
      <c r="A6" s="29"/>
      <c r="B6" s="30"/>
      <c r="C6" s="30"/>
      <c r="D6" s="2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29"/>
      <c r="W6" s="29"/>
    </row>
    <row r="7" spans="1:23" x14ac:dyDescent="0.2">
      <c r="A7" s="32" t="s">
        <v>222</v>
      </c>
      <c r="B7" s="33" t="s">
        <v>85</v>
      </c>
      <c r="C7" s="34" t="s">
        <v>6</v>
      </c>
      <c r="D7" s="32">
        <v>100</v>
      </c>
      <c r="E7" s="35">
        <v>2000</v>
      </c>
      <c r="F7" s="35">
        <v>8000</v>
      </c>
      <c r="G7" s="35">
        <v>24000</v>
      </c>
      <c r="H7" s="35"/>
      <c r="I7" s="35"/>
      <c r="J7" s="35">
        <v>24000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2">
        <f t="shared" ref="V7:V52" si="0">SUM(F7:U7)</f>
        <v>56000</v>
      </c>
      <c r="W7" s="32">
        <f t="shared" ref="W7:W52" si="1">V7/E7</f>
        <v>28</v>
      </c>
    </row>
    <row r="8" spans="1:23" s="28" customFormat="1" x14ac:dyDescent="0.2">
      <c r="A8" s="36">
        <v>2</v>
      </c>
      <c r="B8" s="37" t="s">
        <v>81</v>
      </c>
      <c r="C8" s="38" t="s">
        <v>7</v>
      </c>
      <c r="D8" s="36">
        <v>100</v>
      </c>
      <c r="E8" s="39">
        <v>2000</v>
      </c>
      <c r="F8" s="39"/>
      <c r="G8" s="39"/>
      <c r="H8" s="39"/>
      <c r="I8" s="39"/>
      <c r="J8" s="39">
        <v>10000</v>
      </c>
      <c r="K8" s="39">
        <v>10000</v>
      </c>
      <c r="L8" s="39">
        <v>10000</v>
      </c>
      <c r="M8" s="39"/>
      <c r="N8" s="39">
        <v>10000</v>
      </c>
      <c r="O8" s="39">
        <v>10000</v>
      </c>
      <c r="P8" s="39"/>
      <c r="Q8" s="39"/>
      <c r="R8" s="39"/>
      <c r="S8" s="39"/>
      <c r="T8" s="39"/>
      <c r="U8" s="39"/>
      <c r="V8" s="36">
        <f t="shared" si="0"/>
        <v>50000</v>
      </c>
      <c r="W8" s="36">
        <f t="shared" si="1"/>
        <v>25</v>
      </c>
    </row>
    <row r="9" spans="1:23" x14ac:dyDescent="0.2">
      <c r="A9" s="32">
        <v>3</v>
      </c>
      <c r="B9" s="33" t="s">
        <v>86</v>
      </c>
      <c r="C9" s="34" t="s">
        <v>8</v>
      </c>
      <c r="D9" s="32">
        <v>50</v>
      </c>
      <c r="E9" s="35">
        <v>1100</v>
      </c>
      <c r="F9" s="35"/>
      <c r="G9" s="35"/>
      <c r="H9" s="35"/>
      <c r="I9" s="35"/>
      <c r="J9" s="35">
        <v>6600</v>
      </c>
      <c r="K9" s="35">
        <v>8800</v>
      </c>
      <c r="L9" s="35">
        <v>6600</v>
      </c>
      <c r="M9" s="35"/>
      <c r="N9" s="35">
        <v>6600</v>
      </c>
      <c r="O9" s="35">
        <v>6600</v>
      </c>
      <c r="P9" s="35"/>
      <c r="Q9" s="35"/>
      <c r="R9" s="35"/>
      <c r="S9" s="35"/>
      <c r="T9" s="35"/>
      <c r="U9" s="35">
        <v>6600</v>
      </c>
      <c r="V9" s="32">
        <f t="shared" si="0"/>
        <v>41800</v>
      </c>
      <c r="W9" s="32">
        <f t="shared" si="1"/>
        <v>38</v>
      </c>
    </row>
    <row r="10" spans="1:23" s="28" customFormat="1" x14ac:dyDescent="0.2">
      <c r="A10" s="36">
        <v>4</v>
      </c>
      <c r="B10" s="37" t="s">
        <v>87</v>
      </c>
      <c r="C10" s="38" t="s">
        <v>9</v>
      </c>
      <c r="D10" s="36">
        <v>50</v>
      </c>
      <c r="E10" s="39">
        <v>1000</v>
      </c>
      <c r="F10" s="39"/>
      <c r="G10" s="39"/>
      <c r="H10" s="39"/>
      <c r="I10" s="39"/>
      <c r="J10" s="39"/>
      <c r="K10" s="39">
        <v>8000</v>
      </c>
      <c r="L10" s="39"/>
      <c r="M10" s="39"/>
      <c r="N10" s="39">
        <v>5000</v>
      </c>
      <c r="O10" s="39">
        <v>5000</v>
      </c>
      <c r="P10" s="39"/>
      <c r="Q10" s="39"/>
      <c r="R10" s="39"/>
      <c r="S10" s="39"/>
      <c r="T10" s="39"/>
      <c r="U10" s="39">
        <v>9000</v>
      </c>
      <c r="V10" s="36">
        <f t="shared" si="0"/>
        <v>27000</v>
      </c>
      <c r="W10" s="36">
        <f t="shared" si="1"/>
        <v>27</v>
      </c>
    </row>
    <row r="11" spans="1:23" x14ac:dyDescent="0.2">
      <c r="A11" s="32">
        <v>5</v>
      </c>
      <c r="B11" s="33" t="s">
        <v>82</v>
      </c>
      <c r="C11" s="34" t="s">
        <v>10</v>
      </c>
      <c r="D11" s="32">
        <v>50</v>
      </c>
      <c r="E11" s="35">
        <v>800</v>
      </c>
      <c r="F11" s="35"/>
      <c r="G11" s="35"/>
      <c r="H11" s="35"/>
      <c r="I11" s="35"/>
      <c r="J11" s="35"/>
      <c r="K11" s="35">
        <v>8000</v>
      </c>
      <c r="L11" s="35"/>
      <c r="M11" s="35"/>
      <c r="N11" s="35">
        <v>3200</v>
      </c>
      <c r="O11" s="35">
        <v>4800</v>
      </c>
      <c r="P11" s="35"/>
      <c r="Q11" s="35"/>
      <c r="R11" s="35"/>
      <c r="S11" s="35"/>
      <c r="T11" s="35">
        <v>4800</v>
      </c>
      <c r="U11" s="35">
        <v>4800</v>
      </c>
      <c r="V11" s="32">
        <f t="shared" si="0"/>
        <v>25600</v>
      </c>
      <c r="W11" s="32">
        <f t="shared" si="1"/>
        <v>32</v>
      </c>
    </row>
    <row r="12" spans="1:23" s="28" customFormat="1" x14ac:dyDescent="0.2">
      <c r="A12" s="36">
        <v>6</v>
      </c>
      <c r="B12" s="37" t="s">
        <v>89</v>
      </c>
      <c r="C12" s="38" t="s">
        <v>11</v>
      </c>
      <c r="D12" s="36">
        <v>50</v>
      </c>
      <c r="E12" s="39">
        <v>600</v>
      </c>
      <c r="F12" s="39">
        <v>6000</v>
      </c>
      <c r="G12" s="39"/>
      <c r="H12" s="39">
        <v>6000</v>
      </c>
      <c r="I12" s="39"/>
      <c r="J12" s="39">
        <v>6000</v>
      </c>
      <c r="K12" s="39">
        <v>12000</v>
      </c>
      <c r="L12" s="39">
        <v>9000</v>
      </c>
      <c r="M12" s="39">
        <v>6000</v>
      </c>
      <c r="N12" s="39">
        <v>3000</v>
      </c>
      <c r="O12" s="39"/>
      <c r="P12" s="39"/>
      <c r="Q12" s="39">
        <v>6000</v>
      </c>
      <c r="R12" s="39"/>
      <c r="S12" s="39"/>
      <c r="T12" s="39">
        <v>4800</v>
      </c>
      <c r="U12" s="39">
        <v>8400</v>
      </c>
      <c r="V12" s="36">
        <f t="shared" si="0"/>
        <v>67200</v>
      </c>
      <c r="W12" s="36">
        <f t="shared" si="1"/>
        <v>112</v>
      </c>
    </row>
    <row r="13" spans="1:23" x14ac:dyDescent="0.2">
      <c r="A13" s="32" t="s">
        <v>12</v>
      </c>
      <c r="B13" s="48" t="s">
        <v>214</v>
      </c>
      <c r="C13" s="34" t="s">
        <v>213</v>
      </c>
      <c r="D13" s="32">
        <v>50</v>
      </c>
      <c r="E13" s="35">
        <v>600</v>
      </c>
      <c r="F13" s="35"/>
      <c r="G13" s="35">
        <v>1200</v>
      </c>
      <c r="H13" s="35"/>
      <c r="I13" s="35"/>
      <c r="J13" s="35"/>
      <c r="K13" s="35"/>
      <c r="L13" s="35"/>
      <c r="M13" s="35"/>
      <c r="N13" s="35"/>
      <c r="O13" s="35"/>
      <c r="P13" s="35"/>
      <c r="Q13" s="35">
        <v>1200</v>
      </c>
      <c r="R13" s="35"/>
      <c r="S13" s="35"/>
      <c r="T13" s="35">
        <v>1200</v>
      </c>
      <c r="U13" s="35">
        <v>1200</v>
      </c>
      <c r="V13" s="32">
        <f t="shared" si="0"/>
        <v>4800</v>
      </c>
      <c r="W13" s="32">
        <f t="shared" si="1"/>
        <v>8</v>
      </c>
    </row>
    <row r="14" spans="1:23" s="28" customFormat="1" x14ac:dyDescent="0.2">
      <c r="A14" s="36">
        <v>7</v>
      </c>
      <c r="B14" s="37" t="s">
        <v>88</v>
      </c>
      <c r="C14" s="38" t="s">
        <v>14</v>
      </c>
      <c r="D14" s="36">
        <v>10</v>
      </c>
      <c r="E14" s="39">
        <v>400</v>
      </c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>
        <v>1200</v>
      </c>
      <c r="U14" s="39"/>
      <c r="V14" s="36">
        <f t="shared" si="0"/>
        <v>1200</v>
      </c>
      <c r="W14" s="36">
        <f t="shared" si="1"/>
        <v>3</v>
      </c>
    </row>
    <row r="15" spans="1:23" x14ac:dyDescent="0.2">
      <c r="A15" s="32">
        <v>8</v>
      </c>
      <c r="B15" s="33" t="s">
        <v>90</v>
      </c>
      <c r="C15" s="34" t="s">
        <v>15</v>
      </c>
      <c r="D15" s="32">
        <v>10</v>
      </c>
      <c r="E15" s="35">
        <v>400</v>
      </c>
      <c r="F15" s="35">
        <v>4000</v>
      </c>
      <c r="G15" s="35"/>
      <c r="H15" s="35">
        <v>4000</v>
      </c>
      <c r="I15" s="35">
        <v>6000</v>
      </c>
      <c r="J15" s="35"/>
      <c r="K15" s="35">
        <v>8000</v>
      </c>
      <c r="L15" s="35">
        <v>8400</v>
      </c>
      <c r="M15" s="35"/>
      <c r="N15" s="35">
        <v>2400</v>
      </c>
      <c r="O15" s="35">
        <v>5200</v>
      </c>
      <c r="P15" s="35">
        <v>4000</v>
      </c>
      <c r="Q15" s="35"/>
      <c r="R15" s="35"/>
      <c r="S15" s="35"/>
      <c r="T15" s="35">
        <v>6000</v>
      </c>
      <c r="U15" s="35">
        <v>6000</v>
      </c>
      <c r="V15" s="32">
        <f t="shared" si="0"/>
        <v>54000</v>
      </c>
      <c r="W15" s="32">
        <f t="shared" si="1"/>
        <v>135</v>
      </c>
    </row>
    <row r="16" spans="1:23" s="28" customFormat="1" x14ac:dyDescent="0.2">
      <c r="A16" s="36">
        <v>9</v>
      </c>
      <c r="B16" s="37" t="s">
        <v>91</v>
      </c>
      <c r="C16" s="38" t="s">
        <v>16</v>
      </c>
      <c r="D16" s="36">
        <v>10</v>
      </c>
      <c r="E16" s="39">
        <v>300</v>
      </c>
      <c r="F16" s="39">
        <v>6000</v>
      </c>
      <c r="G16" s="39"/>
      <c r="H16" s="39">
        <v>6000</v>
      </c>
      <c r="I16" s="39">
        <v>9000</v>
      </c>
      <c r="J16" s="39"/>
      <c r="K16" s="39">
        <v>9000</v>
      </c>
      <c r="L16" s="39">
        <v>9000</v>
      </c>
      <c r="M16" s="39"/>
      <c r="N16" s="39">
        <v>4500</v>
      </c>
      <c r="O16" s="39">
        <v>6000</v>
      </c>
      <c r="P16" s="39">
        <v>3000</v>
      </c>
      <c r="Q16" s="39"/>
      <c r="R16" s="39"/>
      <c r="S16" s="39">
        <v>9000</v>
      </c>
      <c r="T16" s="39"/>
      <c r="U16" s="39">
        <v>15000</v>
      </c>
      <c r="V16" s="36">
        <f t="shared" si="0"/>
        <v>76500</v>
      </c>
      <c r="W16" s="36">
        <f t="shared" si="1"/>
        <v>255</v>
      </c>
    </row>
    <row r="17" spans="1:23" x14ac:dyDescent="0.2">
      <c r="A17" s="32" t="s">
        <v>17</v>
      </c>
      <c r="B17" s="40">
        <v>90441300</v>
      </c>
      <c r="C17" s="34" t="s">
        <v>179</v>
      </c>
      <c r="D17" s="32">
        <v>10</v>
      </c>
      <c r="E17" s="35">
        <v>300</v>
      </c>
      <c r="F17" s="35">
        <v>3000</v>
      </c>
      <c r="G17" s="35"/>
      <c r="H17" s="35">
        <v>3000</v>
      </c>
      <c r="I17" s="35">
        <v>1200</v>
      </c>
      <c r="J17" s="35"/>
      <c r="K17" s="35">
        <v>900</v>
      </c>
      <c r="L17" s="35">
        <v>900</v>
      </c>
      <c r="M17" s="35"/>
      <c r="N17" s="35"/>
      <c r="O17" s="35"/>
      <c r="P17" s="35"/>
      <c r="Q17" s="35"/>
      <c r="R17" s="35"/>
      <c r="S17" s="35">
        <v>1200</v>
      </c>
      <c r="T17" s="35"/>
      <c r="U17" s="35">
        <v>4200</v>
      </c>
      <c r="V17" s="32">
        <f t="shared" si="0"/>
        <v>14400</v>
      </c>
      <c r="W17" s="32">
        <f t="shared" si="1"/>
        <v>48</v>
      </c>
    </row>
    <row r="18" spans="1:23" s="28" customFormat="1" x14ac:dyDescent="0.2">
      <c r="A18" s="36" t="s">
        <v>180</v>
      </c>
      <c r="B18" s="37" t="s">
        <v>168</v>
      </c>
      <c r="C18" s="76" t="s">
        <v>332</v>
      </c>
      <c r="D18" s="36">
        <v>10</v>
      </c>
      <c r="E18" s="39">
        <v>300</v>
      </c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6">
        <f t="shared" si="0"/>
        <v>0</v>
      </c>
      <c r="W18" s="36">
        <f t="shared" si="1"/>
        <v>0</v>
      </c>
    </row>
    <row r="19" spans="1:23" x14ac:dyDescent="0.2">
      <c r="A19" s="32">
        <v>10</v>
      </c>
      <c r="B19" s="33" t="s">
        <v>94</v>
      </c>
      <c r="C19" s="34" t="s">
        <v>19</v>
      </c>
      <c r="D19" s="41">
        <v>10</v>
      </c>
      <c r="E19" s="35">
        <v>130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2">
        <f t="shared" si="0"/>
        <v>0</v>
      </c>
      <c r="W19" s="32">
        <f t="shared" si="1"/>
        <v>0</v>
      </c>
    </row>
    <row r="20" spans="1:23" s="28" customFormat="1" x14ac:dyDescent="0.2">
      <c r="A20" s="36">
        <v>11</v>
      </c>
      <c r="B20" s="37" t="s">
        <v>92</v>
      </c>
      <c r="C20" s="38" t="s">
        <v>287</v>
      </c>
      <c r="D20" s="115">
        <v>10</v>
      </c>
      <c r="E20" s="39">
        <v>110</v>
      </c>
      <c r="F20" s="39"/>
      <c r="G20" s="39"/>
      <c r="H20" s="39">
        <v>550</v>
      </c>
      <c r="I20" s="39"/>
      <c r="J20" s="39"/>
      <c r="K20" s="39">
        <v>550</v>
      </c>
      <c r="L20" s="39"/>
      <c r="M20" s="39"/>
      <c r="N20" s="39"/>
      <c r="O20" s="39"/>
      <c r="P20" s="39"/>
      <c r="Q20" s="39"/>
      <c r="R20" s="39"/>
      <c r="S20" s="39"/>
      <c r="T20" s="39"/>
      <c r="U20" s="39">
        <v>440</v>
      </c>
      <c r="V20" s="36">
        <f t="shared" si="0"/>
        <v>1540</v>
      </c>
      <c r="W20" s="36">
        <f t="shared" si="1"/>
        <v>14</v>
      </c>
    </row>
    <row r="21" spans="1:23" x14ac:dyDescent="0.2">
      <c r="A21" s="32">
        <v>12</v>
      </c>
      <c r="B21" s="33" t="s">
        <v>95</v>
      </c>
      <c r="C21" s="34" t="s">
        <v>21</v>
      </c>
      <c r="D21" s="32">
        <v>10</v>
      </c>
      <c r="E21" s="35">
        <v>80</v>
      </c>
      <c r="F21" s="35">
        <v>480</v>
      </c>
      <c r="G21" s="35"/>
      <c r="H21" s="35">
        <v>480</v>
      </c>
      <c r="I21" s="35">
        <v>480</v>
      </c>
      <c r="J21" s="35"/>
      <c r="K21" s="35">
        <v>560</v>
      </c>
      <c r="L21" s="35">
        <v>880</v>
      </c>
      <c r="M21" s="35"/>
      <c r="N21" s="35">
        <v>400</v>
      </c>
      <c r="O21" s="35">
        <v>640</v>
      </c>
      <c r="P21" s="35">
        <v>480</v>
      </c>
      <c r="Q21" s="35"/>
      <c r="R21" s="35">
        <v>960</v>
      </c>
      <c r="S21" s="35">
        <v>480</v>
      </c>
      <c r="T21" s="35"/>
      <c r="U21" s="35">
        <v>960</v>
      </c>
      <c r="V21" s="32">
        <f t="shared" si="0"/>
        <v>6800</v>
      </c>
      <c r="W21" s="32">
        <f t="shared" si="1"/>
        <v>85</v>
      </c>
    </row>
    <row r="22" spans="1:23" s="28" customFormat="1" x14ac:dyDescent="0.2">
      <c r="A22" s="36">
        <v>13</v>
      </c>
      <c r="B22" s="37" t="s">
        <v>99</v>
      </c>
      <c r="C22" s="38" t="s">
        <v>22</v>
      </c>
      <c r="D22" s="36">
        <v>100</v>
      </c>
      <c r="E22" s="39">
        <v>1200</v>
      </c>
      <c r="F22" s="39">
        <v>12000</v>
      </c>
      <c r="G22" s="39"/>
      <c r="H22" s="39">
        <v>18000</v>
      </c>
      <c r="I22" s="39"/>
      <c r="J22" s="39">
        <v>24000</v>
      </c>
      <c r="K22" s="39">
        <v>12000</v>
      </c>
      <c r="L22" s="39">
        <v>12000</v>
      </c>
      <c r="M22" s="39"/>
      <c r="N22" s="39">
        <v>12000</v>
      </c>
      <c r="O22" s="39">
        <v>12000</v>
      </c>
      <c r="P22" s="39">
        <v>18000</v>
      </c>
      <c r="Q22" s="39"/>
      <c r="R22" s="39">
        <v>24000</v>
      </c>
      <c r="S22" s="39">
        <v>18000</v>
      </c>
      <c r="T22" s="39"/>
      <c r="U22" s="39">
        <v>18000</v>
      </c>
      <c r="V22" s="36">
        <f t="shared" si="0"/>
        <v>180000</v>
      </c>
      <c r="W22" s="36">
        <f t="shared" si="1"/>
        <v>150</v>
      </c>
    </row>
    <row r="23" spans="1:23" x14ac:dyDescent="0.2">
      <c r="A23" s="32">
        <v>14</v>
      </c>
      <c r="B23" s="33" t="s">
        <v>102</v>
      </c>
      <c r="C23" s="34" t="s">
        <v>23</v>
      </c>
      <c r="D23" s="32">
        <v>100</v>
      </c>
      <c r="E23" s="35">
        <v>1000</v>
      </c>
      <c r="F23" s="35">
        <v>5000</v>
      </c>
      <c r="G23" s="35"/>
      <c r="H23" s="35">
        <v>5000</v>
      </c>
      <c r="I23" s="35"/>
      <c r="J23" s="35">
        <v>5000</v>
      </c>
      <c r="K23" s="35">
        <v>7000</v>
      </c>
      <c r="L23" s="35">
        <v>6000</v>
      </c>
      <c r="M23" s="35"/>
      <c r="N23" s="35">
        <v>5000</v>
      </c>
      <c r="O23" s="35">
        <v>5000</v>
      </c>
      <c r="P23" s="35">
        <v>5000</v>
      </c>
      <c r="Q23" s="35"/>
      <c r="R23" s="35">
        <v>10000</v>
      </c>
      <c r="S23" s="35">
        <v>5000</v>
      </c>
      <c r="T23" s="35"/>
      <c r="U23" s="35">
        <v>5000</v>
      </c>
      <c r="V23" s="32">
        <f t="shared" si="0"/>
        <v>63000</v>
      </c>
      <c r="W23" s="32">
        <f t="shared" si="1"/>
        <v>63</v>
      </c>
    </row>
    <row r="24" spans="1:23" s="28" customFormat="1" x14ac:dyDescent="0.2">
      <c r="A24" s="36">
        <v>15</v>
      </c>
      <c r="B24" s="37" t="s">
        <v>97</v>
      </c>
      <c r="C24" s="38" t="s">
        <v>24</v>
      </c>
      <c r="D24" s="36">
        <v>50</v>
      </c>
      <c r="E24" s="39">
        <v>2800</v>
      </c>
      <c r="F24" s="39">
        <v>5600</v>
      </c>
      <c r="G24" s="39"/>
      <c r="H24" s="39">
        <v>5600</v>
      </c>
      <c r="I24" s="39"/>
      <c r="J24" s="39">
        <v>5600</v>
      </c>
      <c r="K24" s="39">
        <v>5600</v>
      </c>
      <c r="L24" s="39">
        <v>5600</v>
      </c>
      <c r="M24" s="39"/>
      <c r="N24" s="39">
        <v>5600</v>
      </c>
      <c r="O24" s="39">
        <v>5600</v>
      </c>
      <c r="P24" s="39">
        <v>5600</v>
      </c>
      <c r="Q24" s="39"/>
      <c r="R24" s="39">
        <v>5600</v>
      </c>
      <c r="S24" s="39">
        <v>5600</v>
      </c>
      <c r="T24" s="39"/>
      <c r="U24" s="39"/>
      <c r="V24" s="36">
        <f t="shared" si="0"/>
        <v>56000</v>
      </c>
      <c r="W24" s="36">
        <f t="shared" si="1"/>
        <v>20</v>
      </c>
    </row>
    <row r="25" spans="1:23" x14ac:dyDescent="0.2">
      <c r="A25" s="32">
        <v>16</v>
      </c>
      <c r="B25" s="33" t="s">
        <v>98</v>
      </c>
      <c r="C25" s="34" t="s">
        <v>25</v>
      </c>
      <c r="D25" s="32">
        <v>50</v>
      </c>
      <c r="E25" s="35">
        <v>550</v>
      </c>
      <c r="F25" s="35"/>
      <c r="G25" s="35"/>
      <c r="H25" s="35"/>
      <c r="I25" s="35"/>
      <c r="J25" s="35"/>
      <c r="K25" s="35">
        <v>5500</v>
      </c>
      <c r="L25" s="35">
        <v>3300</v>
      </c>
      <c r="M25" s="35"/>
      <c r="N25" s="35">
        <v>3300</v>
      </c>
      <c r="O25" s="35">
        <v>3300</v>
      </c>
      <c r="P25" s="35">
        <v>3300</v>
      </c>
      <c r="Q25" s="35"/>
      <c r="R25" s="35">
        <v>2200</v>
      </c>
      <c r="S25" s="35"/>
      <c r="T25" s="35">
        <v>3300</v>
      </c>
      <c r="U25" s="35">
        <v>3300</v>
      </c>
      <c r="V25" s="32">
        <f t="shared" si="0"/>
        <v>27500</v>
      </c>
      <c r="W25" s="32">
        <f t="shared" si="1"/>
        <v>50</v>
      </c>
    </row>
    <row r="26" spans="1:23" s="28" customFormat="1" x14ac:dyDescent="0.2">
      <c r="A26" s="36" t="s">
        <v>141</v>
      </c>
      <c r="B26" s="37" t="s">
        <v>142</v>
      </c>
      <c r="C26" s="38" t="s">
        <v>143</v>
      </c>
      <c r="D26" s="36">
        <v>50</v>
      </c>
      <c r="E26" s="39">
        <v>550</v>
      </c>
      <c r="F26" s="39"/>
      <c r="G26" s="39"/>
      <c r="H26" s="39"/>
      <c r="I26" s="39"/>
      <c r="J26" s="39">
        <v>4400</v>
      </c>
      <c r="K26" s="39">
        <v>5500</v>
      </c>
      <c r="L26" s="39">
        <v>5500</v>
      </c>
      <c r="M26" s="39"/>
      <c r="N26" s="39">
        <v>3300</v>
      </c>
      <c r="O26" s="39">
        <v>3300</v>
      </c>
      <c r="P26" s="39">
        <v>3300</v>
      </c>
      <c r="Q26" s="39"/>
      <c r="R26" s="39">
        <v>2200</v>
      </c>
      <c r="S26" s="39"/>
      <c r="T26" s="39">
        <v>3300</v>
      </c>
      <c r="U26" s="39">
        <v>3300</v>
      </c>
      <c r="V26" s="36">
        <f t="shared" si="0"/>
        <v>34100</v>
      </c>
      <c r="W26" s="36">
        <f t="shared" si="1"/>
        <v>62</v>
      </c>
    </row>
    <row r="27" spans="1:23" x14ac:dyDescent="0.2">
      <c r="A27" s="32" t="s">
        <v>181</v>
      </c>
      <c r="B27" s="33" t="s">
        <v>170</v>
      </c>
      <c r="C27" s="34" t="s">
        <v>171</v>
      </c>
      <c r="D27" s="32">
        <v>10</v>
      </c>
      <c r="E27" s="35">
        <v>1200</v>
      </c>
      <c r="F27" s="35">
        <v>4800</v>
      </c>
      <c r="G27" s="35"/>
      <c r="H27" s="35">
        <v>4800</v>
      </c>
      <c r="I27" s="35"/>
      <c r="J27" s="35">
        <v>6000</v>
      </c>
      <c r="K27" s="35">
        <v>6000</v>
      </c>
      <c r="L27" s="35">
        <v>3600</v>
      </c>
      <c r="M27" s="35"/>
      <c r="N27" s="35">
        <v>4800</v>
      </c>
      <c r="O27" s="35">
        <v>6000</v>
      </c>
      <c r="P27" s="35">
        <v>6000</v>
      </c>
      <c r="Q27" s="35"/>
      <c r="R27" s="35">
        <v>9600</v>
      </c>
      <c r="S27" s="35">
        <v>4800</v>
      </c>
      <c r="T27" s="35"/>
      <c r="U27" s="35">
        <v>4800</v>
      </c>
      <c r="V27" s="32">
        <f t="shared" si="0"/>
        <v>61200</v>
      </c>
      <c r="W27" s="32">
        <f t="shared" si="1"/>
        <v>51</v>
      </c>
    </row>
    <row r="28" spans="1:23" s="28" customFormat="1" x14ac:dyDescent="0.2">
      <c r="A28" s="36">
        <v>17</v>
      </c>
      <c r="B28" s="37" t="s">
        <v>195</v>
      </c>
      <c r="C28" s="38" t="s">
        <v>197</v>
      </c>
      <c r="D28" s="36">
        <v>10</v>
      </c>
      <c r="E28" s="39">
        <v>1300</v>
      </c>
      <c r="F28" s="39"/>
      <c r="G28" s="39"/>
      <c r="H28" s="39"/>
      <c r="I28" s="39"/>
      <c r="J28" s="39"/>
      <c r="K28" s="39">
        <v>1300</v>
      </c>
      <c r="L28" s="39"/>
      <c r="M28" s="39"/>
      <c r="N28" s="39"/>
      <c r="O28" s="39">
        <v>1300</v>
      </c>
      <c r="P28" s="39"/>
      <c r="Q28" s="39"/>
      <c r="R28" s="39"/>
      <c r="S28" s="39">
        <v>1300</v>
      </c>
      <c r="T28" s="39"/>
      <c r="U28" s="39">
        <v>1300</v>
      </c>
      <c r="V28" s="36">
        <f t="shared" si="0"/>
        <v>5200</v>
      </c>
      <c r="W28" s="36">
        <f t="shared" si="1"/>
        <v>4</v>
      </c>
    </row>
    <row r="29" spans="1:23" x14ac:dyDescent="0.2">
      <c r="A29" s="32">
        <v>18</v>
      </c>
      <c r="B29" s="33" t="s">
        <v>196</v>
      </c>
      <c r="C29" s="34" t="s">
        <v>198</v>
      </c>
      <c r="D29" s="32">
        <v>10</v>
      </c>
      <c r="E29" s="35">
        <v>800</v>
      </c>
      <c r="F29" s="35"/>
      <c r="G29" s="35"/>
      <c r="H29" s="35"/>
      <c r="I29" s="35"/>
      <c r="J29" s="35"/>
      <c r="K29" s="35">
        <v>800</v>
      </c>
      <c r="L29" s="35"/>
      <c r="M29" s="35"/>
      <c r="N29" s="35"/>
      <c r="O29" s="35">
        <v>800</v>
      </c>
      <c r="P29" s="35"/>
      <c r="Q29" s="35"/>
      <c r="R29" s="35"/>
      <c r="S29" s="35">
        <v>800</v>
      </c>
      <c r="T29" s="35"/>
      <c r="U29" s="35">
        <v>800</v>
      </c>
      <c r="V29" s="32">
        <f t="shared" si="0"/>
        <v>3200</v>
      </c>
      <c r="W29" s="32">
        <f t="shared" si="1"/>
        <v>4</v>
      </c>
    </row>
    <row r="30" spans="1:23" s="28" customFormat="1" x14ac:dyDescent="0.2">
      <c r="A30" s="36">
        <v>19</v>
      </c>
      <c r="B30" s="37" t="s">
        <v>206</v>
      </c>
      <c r="C30" s="38" t="s">
        <v>207</v>
      </c>
      <c r="D30" s="36">
        <v>10</v>
      </c>
      <c r="E30" s="39">
        <v>450</v>
      </c>
      <c r="F30" s="39">
        <v>1350</v>
      </c>
      <c r="G30" s="39"/>
      <c r="H30" s="39">
        <v>1800</v>
      </c>
      <c r="I30" s="39"/>
      <c r="J30" s="39">
        <v>1350</v>
      </c>
      <c r="K30" s="39">
        <v>1800</v>
      </c>
      <c r="L30" s="39">
        <v>3150</v>
      </c>
      <c r="M30" s="39"/>
      <c r="N30" s="39">
        <v>900</v>
      </c>
      <c r="O30" s="39">
        <v>1800</v>
      </c>
      <c r="P30" s="39">
        <v>1350</v>
      </c>
      <c r="Q30" s="39"/>
      <c r="R30" s="39"/>
      <c r="S30" s="39">
        <v>1350</v>
      </c>
      <c r="T30" s="39"/>
      <c r="U30" s="39">
        <v>1350</v>
      </c>
      <c r="V30" s="36">
        <f t="shared" si="0"/>
        <v>16200</v>
      </c>
      <c r="W30" s="36">
        <f t="shared" si="1"/>
        <v>36</v>
      </c>
    </row>
    <row r="31" spans="1:23" x14ac:dyDescent="0.2">
      <c r="A31" s="32" t="s">
        <v>32</v>
      </c>
      <c r="B31" s="40">
        <v>90442200</v>
      </c>
      <c r="C31" s="34" t="s">
        <v>238</v>
      </c>
      <c r="D31" s="32">
        <v>10</v>
      </c>
      <c r="E31" s="35">
        <v>450</v>
      </c>
      <c r="F31" s="35"/>
      <c r="G31" s="35"/>
      <c r="H31" s="35"/>
      <c r="I31" s="35"/>
      <c r="J31" s="35"/>
      <c r="K31" s="35">
        <v>900</v>
      </c>
      <c r="L31" s="35">
        <v>1350</v>
      </c>
      <c r="M31" s="35"/>
      <c r="N31" s="35"/>
      <c r="O31" s="35">
        <v>900</v>
      </c>
      <c r="P31" s="35"/>
      <c r="Q31" s="35"/>
      <c r="R31" s="35"/>
      <c r="S31" s="35"/>
      <c r="T31" s="35"/>
      <c r="U31" s="35">
        <v>900</v>
      </c>
      <c r="V31" s="32">
        <f t="shared" si="0"/>
        <v>4050</v>
      </c>
      <c r="W31" s="32">
        <f t="shared" si="1"/>
        <v>9</v>
      </c>
    </row>
    <row r="32" spans="1:23" s="28" customFormat="1" x14ac:dyDescent="0.2">
      <c r="A32" s="36">
        <v>20</v>
      </c>
      <c r="B32" s="37" t="s">
        <v>83</v>
      </c>
      <c r="C32" s="38" t="s">
        <v>26</v>
      </c>
      <c r="D32" s="36">
        <v>10</v>
      </c>
      <c r="E32" s="39">
        <v>330</v>
      </c>
      <c r="F32" s="39"/>
      <c r="G32" s="39"/>
      <c r="H32" s="39"/>
      <c r="I32" s="39"/>
      <c r="J32" s="39">
        <v>330</v>
      </c>
      <c r="K32" s="39">
        <v>330</v>
      </c>
      <c r="L32" s="39">
        <v>330</v>
      </c>
      <c r="M32" s="39"/>
      <c r="N32" s="39">
        <v>330</v>
      </c>
      <c r="O32" s="39">
        <v>330</v>
      </c>
      <c r="P32" s="39"/>
      <c r="Q32" s="39"/>
      <c r="R32" s="39"/>
      <c r="S32" s="39"/>
      <c r="T32" s="39">
        <v>330</v>
      </c>
      <c r="U32" s="39"/>
      <c r="V32" s="36">
        <f t="shared" si="0"/>
        <v>1980</v>
      </c>
      <c r="W32" s="36">
        <f t="shared" si="1"/>
        <v>6</v>
      </c>
    </row>
    <row r="33" spans="1:23" x14ac:dyDescent="0.2">
      <c r="A33" s="32">
        <v>21</v>
      </c>
      <c r="B33" s="33" t="s">
        <v>30</v>
      </c>
      <c r="C33" s="34" t="s">
        <v>31</v>
      </c>
      <c r="D33" s="32">
        <v>10</v>
      </c>
      <c r="E33" s="35">
        <v>230</v>
      </c>
      <c r="F33" s="35">
        <v>920</v>
      </c>
      <c r="G33" s="35"/>
      <c r="H33" s="35">
        <v>920</v>
      </c>
      <c r="I33" s="35">
        <v>1380</v>
      </c>
      <c r="J33" s="35"/>
      <c r="K33" s="35">
        <v>1840</v>
      </c>
      <c r="L33" s="35">
        <v>2070</v>
      </c>
      <c r="M33" s="35"/>
      <c r="N33" s="35">
        <v>690</v>
      </c>
      <c r="O33" s="35">
        <v>1380</v>
      </c>
      <c r="P33" s="35">
        <v>1150</v>
      </c>
      <c r="Q33" s="35"/>
      <c r="R33" s="35"/>
      <c r="S33" s="35">
        <v>1150</v>
      </c>
      <c r="T33" s="35"/>
      <c r="U33" s="35">
        <v>3450</v>
      </c>
      <c r="V33" s="32">
        <f t="shared" si="0"/>
        <v>14950</v>
      </c>
      <c r="W33" s="32">
        <f t="shared" si="1"/>
        <v>65</v>
      </c>
    </row>
    <row r="34" spans="1:23" s="28" customFormat="1" x14ac:dyDescent="0.2">
      <c r="A34" s="36" t="s">
        <v>194</v>
      </c>
      <c r="B34" s="42">
        <v>90442300</v>
      </c>
      <c r="C34" s="38" t="s">
        <v>173</v>
      </c>
      <c r="D34" s="36">
        <v>10</v>
      </c>
      <c r="E34" s="39">
        <v>230</v>
      </c>
      <c r="F34" s="39">
        <v>920</v>
      </c>
      <c r="G34" s="39"/>
      <c r="H34" s="39"/>
      <c r="I34" s="39"/>
      <c r="J34" s="39"/>
      <c r="K34" s="39"/>
      <c r="L34" s="39">
        <v>2070</v>
      </c>
      <c r="M34" s="39"/>
      <c r="N34" s="39">
        <v>690</v>
      </c>
      <c r="O34" s="39">
        <v>1380</v>
      </c>
      <c r="P34" s="39"/>
      <c r="Q34" s="39"/>
      <c r="R34" s="39"/>
      <c r="S34" s="39">
        <v>1150</v>
      </c>
      <c r="T34" s="39"/>
      <c r="U34" s="39">
        <v>2300</v>
      </c>
      <c r="V34" s="36">
        <f t="shared" si="0"/>
        <v>8510</v>
      </c>
      <c r="W34" s="36">
        <f t="shared" si="1"/>
        <v>37</v>
      </c>
    </row>
    <row r="35" spans="1:23" s="47" customFormat="1" x14ac:dyDescent="0.2">
      <c r="A35" s="43" t="s">
        <v>333</v>
      </c>
      <c r="B35" s="44" t="s">
        <v>262</v>
      </c>
      <c r="C35" s="116" t="s">
        <v>264</v>
      </c>
      <c r="D35" s="43">
        <v>10</v>
      </c>
      <c r="E35" s="46">
        <v>230</v>
      </c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3">
        <f t="shared" si="0"/>
        <v>0</v>
      </c>
      <c r="W35" s="43">
        <f t="shared" si="1"/>
        <v>0</v>
      </c>
    </row>
    <row r="36" spans="1:23" s="28" customFormat="1" x14ac:dyDescent="0.2">
      <c r="A36" s="36">
        <v>23</v>
      </c>
      <c r="B36" s="37" t="s">
        <v>93</v>
      </c>
      <c r="C36" s="76" t="s">
        <v>304</v>
      </c>
      <c r="D36" s="36">
        <v>5</v>
      </c>
      <c r="E36" s="39">
        <v>75</v>
      </c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6">
        <f t="shared" si="0"/>
        <v>0</v>
      </c>
      <c r="W36" s="36">
        <f t="shared" si="1"/>
        <v>0</v>
      </c>
    </row>
    <row r="37" spans="1:23" s="47" customFormat="1" x14ac:dyDescent="0.2">
      <c r="A37" s="43">
        <v>24</v>
      </c>
      <c r="B37" s="117" t="s">
        <v>35</v>
      </c>
      <c r="C37" s="116" t="s">
        <v>36</v>
      </c>
      <c r="D37" s="43">
        <v>5</v>
      </c>
      <c r="E37" s="46">
        <v>50</v>
      </c>
      <c r="F37" s="46">
        <v>400</v>
      </c>
      <c r="G37" s="46"/>
      <c r="H37" s="46">
        <v>500</v>
      </c>
      <c r="I37" s="46">
        <v>500</v>
      </c>
      <c r="J37" s="46"/>
      <c r="K37" s="46">
        <v>500</v>
      </c>
      <c r="L37" s="46">
        <v>500</v>
      </c>
      <c r="M37" s="46"/>
      <c r="N37" s="46"/>
      <c r="O37" s="46">
        <v>500</v>
      </c>
      <c r="P37" s="46">
        <v>500</v>
      </c>
      <c r="Q37" s="46"/>
      <c r="R37" s="46">
        <v>1000</v>
      </c>
      <c r="S37" s="46">
        <v>500</v>
      </c>
      <c r="T37" s="46"/>
      <c r="U37" s="46">
        <v>2000</v>
      </c>
      <c r="V37" s="43">
        <f t="shared" si="0"/>
        <v>6900</v>
      </c>
      <c r="W37" s="43">
        <f t="shared" si="1"/>
        <v>138</v>
      </c>
    </row>
    <row r="38" spans="1:23" s="28" customFormat="1" x14ac:dyDescent="0.2">
      <c r="A38" s="36">
        <v>25</v>
      </c>
      <c r="B38" s="37" t="s">
        <v>101</v>
      </c>
      <c r="C38" s="38" t="s">
        <v>37</v>
      </c>
      <c r="D38" s="36">
        <v>50</v>
      </c>
      <c r="E38" s="39">
        <v>600</v>
      </c>
      <c r="F38" s="39"/>
      <c r="G38" s="39"/>
      <c r="H38" s="39"/>
      <c r="I38" s="39"/>
      <c r="J38" s="39">
        <v>600</v>
      </c>
      <c r="K38" s="39">
        <v>600</v>
      </c>
      <c r="L38" s="39">
        <v>600</v>
      </c>
      <c r="M38" s="39"/>
      <c r="N38" s="39">
        <v>600</v>
      </c>
      <c r="O38" s="39"/>
      <c r="P38" s="39"/>
      <c r="Q38" s="39"/>
      <c r="R38" s="39"/>
      <c r="S38" s="39"/>
      <c r="T38" s="39"/>
      <c r="U38" s="39"/>
      <c r="V38" s="36">
        <f t="shared" si="0"/>
        <v>2400</v>
      </c>
      <c r="W38" s="36">
        <f t="shared" si="1"/>
        <v>4</v>
      </c>
    </row>
    <row r="39" spans="1:23" s="47" customFormat="1" x14ac:dyDescent="0.2">
      <c r="A39" s="43">
        <v>26</v>
      </c>
      <c r="B39" s="44" t="s">
        <v>200</v>
      </c>
      <c r="C39" s="45" t="s">
        <v>201</v>
      </c>
      <c r="D39" s="43">
        <v>10</v>
      </c>
      <c r="E39" s="43">
        <v>800</v>
      </c>
      <c r="F39" s="46">
        <v>1600</v>
      </c>
      <c r="G39" s="46"/>
      <c r="H39" s="46">
        <v>1600</v>
      </c>
      <c r="I39" s="46"/>
      <c r="J39" s="46">
        <v>2400</v>
      </c>
      <c r="K39" s="46">
        <v>2400</v>
      </c>
      <c r="L39" s="46">
        <v>2400</v>
      </c>
      <c r="M39" s="46"/>
      <c r="N39" s="46">
        <v>3200</v>
      </c>
      <c r="O39" s="46">
        <v>1600</v>
      </c>
      <c r="P39" s="46">
        <v>2400</v>
      </c>
      <c r="Q39" s="46"/>
      <c r="R39" s="46">
        <v>4800</v>
      </c>
      <c r="S39" s="46"/>
      <c r="T39" s="46">
        <v>2400</v>
      </c>
      <c r="U39" s="46">
        <v>1600</v>
      </c>
      <c r="V39" s="43">
        <f t="shared" si="0"/>
        <v>26400</v>
      </c>
      <c r="W39" s="43">
        <f t="shared" si="1"/>
        <v>33</v>
      </c>
    </row>
    <row r="40" spans="1:23" s="28" customFormat="1" x14ac:dyDescent="0.2">
      <c r="A40" s="36">
        <v>27</v>
      </c>
      <c r="B40" s="42" t="s">
        <v>208</v>
      </c>
      <c r="C40" s="38" t="s">
        <v>209</v>
      </c>
      <c r="D40" s="36">
        <v>10</v>
      </c>
      <c r="E40" s="36">
        <v>400</v>
      </c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6">
        <f t="shared" si="0"/>
        <v>0</v>
      </c>
      <c r="W40" s="36">
        <f t="shared" si="1"/>
        <v>0</v>
      </c>
    </row>
    <row r="41" spans="1:23" s="47" customFormat="1" x14ac:dyDescent="0.2">
      <c r="A41" s="43" t="s">
        <v>334</v>
      </c>
      <c r="B41" s="98" t="s">
        <v>295</v>
      </c>
      <c r="C41" s="38" t="s">
        <v>296</v>
      </c>
      <c r="D41" s="43">
        <v>10</v>
      </c>
      <c r="E41" s="43">
        <v>400</v>
      </c>
      <c r="F41" s="46">
        <v>400</v>
      </c>
      <c r="G41" s="46"/>
      <c r="H41" s="46"/>
      <c r="I41" s="46"/>
      <c r="J41" s="46"/>
      <c r="K41" s="46">
        <v>400</v>
      </c>
      <c r="L41" s="46">
        <v>400</v>
      </c>
      <c r="M41" s="46"/>
      <c r="N41" s="46"/>
      <c r="O41" s="46"/>
      <c r="P41" s="46"/>
      <c r="Q41" s="46"/>
      <c r="R41" s="46"/>
      <c r="S41" s="46">
        <v>400</v>
      </c>
      <c r="T41" s="46"/>
      <c r="U41" s="46">
        <v>400</v>
      </c>
      <c r="V41" s="43">
        <f t="shared" si="0"/>
        <v>2000</v>
      </c>
      <c r="W41" s="43">
        <f t="shared" si="1"/>
        <v>5</v>
      </c>
    </row>
    <row r="42" spans="1:23" s="28" customFormat="1" x14ac:dyDescent="0.2">
      <c r="A42" s="36">
        <v>28</v>
      </c>
      <c r="B42" s="42" t="s">
        <v>210</v>
      </c>
      <c r="C42" s="38" t="s">
        <v>211</v>
      </c>
      <c r="D42" s="36">
        <v>10</v>
      </c>
      <c r="E42" s="36">
        <v>300</v>
      </c>
      <c r="F42" s="39"/>
      <c r="G42" s="39"/>
      <c r="H42" s="39"/>
      <c r="I42" s="39"/>
      <c r="J42" s="39"/>
      <c r="K42" s="39">
        <v>900</v>
      </c>
      <c r="L42" s="39">
        <v>600</v>
      </c>
      <c r="M42" s="39"/>
      <c r="N42" s="39"/>
      <c r="O42" s="39"/>
      <c r="P42" s="39"/>
      <c r="Q42" s="39"/>
      <c r="R42" s="39"/>
      <c r="S42" s="39"/>
      <c r="T42" s="39"/>
      <c r="U42" s="39"/>
      <c r="V42" s="36">
        <f t="shared" si="0"/>
        <v>1500</v>
      </c>
      <c r="W42" s="36">
        <f t="shared" si="1"/>
        <v>5</v>
      </c>
    </row>
    <row r="43" spans="1:23" s="47" customFormat="1" x14ac:dyDescent="0.2">
      <c r="A43" s="43" t="s">
        <v>335</v>
      </c>
      <c r="B43" s="44">
        <v>90443200</v>
      </c>
      <c r="C43" s="45" t="s">
        <v>237</v>
      </c>
      <c r="D43" s="43">
        <v>10</v>
      </c>
      <c r="E43" s="43">
        <v>300</v>
      </c>
      <c r="F43" s="46">
        <v>900</v>
      </c>
      <c r="G43" s="46"/>
      <c r="H43" s="46"/>
      <c r="I43" s="46"/>
      <c r="J43" s="46">
        <v>900</v>
      </c>
      <c r="K43" s="46">
        <v>900</v>
      </c>
      <c r="L43" s="46">
        <v>900</v>
      </c>
      <c r="M43" s="46"/>
      <c r="N43" s="46"/>
      <c r="O43" s="46">
        <v>900</v>
      </c>
      <c r="P43" s="46"/>
      <c r="Q43" s="46"/>
      <c r="R43" s="46"/>
      <c r="S43" s="46">
        <v>1500</v>
      </c>
      <c r="T43" s="46"/>
      <c r="U43" s="46">
        <v>2400</v>
      </c>
      <c r="V43" s="43">
        <f t="shared" si="0"/>
        <v>8400</v>
      </c>
      <c r="W43" s="43">
        <f t="shared" si="1"/>
        <v>28</v>
      </c>
    </row>
    <row r="44" spans="1:23" s="28" customFormat="1" x14ac:dyDescent="0.2">
      <c r="A44" s="36">
        <v>29</v>
      </c>
      <c r="B44" s="42" t="s">
        <v>157</v>
      </c>
      <c r="C44" s="38" t="s">
        <v>160</v>
      </c>
      <c r="D44" s="36">
        <v>10</v>
      </c>
      <c r="E44" s="36">
        <v>160</v>
      </c>
      <c r="F44" s="39">
        <v>800</v>
      </c>
      <c r="G44" s="39"/>
      <c r="H44" s="39">
        <v>960</v>
      </c>
      <c r="I44" s="39"/>
      <c r="J44" s="39">
        <v>800</v>
      </c>
      <c r="K44" s="39">
        <v>1280</v>
      </c>
      <c r="L44" s="39">
        <v>1440</v>
      </c>
      <c r="M44" s="39"/>
      <c r="N44" s="39">
        <v>480</v>
      </c>
      <c r="O44" s="39">
        <v>960</v>
      </c>
      <c r="P44" s="39">
        <v>800</v>
      </c>
      <c r="Q44" s="39"/>
      <c r="R44" s="39"/>
      <c r="S44" s="39">
        <v>960</v>
      </c>
      <c r="T44" s="39"/>
      <c r="U44" s="39">
        <v>1760</v>
      </c>
      <c r="V44" s="36">
        <f t="shared" si="0"/>
        <v>10240</v>
      </c>
      <c r="W44" s="36">
        <f t="shared" si="1"/>
        <v>64</v>
      </c>
    </row>
    <row r="45" spans="1:23" s="47" customFormat="1" x14ac:dyDescent="0.2">
      <c r="A45" s="43" t="s">
        <v>336</v>
      </c>
      <c r="B45" s="44">
        <v>90443300</v>
      </c>
      <c r="C45" s="45" t="s">
        <v>172</v>
      </c>
      <c r="D45" s="43">
        <v>10</v>
      </c>
      <c r="E45" s="43">
        <v>160</v>
      </c>
      <c r="F45" s="46">
        <v>960</v>
      </c>
      <c r="G45" s="46"/>
      <c r="H45" s="46">
        <v>960</v>
      </c>
      <c r="I45" s="46"/>
      <c r="J45" s="46">
        <v>800</v>
      </c>
      <c r="K45" s="46">
        <v>1280</v>
      </c>
      <c r="L45" s="46">
        <v>1440</v>
      </c>
      <c r="M45" s="46"/>
      <c r="N45" s="46">
        <v>480</v>
      </c>
      <c r="O45" s="46">
        <v>960</v>
      </c>
      <c r="P45" s="46">
        <v>960</v>
      </c>
      <c r="Q45" s="46"/>
      <c r="R45" s="46">
        <v>1280</v>
      </c>
      <c r="S45" s="46">
        <v>960</v>
      </c>
      <c r="T45" s="46"/>
      <c r="U45" s="46">
        <v>4160</v>
      </c>
      <c r="V45" s="43">
        <f t="shared" si="0"/>
        <v>14240</v>
      </c>
      <c r="W45" s="43">
        <f t="shared" si="1"/>
        <v>89</v>
      </c>
    </row>
    <row r="46" spans="1:23" s="28" customFormat="1" x14ac:dyDescent="0.2">
      <c r="A46" s="36" t="s">
        <v>337</v>
      </c>
      <c r="B46" s="42" t="s">
        <v>263</v>
      </c>
      <c r="C46" s="76" t="s">
        <v>265</v>
      </c>
      <c r="D46" s="36">
        <v>10</v>
      </c>
      <c r="E46" s="39">
        <v>160</v>
      </c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6">
        <f t="shared" si="0"/>
        <v>0</v>
      </c>
      <c r="W46" s="36">
        <f t="shared" si="1"/>
        <v>0</v>
      </c>
    </row>
    <row r="47" spans="1:23" s="47" customFormat="1" x14ac:dyDescent="0.2">
      <c r="A47" s="43">
        <v>30</v>
      </c>
      <c r="B47" s="44" t="s">
        <v>158</v>
      </c>
      <c r="C47" s="116" t="s">
        <v>260</v>
      </c>
      <c r="D47" s="43">
        <v>5</v>
      </c>
      <c r="E47" s="46">
        <v>35</v>
      </c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>
        <v>350</v>
      </c>
      <c r="T47" s="46"/>
      <c r="U47" s="46">
        <v>1050</v>
      </c>
      <c r="V47" s="43">
        <f t="shared" si="0"/>
        <v>1400</v>
      </c>
      <c r="W47" s="43">
        <f t="shared" si="1"/>
        <v>40</v>
      </c>
    </row>
    <row r="48" spans="1:23" s="28" customFormat="1" x14ac:dyDescent="0.2">
      <c r="A48" s="36">
        <v>31</v>
      </c>
      <c r="B48" s="37" t="s">
        <v>159</v>
      </c>
      <c r="C48" s="38" t="s">
        <v>162</v>
      </c>
      <c r="D48" s="36">
        <v>50</v>
      </c>
      <c r="E48" s="39">
        <v>350</v>
      </c>
      <c r="F48" s="39">
        <v>350</v>
      </c>
      <c r="G48" s="39"/>
      <c r="H48" s="39">
        <v>700</v>
      </c>
      <c r="I48" s="39"/>
      <c r="J48" s="39">
        <v>700</v>
      </c>
      <c r="K48" s="39">
        <v>700</v>
      </c>
      <c r="L48" s="39">
        <v>700</v>
      </c>
      <c r="M48" s="39"/>
      <c r="N48" s="39">
        <v>700</v>
      </c>
      <c r="O48" s="39">
        <v>350</v>
      </c>
      <c r="P48" s="39"/>
      <c r="Q48" s="39"/>
      <c r="R48" s="39"/>
      <c r="S48" s="39"/>
      <c r="T48" s="39"/>
      <c r="U48" s="39"/>
      <c r="V48" s="36">
        <f t="shared" si="0"/>
        <v>4200</v>
      </c>
      <c r="W48" s="36">
        <f t="shared" si="1"/>
        <v>12</v>
      </c>
    </row>
    <row r="49" spans="1:23" x14ac:dyDescent="0.2">
      <c r="A49" s="32">
        <v>32</v>
      </c>
      <c r="B49" s="33" t="s">
        <v>100</v>
      </c>
      <c r="C49" s="34" t="s">
        <v>40</v>
      </c>
      <c r="D49" s="32">
        <v>50</v>
      </c>
      <c r="E49" s="35">
        <v>1750</v>
      </c>
      <c r="F49" s="35"/>
      <c r="G49" s="35"/>
      <c r="H49" s="35"/>
      <c r="I49" s="35"/>
      <c r="J49" s="35">
        <v>5250</v>
      </c>
      <c r="K49" s="35">
        <v>7000</v>
      </c>
      <c r="L49" s="35">
        <v>5250</v>
      </c>
      <c r="M49" s="35"/>
      <c r="N49" s="35">
        <v>5250</v>
      </c>
      <c r="O49" s="35">
        <v>5250</v>
      </c>
      <c r="P49" s="35">
        <v>3500</v>
      </c>
      <c r="Q49" s="35"/>
      <c r="R49" s="35"/>
      <c r="S49" s="35"/>
      <c r="T49" s="35">
        <v>3500</v>
      </c>
      <c r="U49" s="35"/>
      <c r="V49" s="32">
        <f t="shared" si="0"/>
        <v>35000</v>
      </c>
      <c r="W49" s="32">
        <f t="shared" si="1"/>
        <v>20</v>
      </c>
    </row>
    <row r="50" spans="1:23" s="28" customFormat="1" x14ac:dyDescent="0.2">
      <c r="A50" s="36">
        <v>33</v>
      </c>
      <c r="B50" s="37" t="s">
        <v>271</v>
      </c>
      <c r="C50" s="38" t="s">
        <v>274</v>
      </c>
      <c r="D50" s="36">
        <v>5</v>
      </c>
      <c r="E50" s="39">
        <v>85</v>
      </c>
      <c r="F50" s="39"/>
      <c r="G50" s="39"/>
      <c r="H50" s="39"/>
      <c r="I50" s="39"/>
      <c r="J50" s="39">
        <v>255</v>
      </c>
      <c r="K50" s="39"/>
      <c r="L50" s="39"/>
      <c r="M50" s="39"/>
      <c r="N50" s="39"/>
      <c r="O50" s="39"/>
      <c r="P50" s="39"/>
      <c r="Q50" s="39"/>
      <c r="R50" s="39">
        <v>510</v>
      </c>
      <c r="S50" s="39"/>
      <c r="T50" s="39"/>
      <c r="U50" s="39"/>
      <c r="V50" s="36">
        <f t="shared" si="0"/>
        <v>765</v>
      </c>
      <c r="W50" s="36">
        <f t="shared" si="1"/>
        <v>9</v>
      </c>
    </row>
    <row r="51" spans="1:23" x14ac:dyDescent="0.2">
      <c r="A51" s="32">
        <v>34</v>
      </c>
      <c r="B51" s="33" t="s">
        <v>272</v>
      </c>
      <c r="C51" s="34" t="s">
        <v>275</v>
      </c>
      <c r="D51" s="32">
        <v>5</v>
      </c>
      <c r="E51" s="35">
        <v>75</v>
      </c>
      <c r="F51" s="35"/>
      <c r="G51" s="35"/>
      <c r="H51" s="35"/>
      <c r="I51" s="35"/>
      <c r="J51" s="35">
        <v>150</v>
      </c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2">
        <f t="shared" si="0"/>
        <v>150</v>
      </c>
      <c r="W51" s="32">
        <f t="shared" si="1"/>
        <v>2</v>
      </c>
    </row>
    <row r="52" spans="1:23" s="28" customFormat="1" x14ac:dyDescent="0.2">
      <c r="A52" s="36">
        <v>35</v>
      </c>
      <c r="B52" s="37" t="s">
        <v>273</v>
      </c>
      <c r="C52" s="38" t="s">
        <v>276</v>
      </c>
      <c r="D52" s="36">
        <v>5</v>
      </c>
      <c r="E52" s="39">
        <v>45</v>
      </c>
      <c r="F52" s="39"/>
      <c r="G52" s="39"/>
      <c r="H52" s="39"/>
      <c r="I52" s="39"/>
      <c r="J52" s="39">
        <v>315</v>
      </c>
      <c r="K52" s="39"/>
      <c r="L52" s="39"/>
      <c r="M52" s="39"/>
      <c r="N52" s="39"/>
      <c r="O52" s="39"/>
      <c r="P52" s="39"/>
      <c r="Q52" s="39">
        <v>270</v>
      </c>
      <c r="R52" s="39"/>
      <c r="S52" s="39"/>
      <c r="T52" s="39"/>
      <c r="U52" s="39"/>
      <c r="V52" s="36">
        <f t="shared" si="0"/>
        <v>585</v>
      </c>
      <c r="W52" s="36">
        <f t="shared" si="1"/>
        <v>13</v>
      </c>
    </row>
    <row r="53" spans="1:23" x14ac:dyDescent="0.2">
      <c r="A53" s="32"/>
      <c r="B53" s="33"/>
      <c r="C53" s="34"/>
      <c r="D53" s="32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2"/>
      <c r="W53" s="32"/>
    </row>
    <row r="54" spans="1:23" x14ac:dyDescent="0.2">
      <c r="A54" s="410" t="s">
        <v>135</v>
      </c>
      <c r="B54" s="414"/>
      <c r="C54" s="414"/>
      <c r="D54" s="414"/>
      <c r="E54" s="411"/>
      <c r="F54" s="127">
        <f t="shared" ref="F54:V54" si="2">SUM(F7:F53)</f>
        <v>63480</v>
      </c>
      <c r="G54" s="127">
        <f t="shared" si="2"/>
        <v>25200</v>
      </c>
      <c r="H54" s="127">
        <f t="shared" si="2"/>
        <v>60870</v>
      </c>
      <c r="I54" s="127">
        <f t="shared" si="2"/>
        <v>18560</v>
      </c>
      <c r="J54" s="127">
        <f t="shared" si="2"/>
        <v>105450</v>
      </c>
      <c r="K54" s="127">
        <f t="shared" si="2"/>
        <v>130340</v>
      </c>
      <c r="L54" s="127">
        <f t="shared" si="2"/>
        <v>103980</v>
      </c>
      <c r="M54" s="127">
        <f t="shared" si="2"/>
        <v>6000</v>
      </c>
      <c r="N54" s="127">
        <f t="shared" si="2"/>
        <v>82420</v>
      </c>
      <c r="O54" s="127">
        <f t="shared" si="2"/>
        <v>91850</v>
      </c>
      <c r="P54" s="127">
        <f t="shared" si="2"/>
        <v>59340</v>
      </c>
      <c r="Q54" s="139">
        <f t="shared" ref="Q54" si="3">SUM(Q7:Q53)</f>
        <v>7470</v>
      </c>
      <c r="R54" s="143">
        <f t="shared" si="2"/>
        <v>62150</v>
      </c>
      <c r="S54" s="147">
        <f t="shared" si="2"/>
        <v>54500</v>
      </c>
      <c r="T54" s="151">
        <f t="shared" si="2"/>
        <v>30830</v>
      </c>
      <c r="U54" s="155">
        <f t="shared" si="2"/>
        <v>114470</v>
      </c>
      <c r="V54" s="127">
        <f t="shared" si="2"/>
        <v>1016910</v>
      </c>
      <c r="W54" s="10"/>
    </row>
    <row r="55" spans="1:23" x14ac:dyDescent="0.2">
      <c r="A55" s="421" t="s">
        <v>184</v>
      </c>
      <c r="B55" s="421"/>
      <c r="C55" s="421"/>
      <c r="D55" s="421"/>
      <c r="E55" s="421"/>
      <c r="W55" s="17">
        <f>SUM(W7:W53)</f>
        <v>1829</v>
      </c>
    </row>
    <row r="56" spans="1:23" x14ac:dyDescent="0.2">
      <c r="W56" s="78">
        <f>SUM(F3:U3)</f>
        <v>1829</v>
      </c>
    </row>
  </sheetData>
  <mergeCells count="7">
    <mergeCell ref="A55:E55"/>
    <mergeCell ref="A1:E1"/>
    <mergeCell ref="V1:W1"/>
    <mergeCell ref="A2:E2"/>
    <mergeCell ref="D3:E3"/>
    <mergeCell ref="D4:E4"/>
    <mergeCell ref="A54:E54"/>
  </mergeCells>
  <pageMargins left="0.51181102362204722" right="0.51181102362204722" top="0.51181102362204722" bottom="0.51181102362204722" header="0" footer="0"/>
  <pageSetup paperSize="9" scale="65" orientation="landscape" blackAndWhite="1" horizontalDpi="4294967295" verticalDpi="18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0"/>
  <sheetViews>
    <sheetView zoomScaleNormal="100" workbookViewId="0">
      <pane xSplit="5" ySplit="5" topLeftCell="Q45" activePane="bottomRight" state="frozenSplit"/>
      <selection pane="topRight" activeCell="G1" sqref="G1"/>
      <selection pane="bottomLeft" activeCell="A17" sqref="A17"/>
      <selection pane="bottomRight" activeCell="S7" sqref="S7"/>
    </sheetView>
  </sheetViews>
  <sheetFormatPr defaultRowHeight="12.75" x14ac:dyDescent="0.2"/>
  <cols>
    <col min="1" max="1" width="4.28515625" bestFit="1" customWidth="1"/>
    <col min="2" max="2" width="10.85546875" bestFit="1" customWidth="1"/>
    <col min="3" max="3" width="34.5703125" bestFit="1" customWidth="1"/>
    <col min="4" max="4" width="5.85546875" bestFit="1" customWidth="1"/>
    <col min="5" max="5" width="5" bestFit="1" customWidth="1"/>
    <col min="6" max="7" width="9.140625" bestFit="1" customWidth="1"/>
    <col min="8" max="8" width="10.140625" bestFit="1" customWidth="1"/>
    <col min="9" max="9" width="9.140625" bestFit="1" customWidth="1"/>
    <col min="10" max="16" width="10.140625" bestFit="1" customWidth="1"/>
    <col min="17" max="17" width="10.5703125" style="16" bestFit="1" customWidth="1"/>
    <col min="18" max="18" width="9.28515625" style="16" bestFit="1" customWidth="1"/>
  </cols>
  <sheetData>
    <row r="1" spans="1:18" x14ac:dyDescent="0.2">
      <c r="A1" s="415" t="s">
        <v>331</v>
      </c>
      <c r="B1" s="422"/>
      <c r="C1" s="422"/>
      <c r="D1" s="422"/>
      <c r="E1" s="423"/>
      <c r="F1" s="162">
        <v>3334</v>
      </c>
      <c r="G1" s="162">
        <v>3335</v>
      </c>
      <c r="H1" s="162">
        <v>3336</v>
      </c>
      <c r="I1" s="160">
        <v>3339</v>
      </c>
      <c r="J1" s="160">
        <v>3342</v>
      </c>
      <c r="K1" s="160">
        <v>3345</v>
      </c>
      <c r="L1" s="160">
        <v>3350</v>
      </c>
      <c r="M1" s="160">
        <v>3351</v>
      </c>
      <c r="N1" s="160">
        <v>3353</v>
      </c>
      <c r="O1" s="160">
        <v>3355</v>
      </c>
      <c r="P1" s="160">
        <v>3362</v>
      </c>
      <c r="Q1" s="408" t="s">
        <v>138</v>
      </c>
      <c r="R1" s="408"/>
    </row>
    <row r="2" spans="1:18" x14ac:dyDescent="0.2">
      <c r="A2" s="410" t="s">
        <v>42</v>
      </c>
      <c r="B2" s="422"/>
      <c r="C2" s="422"/>
      <c r="D2" s="422"/>
      <c r="E2" s="423"/>
      <c r="F2" s="164" t="s">
        <v>344</v>
      </c>
      <c r="G2" s="164" t="s">
        <v>345</v>
      </c>
      <c r="H2" s="165" t="s">
        <v>346</v>
      </c>
      <c r="I2" s="167" t="s">
        <v>347</v>
      </c>
      <c r="J2" s="168" t="s">
        <v>348</v>
      </c>
      <c r="K2" s="169" t="s">
        <v>351</v>
      </c>
      <c r="L2" s="162" t="s">
        <v>352</v>
      </c>
      <c r="M2" s="162" t="s">
        <v>353</v>
      </c>
      <c r="N2" s="162" t="s">
        <v>354</v>
      </c>
      <c r="O2" s="162" t="s">
        <v>355</v>
      </c>
      <c r="P2" s="171" t="s">
        <v>356</v>
      </c>
      <c r="Q2" s="159" t="s">
        <v>116</v>
      </c>
      <c r="R2" s="18" t="s">
        <v>5</v>
      </c>
    </row>
    <row r="3" spans="1:18" x14ac:dyDescent="0.2">
      <c r="A3" s="161"/>
      <c r="B3" s="161"/>
      <c r="C3" s="161"/>
      <c r="D3" s="410" t="s">
        <v>140</v>
      </c>
      <c r="E3" s="414"/>
      <c r="F3" s="162">
        <v>118</v>
      </c>
      <c r="G3" s="162">
        <v>56</v>
      </c>
      <c r="H3" s="162">
        <v>155</v>
      </c>
      <c r="I3" s="162">
        <v>112</v>
      </c>
      <c r="J3" s="162">
        <v>111</v>
      </c>
      <c r="K3" s="162">
        <v>153</v>
      </c>
      <c r="L3" s="162">
        <v>93</v>
      </c>
      <c r="M3" s="162">
        <v>70</v>
      </c>
      <c r="N3" s="162">
        <v>133</v>
      </c>
      <c r="O3" s="162">
        <v>152</v>
      </c>
      <c r="P3" s="162">
        <v>276</v>
      </c>
      <c r="Q3" s="10"/>
      <c r="R3" s="10"/>
    </row>
    <row r="4" spans="1:18" ht="25.5" x14ac:dyDescent="0.2">
      <c r="A4" s="9" t="s">
        <v>1</v>
      </c>
      <c r="B4" s="4" t="s">
        <v>2</v>
      </c>
      <c r="C4" s="4" t="s">
        <v>0</v>
      </c>
      <c r="D4" s="408" t="s">
        <v>3</v>
      </c>
      <c r="E4" s="415"/>
      <c r="F4" s="160" t="s">
        <v>116</v>
      </c>
      <c r="G4" s="160" t="s">
        <v>116</v>
      </c>
      <c r="H4" s="160" t="s">
        <v>116</v>
      </c>
      <c r="I4" s="160" t="s">
        <v>116</v>
      </c>
      <c r="J4" s="162" t="s">
        <v>116</v>
      </c>
      <c r="K4" s="162" t="s">
        <v>116</v>
      </c>
      <c r="L4" s="162" t="s">
        <v>116</v>
      </c>
      <c r="M4" s="162" t="s">
        <v>116</v>
      </c>
      <c r="N4" s="162" t="s">
        <v>116</v>
      </c>
      <c r="O4" s="162" t="s">
        <v>116</v>
      </c>
      <c r="P4" s="162" t="s">
        <v>116</v>
      </c>
      <c r="Q4" s="10"/>
      <c r="R4" s="10"/>
    </row>
    <row r="5" spans="1:18" x14ac:dyDescent="0.2">
      <c r="A5" s="10"/>
      <c r="B5" s="2"/>
      <c r="C5" s="2"/>
      <c r="D5" s="159" t="s">
        <v>4</v>
      </c>
      <c r="E5" s="163" t="s">
        <v>5</v>
      </c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0"/>
      <c r="R5" s="10"/>
    </row>
    <row r="6" spans="1:18" x14ac:dyDescent="0.2">
      <c r="A6" s="29"/>
      <c r="B6" s="30"/>
      <c r="C6" s="30"/>
      <c r="D6" s="2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29"/>
      <c r="R6" s="29"/>
    </row>
    <row r="7" spans="1:18" x14ac:dyDescent="0.2">
      <c r="A7" s="32" t="s">
        <v>222</v>
      </c>
      <c r="B7" s="33" t="s">
        <v>85</v>
      </c>
      <c r="C7" s="34" t="s">
        <v>6</v>
      </c>
      <c r="D7" s="32">
        <v>100</v>
      </c>
      <c r="E7" s="35">
        <v>2000</v>
      </c>
      <c r="F7" s="35"/>
      <c r="G7" s="35"/>
      <c r="H7" s="35"/>
      <c r="I7" s="35"/>
      <c r="J7" s="35">
        <v>10000</v>
      </c>
      <c r="K7" s="35">
        <v>16000</v>
      </c>
      <c r="L7" s="35"/>
      <c r="M7" s="35"/>
      <c r="N7" s="35"/>
      <c r="O7" s="35"/>
      <c r="P7" s="35">
        <v>50000</v>
      </c>
      <c r="Q7" s="32">
        <f t="shared" ref="Q7:Q38" si="0">SUM(F7:P7)</f>
        <v>76000</v>
      </c>
      <c r="R7" s="32">
        <f t="shared" ref="R7:R38" si="1">Q7/E7</f>
        <v>38</v>
      </c>
    </row>
    <row r="8" spans="1:18" s="28" customFormat="1" x14ac:dyDescent="0.2">
      <c r="A8" s="36">
        <v>2</v>
      </c>
      <c r="B8" s="37" t="s">
        <v>81</v>
      </c>
      <c r="C8" s="38" t="s">
        <v>7</v>
      </c>
      <c r="D8" s="36">
        <v>100</v>
      </c>
      <c r="E8" s="39">
        <v>2000</v>
      </c>
      <c r="F8" s="39"/>
      <c r="G8" s="39">
        <v>10000</v>
      </c>
      <c r="H8" s="39"/>
      <c r="I8" s="39"/>
      <c r="J8" s="39"/>
      <c r="K8" s="39">
        <v>10000</v>
      </c>
      <c r="L8" s="39"/>
      <c r="M8" s="39"/>
      <c r="N8" s="39">
        <v>10000</v>
      </c>
      <c r="O8" s="39">
        <v>10000</v>
      </c>
      <c r="P8" s="39">
        <v>14000</v>
      </c>
      <c r="Q8" s="36">
        <f t="shared" si="0"/>
        <v>54000</v>
      </c>
      <c r="R8" s="36">
        <f t="shared" si="1"/>
        <v>27</v>
      </c>
    </row>
    <row r="9" spans="1:18" x14ac:dyDescent="0.2">
      <c r="A9" s="32">
        <v>3</v>
      </c>
      <c r="B9" s="33" t="s">
        <v>86</v>
      </c>
      <c r="C9" s="34" t="s">
        <v>8</v>
      </c>
      <c r="D9" s="32">
        <v>50</v>
      </c>
      <c r="E9" s="35">
        <v>1100</v>
      </c>
      <c r="F9" s="35">
        <v>14300</v>
      </c>
      <c r="G9" s="35"/>
      <c r="H9" s="35"/>
      <c r="I9" s="35"/>
      <c r="J9" s="35"/>
      <c r="K9" s="35">
        <v>11000</v>
      </c>
      <c r="L9" s="35"/>
      <c r="M9" s="35"/>
      <c r="N9" s="35"/>
      <c r="O9" s="35">
        <v>11000</v>
      </c>
      <c r="P9" s="35">
        <v>28600</v>
      </c>
      <c r="Q9" s="32">
        <f t="shared" si="0"/>
        <v>64900</v>
      </c>
      <c r="R9" s="32">
        <f t="shared" si="1"/>
        <v>59</v>
      </c>
    </row>
    <row r="10" spans="1:18" s="28" customFormat="1" x14ac:dyDescent="0.2">
      <c r="A10" s="36">
        <v>4</v>
      </c>
      <c r="B10" s="37" t="s">
        <v>87</v>
      </c>
      <c r="C10" s="38" t="s">
        <v>9</v>
      </c>
      <c r="D10" s="36">
        <v>50</v>
      </c>
      <c r="E10" s="39">
        <v>1000</v>
      </c>
      <c r="F10" s="39"/>
      <c r="G10" s="39">
        <v>6000</v>
      </c>
      <c r="H10" s="39"/>
      <c r="I10" s="39">
        <v>10000</v>
      </c>
      <c r="J10" s="39">
        <v>10000</v>
      </c>
      <c r="K10" s="39">
        <v>10000</v>
      </c>
      <c r="L10" s="39">
        <v>10000</v>
      </c>
      <c r="M10" s="39">
        <v>5000</v>
      </c>
      <c r="N10" s="39">
        <v>5000</v>
      </c>
      <c r="O10" s="39"/>
      <c r="P10" s="39"/>
      <c r="Q10" s="36">
        <f t="shared" si="0"/>
        <v>56000</v>
      </c>
      <c r="R10" s="36">
        <f t="shared" si="1"/>
        <v>56</v>
      </c>
    </row>
    <row r="11" spans="1:18" s="28" customFormat="1" x14ac:dyDescent="0.2">
      <c r="A11" s="36"/>
      <c r="B11" s="37" t="s">
        <v>87</v>
      </c>
      <c r="C11" s="38" t="s">
        <v>9</v>
      </c>
      <c r="D11" s="36">
        <v>50</v>
      </c>
      <c r="E11" s="39">
        <v>1000</v>
      </c>
      <c r="F11" s="39"/>
      <c r="G11" s="39"/>
      <c r="H11" s="39"/>
      <c r="I11" s="39"/>
      <c r="J11" s="39"/>
      <c r="K11" s="39"/>
      <c r="L11" s="39"/>
      <c r="M11" s="39"/>
      <c r="N11" s="39">
        <v>10000</v>
      </c>
      <c r="O11" s="39">
        <v>10000</v>
      </c>
      <c r="P11" s="39">
        <v>10000</v>
      </c>
      <c r="Q11" s="36">
        <f t="shared" si="0"/>
        <v>30000</v>
      </c>
      <c r="R11" s="36">
        <f t="shared" si="1"/>
        <v>30</v>
      </c>
    </row>
    <row r="12" spans="1:18" x14ac:dyDescent="0.2">
      <c r="A12" s="32">
        <v>5</v>
      </c>
      <c r="B12" s="33" t="s">
        <v>82</v>
      </c>
      <c r="C12" s="34" t="s">
        <v>10</v>
      </c>
      <c r="D12" s="32">
        <v>50</v>
      </c>
      <c r="E12" s="35">
        <v>800</v>
      </c>
      <c r="F12" s="35">
        <v>4000</v>
      </c>
      <c r="G12" s="35"/>
      <c r="H12" s="35"/>
      <c r="I12" s="35">
        <v>6400</v>
      </c>
      <c r="J12" s="35"/>
      <c r="K12" s="35"/>
      <c r="L12" s="35"/>
      <c r="M12" s="35">
        <v>8000</v>
      </c>
      <c r="N12" s="35"/>
      <c r="O12" s="35">
        <v>6400</v>
      </c>
      <c r="P12" s="35">
        <v>3200</v>
      </c>
      <c r="Q12" s="32">
        <f t="shared" si="0"/>
        <v>28000</v>
      </c>
      <c r="R12" s="32">
        <f t="shared" si="1"/>
        <v>35</v>
      </c>
    </row>
    <row r="13" spans="1:18" s="28" customFormat="1" x14ac:dyDescent="0.2">
      <c r="A13" s="36">
        <v>6</v>
      </c>
      <c r="B13" s="37" t="s">
        <v>89</v>
      </c>
      <c r="C13" s="38" t="s">
        <v>11</v>
      </c>
      <c r="D13" s="36">
        <v>50</v>
      </c>
      <c r="E13" s="39">
        <v>600</v>
      </c>
      <c r="F13" s="39">
        <v>4800</v>
      </c>
      <c r="G13" s="39"/>
      <c r="H13" s="39"/>
      <c r="I13" s="39">
        <v>4800</v>
      </c>
      <c r="J13" s="39">
        <v>6000</v>
      </c>
      <c r="K13" s="39">
        <v>12000</v>
      </c>
      <c r="L13" s="39">
        <v>3600</v>
      </c>
      <c r="M13" s="39"/>
      <c r="N13" s="39">
        <v>6000</v>
      </c>
      <c r="O13" s="39"/>
      <c r="P13" s="39">
        <v>6000</v>
      </c>
      <c r="Q13" s="36">
        <f t="shared" si="0"/>
        <v>43200</v>
      </c>
      <c r="R13" s="36">
        <f t="shared" si="1"/>
        <v>72</v>
      </c>
    </row>
    <row r="14" spans="1:18" x14ac:dyDescent="0.2">
      <c r="A14" s="32" t="s">
        <v>12</v>
      </c>
      <c r="B14" s="48" t="s">
        <v>214</v>
      </c>
      <c r="C14" s="34" t="s">
        <v>213</v>
      </c>
      <c r="D14" s="32">
        <v>50</v>
      </c>
      <c r="E14" s="35">
        <v>600</v>
      </c>
      <c r="F14" s="35"/>
      <c r="G14" s="35"/>
      <c r="H14" s="35"/>
      <c r="I14" s="35">
        <v>2400</v>
      </c>
      <c r="J14" s="35">
        <v>6000</v>
      </c>
      <c r="K14" s="35">
        <v>3600</v>
      </c>
      <c r="L14" s="35">
        <v>5400</v>
      </c>
      <c r="M14" s="35"/>
      <c r="N14" s="35">
        <v>3000</v>
      </c>
      <c r="O14" s="35"/>
      <c r="P14" s="35">
        <v>1800</v>
      </c>
      <c r="Q14" s="32">
        <f t="shared" si="0"/>
        <v>22200</v>
      </c>
      <c r="R14" s="32">
        <f t="shared" si="1"/>
        <v>37</v>
      </c>
    </row>
    <row r="15" spans="1:18" s="28" customFormat="1" x14ac:dyDescent="0.2">
      <c r="A15" s="36">
        <v>7</v>
      </c>
      <c r="B15" s="37" t="s">
        <v>88</v>
      </c>
      <c r="C15" s="38" t="s">
        <v>14</v>
      </c>
      <c r="D15" s="36">
        <v>10</v>
      </c>
      <c r="E15" s="39">
        <v>400</v>
      </c>
      <c r="F15" s="39">
        <v>1200</v>
      </c>
      <c r="G15" s="39"/>
      <c r="H15" s="39"/>
      <c r="I15" s="39">
        <v>1200</v>
      </c>
      <c r="J15" s="39"/>
      <c r="K15" s="39"/>
      <c r="L15" s="39">
        <v>1600</v>
      </c>
      <c r="M15" s="39"/>
      <c r="N15" s="39"/>
      <c r="O15" s="39"/>
      <c r="P15" s="39">
        <v>1200</v>
      </c>
      <c r="Q15" s="36">
        <f t="shared" si="0"/>
        <v>5200</v>
      </c>
      <c r="R15" s="36">
        <f t="shared" si="1"/>
        <v>13</v>
      </c>
    </row>
    <row r="16" spans="1:18" x14ac:dyDescent="0.2">
      <c r="A16" s="32">
        <v>8</v>
      </c>
      <c r="B16" s="33" t="s">
        <v>90</v>
      </c>
      <c r="C16" s="34" t="s">
        <v>15</v>
      </c>
      <c r="D16" s="32">
        <v>10</v>
      </c>
      <c r="E16" s="35">
        <v>400</v>
      </c>
      <c r="F16" s="35">
        <v>8000</v>
      </c>
      <c r="G16" s="35"/>
      <c r="H16" s="35"/>
      <c r="I16" s="35">
        <v>8000</v>
      </c>
      <c r="J16" s="35"/>
      <c r="K16" s="35"/>
      <c r="L16" s="35">
        <v>8000</v>
      </c>
      <c r="M16" s="35"/>
      <c r="N16" s="35">
        <v>8000</v>
      </c>
      <c r="O16" s="35"/>
      <c r="P16" s="35">
        <v>4000</v>
      </c>
      <c r="Q16" s="32">
        <f t="shared" si="0"/>
        <v>36000</v>
      </c>
      <c r="R16" s="32">
        <f t="shared" si="1"/>
        <v>90</v>
      </c>
    </row>
    <row r="17" spans="1:18" s="28" customFormat="1" x14ac:dyDescent="0.2">
      <c r="A17" s="36">
        <v>9</v>
      </c>
      <c r="B17" s="37" t="s">
        <v>91</v>
      </c>
      <c r="C17" s="38" t="s">
        <v>16</v>
      </c>
      <c r="D17" s="36">
        <v>10</v>
      </c>
      <c r="E17" s="39">
        <v>300</v>
      </c>
      <c r="F17" s="39"/>
      <c r="G17" s="39"/>
      <c r="H17" s="39">
        <v>15000</v>
      </c>
      <c r="I17" s="39"/>
      <c r="J17" s="39"/>
      <c r="K17" s="39">
        <v>12000</v>
      </c>
      <c r="L17" s="39"/>
      <c r="M17" s="39">
        <v>9000</v>
      </c>
      <c r="N17" s="39">
        <v>1800</v>
      </c>
      <c r="O17" s="39">
        <v>3000</v>
      </c>
      <c r="P17" s="39">
        <v>6000</v>
      </c>
      <c r="Q17" s="36">
        <f t="shared" si="0"/>
        <v>46800</v>
      </c>
      <c r="R17" s="36">
        <f t="shared" si="1"/>
        <v>156</v>
      </c>
    </row>
    <row r="18" spans="1:18" x14ac:dyDescent="0.2">
      <c r="A18" s="32" t="s">
        <v>17</v>
      </c>
      <c r="B18" s="40">
        <v>90441300</v>
      </c>
      <c r="C18" s="34" t="s">
        <v>179</v>
      </c>
      <c r="D18" s="32">
        <v>10</v>
      </c>
      <c r="E18" s="35">
        <v>300</v>
      </c>
      <c r="F18" s="35"/>
      <c r="G18" s="35">
        <v>1200</v>
      </c>
      <c r="H18" s="35">
        <v>6000</v>
      </c>
      <c r="I18" s="35"/>
      <c r="J18" s="35"/>
      <c r="K18" s="35">
        <v>6000</v>
      </c>
      <c r="L18" s="35"/>
      <c r="M18" s="35"/>
      <c r="N18" s="35">
        <v>3000</v>
      </c>
      <c r="O18" s="35">
        <v>6000</v>
      </c>
      <c r="P18" s="35">
        <v>3000</v>
      </c>
      <c r="Q18" s="32">
        <f t="shared" si="0"/>
        <v>25200</v>
      </c>
      <c r="R18" s="32">
        <f t="shared" si="1"/>
        <v>84</v>
      </c>
    </row>
    <row r="19" spans="1:18" s="28" customFormat="1" x14ac:dyDescent="0.2">
      <c r="A19" s="36" t="s">
        <v>180</v>
      </c>
      <c r="B19" s="37" t="s">
        <v>168</v>
      </c>
      <c r="C19" s="76" t="s">
        <v>169</v>
      </c>
      <c r="D19" s="36">
        <v>10</v>
      </c>
      <c r="E19" s="39">
        <v>300</v>
      </c>
      <c r="F19" s="39">
        <v>3000</v>
      </c>
      <c r="G19" s="39"/>
      <c r="H19" s="39"/>
      <c r="I19" s="39"/>
      <c r="J19" s="39">
        <v>3000</v>
      </c>
      <c r="K19" s="39"/>
      <c r="L19" s="39">
        <v>3000</v>
      </c>
      <c r="M19" s="39"/>
      <c r="N19" s="39"/>
      <c r="O19" s="39"/>
      <c r="P19" s="39">
        <v>3000</v>
      </c>
      <c r="Q19" s="36">
        <f t="shared" si="0"/>
        <v>12000</v>
      </c>
      <c r="R19" s="36">
        <f t="shared" si="1"/>
        <v>40</v>
      </c>
    </row>
    <row r="20" spans="1:18" x14ac:dyDescent="0.2">
      <c r="A20" s="32">
        <v>10</v>
      </c>
      <c r="B20" s="33" t="s">
        <v>94</v>
      </c>
      <c r="C20" s="34" t="s">
        <v>19</v>
      </c>
      <c r="D20" s="41">
        <v>10</v>
      </c>
      <c r="E20" s="35">
        <v>130</v>
      </c>
      <c r="F20" s="35"/>
      <c r="G20" s="35"/>
      <c r="H20" s="35"/>
      <c r="I20" s="35">
        <v>390</v>
      </c>
      <c r="J20" s="35"/>
      <c r="K20" s="35">
        <v>260</v>
      </c>
      <c r="L20" s="35"/>
      <c r="M20" s="35"/>
      <c r="N20" s="35"/>
      <c r="O20" s="35">
        <v>260</v>
      </c>
      <c r="P20" s="35"/>
      <c r="Q20" s="32">
        <f t="shared" si="0"/>
        <v>910</v>
      </c>
      <c r="R20" s="32">
        <f t="shared" si="1"/>
        <v>7</v>
      </c>
    </row>
    <row r="21" spans="1:18" s="28" customFormat="1" x14ac:dyDescent="0.2">
      <c r="A21" s="36"/>
      <c r="B21" s="37" t="s">
        <v>92</v>
      </c>
      <c r="C21" s="38" t="s">
        <v>287</v>
      </c>
      <c r="D21" s="115">
        <v>10</v>
      </c>
      <c r="E21" s="39">
        <v>110</v>
      </c>
      <c r="F21" s="39">
        <v>440</v>
      </c>
      <c r="G21" s="39"/>
      <c r="H21" s="39"/>
      <c r="I21" s="39">
        <v>440</v>
      </c>
      <c r="J21" s="39"/>
      <c r="K21" s="39"/>
      <c r="L21" s="39"/>
      <c r="M21" s="39"/>
      <c r="N21" s="39"/>
      <c r="O21" s="39">
        <v>550</v>
      </c>
      <c r="P21" s="39"/>
      <c r="Q21" s="36">
        <f t="shared" si="0"/>
        <v>1430</v>
      </c>
      <c r="R21" s="36">
        <f t="shared" si="1"/>
        <v>13</v>
      </c>
    </row>
    <row r="22" spans="1:18" x14ac:dyDescent="0.2">
      <c r="A22" s="32">
        <v>12</v>
      </c>
      <c r="B22" s="33" t="s">
        <v>95</v>
      </c>
      <c r="C22" s="34" t="s">
        <v>21</v>
      </c>
      <c r="D22" s="32">
        <v>10</v>
      </c>
      <c r="E22" s="35">
        <v>80</v>
      </c>
      <c r="F22" s="35"/>
      <c r="G22" s="35"/>
      <c r="H22" s="35">
        <v>480</v>
      </c>
      <c r="I22" s="35"/>
      <c r="J22" s="35"/>
      <c r="K22" s="35"/>
      <c r="L22" s="35"/>
      <c r="M22" s="35"/>
      <c r="N22" s="35"/>
      <c r="O22" s="35">
        <v>960</v>
      </c>
      <c r="P22" s="35">
        <v>480</v>
      </c>
      <c r="Q22" s="32">
        <f t="shared" si="0"/>
        <v>1920</v>
      </c>
      <c r="R22" s="32">
        <f t="shared" si="1"/>
        <v>24</v>
      </c>
    </row>
    <row r="23" spans="1:18" s="28" customFormat="1" x14ac:dyDescent="0.2">
      <c r="A23" s="36">
        <v>13</v>
      </c>
      <c r="B23" s="37" t="s">
        <v>99</v>
      </c>
      <c r="C23" s="38" t="s">
        <v>22</v>
      </c>
      <c r="D23" s="36">
        <v>100</v>
      </c>
      <c r="E23" s="39">
        <v>1200</v>
      </c>
      <c r="F23" s="39"/>
      <c r="G23" s="39">
        <v>24000</v>
      </c>
      <c r="H23" s="39"/>
      <c r="I23" s="39">
        <v>12000</v>
      </c>
      <c r="J23" s="39">
        <v>6000</v>
      </c>
      <c r="K23" s="39"/>
      <c r="L23" s="39"/>
      <c r="M23" s="39">
        <v>4800</v>
      </c>
      <c r="N23" s="39">
        <v>12000</v>
      </c>
      <c r="O23" s="39">
        <v>12000</v>
      </c>
      <c r="P23" s="39">
        <v>43200</v>
      </c>
      <c r="Q23" s="36">
        <f t="shared" si="0"/>
        <v>114000</v>
      </c>
      <c r="R23" s="36">
        <f t="shared" si="1"/>
        <v>95</v>
      </c>
    </row>
    <row r="24" spans="1:18" x14ac:dyDescent="0.2">
      <c r="A24" s="32">
        <v>14</v>
      </c>
      <c r="B24" s="33" t="s">
        <v>102</v>
      </c>
      <c r="C24" s="34" t="s">
        <v>23</v>
      </c>
      <c r="D24" s="32">
        <v>100</v>
      </c>
      <c r="E24" s="35">
        <v>1000</v>
      </c>
      <c r="F24" s="35"/>
      <c r="G24" s="35">
        <v>5000</v>
      </c>
      <c r="H24" s="35"/>
      <c r="I24" s="35">
        <v>5000</v>
      </c>
      <c r="J24" s="35"/>
      <c r="K24" s="35">
        <v>4000</v>
      </c>
      <c r="L24" s="35"/>
      <c r="M24" s="35"/>
      <c r="N24" s="35"/>
      <c r="O24" s="35"/>
      <c r="P24" s="35">
        <v>7000</v>
      </c>
      <c r="Q24" s="32">
        <f t="shared" si="0"/>
        <v>21000</v>
      </c>
      <c r="R24" s="32">
        <f t="shared" si="1"/>
        <v>21</v>
      </c>
    </row>
    <row r="25" spans="1:18" s="28" customFormat="1" x14ac:dyDescent="0.2">
      <c r="A25" s="36">
        <v>15</v>
      </c>
      <c r="B25" s="37" t="s">
        <v>97</v>
      </c>
      <c r="C25" s="38" t="s">
        <v>24</v>
      </c>
      <c r="D25" s="36">
        <v>50</v>
      </c>
      <c r="E25" s="39">
        <v>2800</v>
      </c>
      <c r="F25" s="39"/>
      <c r="G25" s="39">
        <v>5600</v>
      </c>
      <c r="H25" s="39"/>
      <c r="I25" s="39"/>
      <c r="J25" s="39">
        <v>5600</v>
      </c>
      <c r="K25" s="39"/>
      <c r="L25" s="39"/>
      <c r="M25" s="39"/>
      <c r="N25" s="39">
        <v>5600</v>
      </c>
      <c r="O25" s="39">
        <v>11200</v>
      </c>
      <c r="P25" s="39"/>
      <c r="Q25" s="36">
        <f t="shared" si="0"/>
        <v>28000</v>
      </c>
      <c r="R25" s="36">
        <f t="shared" si="1"/>
        <v>10</v>
      </c>
    </row>
    <row r="26" spans="1:18" x14ac:dyDescent="0.2">
      <c r="A26" s="32">
        <v>16</v>
      </c>
      <c r="B26" s="33" t="s">
        <v>98</v>
      </c>
      <c r="C26" s="34" t="s">
        <v>25</v>
      </c>
      <c r="D26" s="32">
        <v>50</v>
      </c>
      <c r="E26" s="35">
        <v>550</v>
      </c>
      <c r="F26" s="35">
        <v>5500</v>
      </c>
      <c r="G26" s="35"/>
      <c r="H26" s="35"/>
      <c r="I26" s="35">
        <v>3300</v>
      </c>
      <c r="J26" s="35"/>
      <c r="K26" s="35"/>
      <c r="L26" s="35">
        <v>5500</v>
      </c>
      <c r="M26" s="35"/>
      <c r="N26" s="35"/>
      <c r="O26" s="35"/>
      <c r="P26" s="35">
        <v>1650</v>
      </c>
      <c r="Q26" s="32">
        <f t="shared" si="0"/>
        <v>15950</v>
      </c>
      <c r="R26" s="32">
        <f t="shared" si="1"/>
        <v>29</v>
      </c>
    </row>
    <row r="27" spans="1:18" s="28" customFormat="1" x14ac:dyDescent="0.2">
      <c r="A27" s="36" t="s">
        <v>141</v>
      </c>
      <c r="B27" s="37" t="s">
        <v>142</v>
      </c>
      <c r="C27" s="38" t="s">
        <v>143</v>
      </c>
      <c r="D27" s="36">
        <v>50</v>
      </c>
      <c r="E27" s="39">
        <v>550</v>
      </c>
      <c r="F27" s="39">
        <v>5500</v>
      </c>
      <c r="G27" s="39"/>
      <c r="H27" s="39"/>
      <c r="I27" s="39">
        <v>3300</v>
      </c>
      <c r="J27" s="39"/>
      <c r="K27" s="39"/>
      <c r="L27" s="39">
        <v>5500</v>
      </c>
      <c r="M27" s="39"/>
      <c r="N27" s="39"/>
      <c r="O27" s="39"/>
      <c r="P27" s="39">
        <v>1650</v>
      </c>
      <c r="Q27" s="36">
        <f t="shared" si="0"/>
        <v>15950</v>
      </c>
      <c r="R27" s="36">
        <f t="shared" si="1"/>
        <v>29</v>
      </c>
    </row>
    <row r="28" spans="1:18" x14ac:dyDescent="0.2">
      <c r="A28" s="32" t="s">
        <v>181</v>
      </c>
      <c r="B28" s="33" t="s">
        <v>170</v>
      </c>
      <c r="C28" s="34" t="s">
        <v>171</v>
      </c>
      <c r="D28" s="32">
        <v>10</v>
      </c>
      <c r="E28" s="35">
        <v>1200</v>
      </c>
      <c r="F28" s="35"/>
      <c r="G28" s="35">
        <v>6000</v>
      </c>
      <c r="H28" s="35"/>
      <c r="I28" s="35"/>
      <c r="J28" s="35">
        <v>6000</v>
      </c>
      <c r="K28" s="35"/>
      <c r="L28" s="35"/>
      <c r="M28" s="35">
        <v>3600</v>
      </c>
      <c r="N28" s="35">
        <v>6000</v>
      </c>
      <c r="O28" s="35">
        <v>3600</v>
      </c>
      <c r="P28" s="35">
        <v>12000</v>
      </c>
      <c r="Q28" s="32">
        <f t="shared" si="0"/>
        <v>37200</v>
      </c>
      <c r="R28" s="32">
        <f t="shared" si="1"/>
        <v>31</v>
      </c>
    </row>
    <row r="29" spans="1:18" s="28" customFormat="1" x14ac:dyDescent="0.2">
      <c r="A29" s="36" t="s">
        <v>232</v>
      </c>
      <c r="B29" s="37" t="s">
        <v>195</v>
      </c>
      <c r="C29" s="38" t="s">
        <v>197</v>
      </c>
      <c r="D29" s="36">
        <v>10</v>
      </c>
      <c r="E29" s="39">
        <v>1300</v>
      </c>
      <c r="F29" s="39">
        <v>2600</v>
      </c>
      <c r="G29" s="39"/>
      <c r="H29" s="39">
        <v>2600</v>
      </c>
      <c r="I29" s="39"/>
      <c r="J29" s="39"/>
      <c r="K29" s="39"/>
      <c r="L29" s="39">
        <v>2600</v>
      </c>
      <c r="M29" s="39">
        <v>2600</v>
      </c>
      <c r="N29" s="39">
        <v>2600</v>
      </c>
      <c r="O29" s="39"/>
      <c r="P29" s="39">
        <v>2600</v>
      </c>
      <c r="Q29" s="36">
        <f t="shared" si="0"/>
        <v>15600</v>
      </c>
      <c r="R29" s="36">
        <f t="shared" si="1"/>
        <v>12</v>
      </c>
    </row>
    <row r="30" spans="1:18" x14ac:dyDescent="0.2">
      <c r="A30" s="32" t="s">
        <v>233</v>
      </c>
      <c r="B30" s="33" t="s">
        <v>196</v>
      </c>
      <c r="C30" s="34" t="s">
        <v>198</v>
      </c>
      <c r="D30" s="32">
        <v>10</v>
      </c>
      <c r="E30" s="35">
        <v>800</v>
      </c>
      <c r="F30" s="35">
        <v>1600</v>
      </c>
      <c r="G30" s="35"/>
      <c r="H30" s="35">
        <v>1600</v>
      </c>
      <c r="I30" s="35"/>
      <c r="J30" s="35"/>
      <c r="K30" s="35"/>
      <c r="L30" s="35">
        <v>2400</v>
      </c>
      <c r="M30" s="35">
        <v>1600</v>
      </c>
      <c r="N30" s="35">
        <v>800</v>
      </c>
      <c r="O30" s="35">
        <v>1600</v>
      </c>
      <c r="P30" s="35">
        <v>1600</v>
      </c>
      <c r="Q30" s="32">
        <f t="shared" si="0"/>
        <v>11200</v>
      </c>
      <c r="R30" s="32">
        <f t="shared" si="1"/>
        <v>14</v>
      </c>
    </row>
    <row r="31" spans="1:18" s="28" customFormat="1" x14ac:dyDescent="0.2">
      <c r="A31" s="36"/>
      <c r="B31" s="37" t="s">
        <v>206</v>
      </c>
      <c r="C31" s="38" t="s">
        <v>207</v>
      </c>
      <c r="D31" s="36">
        <v>10</v>
      </c>
      <c r="E31" s="39">
        <v>450</v>
      </c>
      <c r="F31" s="39">
        <v>2250</v>
      </c>
      <c r="G31" s="39"/>
      <c r="H31" s="39">
        <v>1800</v>
      </c>
      <c r="I31" s="39"/>
      <c r="J31" s="39"/>
      <c r="K31" s="39"/>
      <c r="L31" s="39">
        <v>2700</v>
      </c>
      <c r="M31" s="39">
        <v>1800</v>
      </c>
      <c r="N31" s="39">
        <v>1800</v>
      </c>
      <c r="O31" s="39">
        <v>1800</v>
      </c>
      <c r="P31" s="39">
        <v>1800</v>
      </c>
      <c r="Q31" s="36">
        <f t="shared" si="0"/>
        <v>13950</v>
      </c>
      <c r="R31" s="36">
        <f t="shared" si="1"/>
        <v>31</v>
      </c>
    </row>
    <row r="32" spans="1:18" x14ac:dyDescent="0.2">
      <c r="A32" s="32"/>
      <c r="B32" s="40">
        <v>90442200</v>
      </c>
      <c r="C32" s="34" t="s">
        <v>238</v>
      </c>
      <c r="D32" s="32">
        <v>10</v>
      </c>
      <c r="E32" s="35">
        <v>450</v>
      </c>
      <c r="F32" s="35">
        <v>1800</v>
      </c>
      <c r="G32" s="35"/>
      <c r="H32" s="35">
        <v>1800</v>
      </c>
      <c r="I32" s="35"/>
      <c r="J32" s="35"/>
      <c r="K32" s="35"/>
      <c r="L32" s="35"/>
      <c r="M32" s="35"/>
      <c r="N32" s="35"/>
      <c r="O32" s="35"/>
      <c r="P32" s="35"/>
      <c r="Q32" s="32">
        <f t="shared" si="0"/>
        <v>3600</v>
      </c>
      <c r="R32" s="32">
        <f t="shared" si="1"/>
        <v>8</v>
      </c>
    </row>
    <row r="33" spans="1:18" s="28" customFormat="1" x14ac:dyDescent="0.2">
      <c r="A33" s="36">
        <v>19</v>
      </c>
      <c r="B33" s="37" t="s">
        <v>83</v>
      </c>
      <c r="C33" s="38" t="s">
        <v>26</v>
      </c>
      <c r="D33" s="36">
        <v>10</v>
      </c>
      <c r="E33" s="39">
        <v>330</v>
      </c>
      <c r="F33" s="39">
        <v>330</v>
      </c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6">
        <f t="shared" si="0"/>
        <v>330</v>
      </c>
      <c r="R33" s="36">
        <f t="shared" si="1"/>
        <v>1</v>
      </c>
    </row>
    <row r="34" spans="1:18" s="28" customFormat="1" x14ac:dyDescent="0.2">
      <c r="A34" s="36"/>
      <c r="B34" s="37" t="s">
        <v>83</v>
      </c>
      <c r="C34" s="38" t="s">
        <v>26</v>
      </c>
      <c r="D34" s="36">
        <v>10</v>
      </c>
      <c r="E34" s="39">
        <v>320</v>
      </c>
      <c r="F34" s="39"/>
      <c r="G34" s="39"/>
      <c r="H34" s="39"/>
      <c r="I34" s="39">
        <v>320</v>
      </c>
      <c r="J34" s="39"/>
      <c r="K34" s="39">
        <v>320</v>
      </c>
      <c r="L34" s="39"/>
      <c r="M34" s="39"/>
      <c r="N34" s="39"/>
      <c r="O34" s="39">
        <v>320</v>
      </c>
      <c r="P34" s="39"/>
      <c r="Q34" s="36">
        <f t="shared" si="0"/>
        <v>960</v>
      </c>
      <c r="R34" s="36">
        <f t="shared" si="1"/>
        <v>3</v>
      </c>
    </row>
    <row r="35" spans="1:18" x14ac:dyDescent="0.2">
      <c r="A35" s="32">
        <v>21</v>
      </c>
      <c r="B35" s="33" t="s">
        <v>30</v>
      </c>
      <c r="C35" s="34" t="s">
        <v>31</v>
      </c>
      <c r="D35" s="32">
        <v>10</v>
      </c>
      <c r="E35" s="35">
        <v>230</v>
      </c>
      <c r="F35" s="35"/>
      <c r="G35" s="35"/>
      <c r="H35" s="35">
        <v>2300</v>
      </c>
      <c r="I35" s="35"/>
      <c r="J35" s="35"/>
      <c r="K35" s="35">
        <v>2300</v>
      </c>
      <c r="L35" s="35"/>
      <c r="M35" s="35"/>
      <c r="N35" s="35">
        <v>2300</v>
      </c>
      <c r="O35" s="35">
        <v>1380</v>
      </c>
      <c r="P35" s="35">
        <v>920</v>
      </c>
      <c r="Q35" s="32">
        <f t="shared" si="0"/>
        <v>9200</v>
      </c>
      <c r="R35" s="32">
        <f t="shared" si="1"/>
        <v>40</v>
      </c>
    </row>
    <row r="36" spans="1:18" s="28" customFormat="1" x14ac:dyDescent="0.2">
      <c r="A36" s="36" t="s">
        <v>194</v>
      </c>
      <c r="B36" s="42">
        <v>90442300</v>
      </c>
      <c r="C36" s="38" t="s">
        <v>173</v>
      </c>
      <c r="D36" s="36">
        <v>10</v>
      </c>
      <c r="E36" s="39">
        <v>230</v>
      </c>
      <c r="F36" s="39"/>
      <c r="G36" s="39"/>
      <c r="H36" s="39"/>
      <c r="I36" s="39"/>
      <c r="J36" s="39"/>
      <c r="K36" s="39">
        <v>1150</v>
      </c>
      <c r="L36" s="39"/>
      <c r="M36" s="39"/>
      <c r="N36" s="39"/>
      <c r="O36" s="39"/>
      <c r="P36" s="39"/>
      <c r="Q36" s="36">
        <f t="shared" si="0"/>
        <v>1150</v>
      </c>
      <c r="R36" s="36">
        <f t="shared" si="1"/>
        <v>5</v>
      </c>
    </row>
    <row r="37" spans="1:18" s="47" customFormat="1" x14ac:dyDescent="0.2">
      <c r="A37" s="43"/>
      <c r="B37" s="44" t="s">
        <v>262</v>
      </c>
      <c r="C37" s="116" t="s">
        <v>264</v>
      </c>
      <c r="D37" s="43">
        <v>10</v>
      </c>
      <c r="E37" s="46">
        <v>230</v>
      </c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3">
        <f t="shared" si="0"/>
        <v>0</v>
      </c>
      <c r="R37" s="43">
        <f t="shared" si="1"/>
        <v>0</v>
      </c>
    </row>
    <row r="38" spans="1:18" s="28" customFormat="1" x14ac:dyDescent="0.2">
      <c r="A38" s="36">
        <v>23</v>
      </c>
      <c r="B38" s="37" t="s">
        <v>93</v>
      </c>
      <c r="C38" s="76" t="s">
        <v>304</v>
      </c>
      <c r="D38" s="36">
        <v>5</v>
      </c>
      <c r="E38" s="39">
        <v>75</v>
      </c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6">
        <f t="shared" si="0"/>
        <v>0</v>
      </c>
      <c r="R38" s="36">
        <f t="shared" si="1"/>
        <v>0</v>
      </c>
    </row>
    <row r="39" spans="1:18" s="47" customFormat="1" x14ac:dyDescent="0.2">
      <c r="A39" s="43"/>
      <c r="B39" s="117" t="s">
        <v>35</v>
      </c>
      <c r="C39" s="116" t="s">
        <v>36</v>
      </c>
      <c r="D39" s="43">
        <v>5</v>
      </c>
      <c r="E39" s="46">
        <v>50</v>
      </c>
      <c r="F39" s="46"/>
      <c r="G39" s="46"/>
      <c r="H39" s="46">
        <v>500</v>
      </c>
      <c r="I39" s="46"/>
      <c r="J39" s="46"/>
      <c r="K39" s="46">
        <v>500</v>
      </c>
      <c r="L39" s="46"/>
      <c r="M39" s="46"/>
      <c r="N39" s="46"/>
      <c r="O39" s="46"/>
      <c r="P39" s="46"/>
      <c r="Q39" s="43">
        <f t="shared" ref="Q39:Q56" si="2">SUM(F39:P39)</f>
        <v>1000</v>
      </c>
      <c r="R39" s="43">
        <f t="shared" ref="R39:R56" si="3">Q39/E39</f>
        <v>20</v>
      </c>
    </row>
    <row r="40" spans="1:18" s="28" customFormat="1" x14ac:dyDescent="0.2">
      <c r="A40" s="36">
        <v>24</v>
      </c>
      <c r="B40" s="37" t="s">
        <v>101</v>
      </c>
      <c r="C40" s="38" t="s">
        <v>37</v>
      </c>
      <c r="D40" s="36">
        <v>50</v>
      </c>
      <c r="E40" s="39">
        <v>600</v>
      </c>
      <c r="F40" s="39"/>
      <c r="G40" s="39"/>
      <c r="H40" s="39"/>
      <c r="I40" s="39"/>
      <c r="J40" s="39"/>
      <c r="K40" s="39"/>
      <c r="L40" s="39"/>
      <c r="M40" s="39"/>
      <c r="N40" s="39"/>
      <c r="O40" s="39">
        <v>600</v>
      </c>
      <c r="P40" s="39"/>
      <c r="Q40" s="36">
        <f t="shared" si="2"/>
        <v>600</v>
      </c>
      <c r="R40" s="36">
        <f t="shared" si="3"/>
        <v>1</v>
      </c>
    </row>
    <row r="41" spans="1:18" s="47" customFormat="1" x14ac:dyDescent="0.2">
      <c r="A41" s="43" t="s">
        <v>234</v>
      </c>
      <c r="B41" s="44" t="s">
        <v>200</v>
      </c>
      <c r="C41" s="45" t="s">
        <v>201</v>
      </c>
      <c r="D41" s="43">
        <v>10</v>
      </c>
      <c r="E41" s="43">
        <v>800</v>
      </c>
      <c r="F41" s="46"/>
      <c r="G41" s="46">
        <v>2400</v>
      </c>
      <c r="H41" s="46"/>
      <c r="I41" s="46">
        <v>2400</v>
      </c>
      <c r="J41" s="46"/>
      <c r="K41" s="46"/>
      <c r="L41" s="46">
        <v>2400</v>
      </c>
      <c r="M41" s="46"/>
      <c r="N41" s="46">
        <v>2400</v>
      </c>
      <c r="O41" s="46"/>
      <c r="P41" s="46">
        <v>800</v>
      </c>
      <c r="Q41" s="43">
        <f t="shared" si="2"/>
        <v>10400</v>
      </c>
      <c r="R41" s="43">
        <f t="shared" si="3"/>
        <v>13</v>
      </c>
    </row>
    <row r="42" spans="1:18" s="28" customFormat="1" x14ac:dyDescent="0.2">
      <c r="A42" s="36"/>
      <c r="B42" s="42" t="s">
        <v>208</v>
      </c>
      <c r="C42" s="38" t="s">
        <v>209</v>
      </c>
      <c r="D42" s="36">
        <v>10</v>
      </c>
      <c r="E42" s="36">
        <v>400</v>
      </c>
      <c r="F42" s="39">
        <v>400</v>
      </c>
      <c r="G42" s="39"/>
      <c r="H42" s="39">
        <v>400</v>
      </c>
      <c r="I42" s="39"/>
      <c r="J42" s="39">
        <v>400</v>
      </c>
      <c r="K42" s="39"/>
      <c r="L42" s="39"/>
      <c r="M42" s="39"/>
      <c r="N42" s="39"/>
      <c r="O42" s="39">
        <v>400</v>
      </c>
      <c r="P42" s="39">
        <v>400</v>
      </c>
      <c r="Q42" s="36">
        <f t="shared" si="2"/>
        <v>2000</v>
      </c>
      <c r="R42" s="36">
        <f t="shared" si="3"/>
        <v>5</v>
      </c>
    </row>
    <row r="43" spans="1:18" s="47" customFormat="1" x14ac:dyDescent="0.2">
      <c r="A43" s="43"/>
      <c r="B43" s="98" t="s">
        <v>295</v>
      </c>
      <c r="C43" s="38" t="s">
        <v>296</v>
      </c>
      <c r="D43" s="43">
        <v>10</v>
      </c>
      <c r="E43" s="43">
        <v>400</v>
      </c>
      <c r="F43" s="46">
        <v>400</v>
      </c>
      <c r="G43" s="46"/>
      <c r="H43" s="46">
        <v>400</v>
      </c>
      <c r="I43" s="46"/>
      <c r="J43" s="46">
        <v>400</v>
      </c>
      <c r="K43" s="46"/>
      <c r="L43" s="46"/>
      <c r="M43" s="46">
        <v>800</v>
      </c>
      <c r="N43" s="46"/>
      <c r="O43" s="46"/>
      <c r="P43" s="46">
        <v>1600</v>
      </c>
      <c r="Q43" s="43">
        <f t="shared" si="2"/>
        <v>3600</v>
      </c>
      <c r="R43" s="43">
        <f t="shared" si="3"/>
        <v>9</v>
      </c>
    </row>
    <row r="44" spans="1:18" s="28" customFormat="1" x14ac:dyDescent="0.2">
      <c r="A44" s="36"/>
      <c r="B44" s="42" t="s">
        <v>210</v>
      </c>
      <c r="C44" s="38" t="s">
        <v>211</v>
      </c>
      <c r="D44" s="36">
        <v>10</v>
      </c>
      <c r="E44" s="36">
        <v>300</v>
      </c>
      <c r="F44" s="39"/>
      <c r="G44" s="39"/>
      <c r="H44" s="39">
        <v>600</v>
      </c>
      <c r="I44" s="39"/>
      <c r="J44" s="39">
        <v>600</v>
      </c>
      <c r="K44" s="39"/>
      <c r="L44" s="39"/>
      <c r="M44" s="39"/>
      <c r="N44" s="39"/>
      <c r="O44" s="39">
        <v>600</v>
      </c>
      <c r="P44" s="39">
        <v>900</v>
      </c>
      <c r="Q44" s="36">
        <f t="shared" si="2"/>
        <v>2700</v>
      </c>
      <c r="R44" s="36">
        <f t="shared" si="3"/>
        <v>9</v>
      </c>
    </row>
    <row r="45" spans="1:18" s="47" customFormat="1" x14ac:dyDescent="0.2">
      <c r="A45" s="43"/>
      <c r="B45" s="44">
        <v>90443200</v>
      </c>
      <c r="C45" s="45" t="s">
        <v>237</v>
      </c>
      <c r="D45" s="43">
        <v>10</v>
      </c>
      <c r="E45" s="43">
        <v>300</v>
      </c>
      <c r="F45" s="46">
        <v>1800</v>
      </c>
      <c r="G45" s="46"/>
      <c r="H45" s="46">
        <v>2400</v>
      </c>
      <c r="I45" s="46"/>
      <c r="J45" s="46">
        <v>3000</v>
      </c>
      <c r="K45" s="46"/>
      <c r="L45" s="46"/>
      <c r="M45" s="46">
        <v>2400</v>
      </c>
      <c r="N45" s="46"/>
      <c r="O45" s="46">
        <v>3000</v>
      </c>
      <c r="P45" s="46">
        <v>3000</v>
      </c>
      <c r="Q45" s="43">
        <f t="shared" si="2"/>
        <v>15600</v>
      </c>
      <c r="R45" s="43">
        <f t="shared" si="3"/>
        <v>52</v>
      </c>
    </row>
    <row r="46" spans="1:18" s="28" customFormat="1" x14ac:dyDescent="0.2">
      <c r="A46" s="36">
        <v>26</v>
      </c>
      <c r="B46" s="42" t="s">
        <v>157</v>
      </c>
      <c r="C46" s="38" t="s">
        <v>160</v>
      </c>
      <c r="D46" s="36">
        <v>10</v>
      </c>
      <c r="E46" s="36">
        <v>160</v>
      </c>
      <c r="F46" s="39">
        <v>800</v>
      </c>
      <c r="G46" s="39"/>
      <c r="H46" s="39">
        <v>1600</v>
      </c>
      <c r="I46" s="39"/>
      <c r="J46" s="39">
        <v>1600</v>
      </c>
      <c r="K46" s="39"/>
      <c r="L46" s="39"/>
      <c r="M46" s="39"/>
      <c r="N46" s="39">
        <v>1600</v>
      </c>
      <c r="O46" s="39">
        <v>1600</v>
      </c>
      <c r="P46" s="39">
        <v>1600</v>
      </c>
      <c r="Q46" s="36">
        <f t="shared" si="2"/>
        <v>8800</v>
      </c>
      <c r="R46" s="36">
        <f t="shared" si="3"/>
        <v>55</v>
      </c>
    </row>
    <row r="47" spans="1:18" s="47" customFormat="1" x14ac:dyDescent="0.2">
      <c r="A47" s="43" t="s">
        <v>199</v>
      </c>
      <c r="B47" s="44">
        <v>90443300</v>
      </c>
      <c r="C47" s="45" t="s">
        <v>172</v>
      </c>
      <c r="D47" s="43">
        <v>10</v>
      </c>
      <c r="E47" s="43">
        <v>160</v>
      </c>
      <c r="F47" s="46"/>
      <c r="G47" s="46"/>
      <c r="H47" s="46">
        <v>2400</v>
      </c>
      <c r="I47" s="46"/>
      <c r="J47" s="46">
        <v>2400</v>
      </c>
      <c r="K47" s="46"/>
      <c r="L47" s="46"/>
      <c r="M47" s="46"/>
      <c r="N47" s="46">
        <v>2400</v>
      </c>
      <c r="O47" s="46">
        <v>2400</v>
      </c>
      <c r="P47" s="46">
        <v>4800</v>
      </c>
      <c r="Q47" s="43">
        <f t="shared" si="2"/>
        <v>14400</v>
      </c>
      <c r="R47" s="43">
        <f t="shared" si="3"/>
        <v>90</v>
      </c>
    </row>
    <row r="48" spans="1:18" s="28" customFormat="1" x14ac:dyDescent="0.2">
      <c r="A48" s="36"/>
      <c r="B48" s="42" t="s">
        <v>263</v>
      </c>
      <c r="C48" s="76" t="s">
        <v>265</v>
      </c>
      <c r="D48" s="36">
        <v>10</v>
      </c>
      <c r="E48" s="39">
        <v>160</v>
      </c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6">
        <f t="shared" si="2"/>
        <v>0</v>
      </c>
      <c r="R48" s="36">
        <f t="shared" si="3"/>
        <v>0</v>
      </c>
    </row>
    <row r="49" spans="1:18" s="47" customFormat="1" x14ac:dyDescent="0.2">
      <c r="A49" s="43"/>
      <c r="B49" s="44" t="s">
        <v>158</v>
      </c>
      <c r="C49" s="116" t="s">
        <v>260</v>
      </c>
      <c r="D49" s="43">
        <v>5</v>
      </c>
      <c r="E49" s="46">
        <v>35</v>
      </c>
      <c r="F49" s="46"/>
      <c r="G49" s="46">
        <v>140</v>
      </c>
      <c r="H49" s="46">
        <v>350</v>
      </c>
      <c r="I49" s="46">
        <v>700</v>
      </c>
      <c r="J49" s="46">
        <v>350</v>
      </c>
      <c r="K49" s="46"/>
      <c r="L49" s="46"/>
      <c r="M49" s="46"/>
      <c r="N49" s="46"/>
      <c r="O49" s="46"/>
      <c r="P49" s="46"/>
      <c r="Q49" s="43">
        <f t="shared" si="2"/>
        <v>1540</v>
      </c>
      <c r="R49" s="43">
        <f t="shared" si="3"/>
        <v>44</v>
      </c>
    </row>
    <row r="50" spans="1:18" s="28" customFormat="1" x14ac:dyDescent="0.2">
      <c r="A50" s="36">
        <v>28</v>
      </c>
      <c r="B50" s="37" t="s">
        <v>159</v>
      </c>
      <c r="C50" s="38" t="s">
        <v>162</v>
      </c>
      <c r="D50" s="36">
        <v>50</v>
      </c>
      <c r="E50" s="39">
        <v>350</v>
      </c>
      <c r="F50" s="39"/>
      <c r="G50" s="39">
        <v>700</v>
      </c>
      <c r="H50" s="39"/>
      <c r="I50" s="39">
        <v>350</v>
      </c>
      <c r="J50" s="39"/>
      <c r="K50" s="39">
        <v>350</v>
      </c>
      <c r="L50" s="39"/>
      <c r="M50" s="39"/>
      <c r="N50" s="39"/>
      <c r="O50" s="39">
        <v>350</v>
      </c>
      <c r="P50" s="39"/>
      <c r="Q50" s="36">
        <f t="shared" si="2"/>
        <v>1750</v>
      </c>
      <c r="R50" s="36">
        <f t="shared" si="3"/>
        <v>5</v>
      </c>
    </row>
    <row r="51" spans="1:18" s="28" customFormat="1" x14ac:dyDescent="0.2">
      <c r="A51" s="36">
        <v>29</v>
      </c>
      <c r="B51" s="37" t="s">
        <v>349</v>
      </c>
      <c r="C51" s="170" t="s">
        <v>350</v>
      </c>
      <c r="D51" s="36">
        <v>10</v>
      </c>
      <c r="E51" s="39">
        <v>520</v>
      </c>
      <c r="F51" s="39"/>
      <c r="G51" s="39"/>
      <c r="H51" s="39"/>
      <c r="I51" s="39"/>
      <c r="J51" s="39">
        <v>2600</v>
      </c>
      <c r="K51" s="39"/>
      <c r="L51" s="39"/>
      <c r="M51" s="39"/>
      <c r="N51" s="39"/>
      <c r="O51" s="39"/>
      <c r="P51" s="39"/>
      <c r="Q51" s="36">
        <f t="shared" si="2"/>
        <v>2600</v>
      </c>
      <c r="R51" s="36">
        <f t="shared" si="3"/>
        <v>5</v>
      </c>
    </row>
    <row r="52" spans="1:18" s="28" customFormat="1" x14ac:dyDescent="0.2">
      <c r="A52" s="36"/>
      <c r="B52" s="37" t="s">
        <v>349</v>
      </c>
      <c r="C52" s="170" t="s">
        <v>350</v>
      </c>
      <c r="D52" s="36">
        <v>10</v>
      </c>
      <c r="E52" s="39">
        <v>450</v>
      </c>
      <c r="F52" s="39"/>
      <c r="G52" s="39"/>
      <c r="H52" s="39"/>
      <c r="I52" s="39"/>
      <c r="J52" s="39"/>
      <c r="K52" s="39">
        <v>450</v>
      </c>
      <c r="L52" s="39"/>
      <c r="M52" s="39"/>
      <c r="N52" s="39"/>
      <c r="O52" s="39"/>
      <c r="P52" s="39"/>
      <c r="Q52" s="36">
        <f t="shared" si="2"/>
        <v>450</v>
      </c>
      <c r="R52" s="36">
        <f t="shared" si="3"/>
        <v>1</v>
      </c>
    </row>
    <row r="53" spans="1:18" x14ac:dyDescent="0.2">
      <c r="A53" s="32">
        <v>31</v>
      </c>
      <c r="B53" s="33" t="s">
        <v>100</v>
      </c>
      <c r="C53" s="34" t="s">
        <v>40</v>
      </c>
      <c r="D53" s="32">
        <v>50</v>
      </c>
      <c r="E53" s="35">
        <v>1750</v>
      </c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2">
        <f t="shared" si="2"/>
        <v>0</v>
      </c>
      <c r="R53" s="32">
        <f t="shared" si="3"/>
        <v>0</v>
      </c>
    </row>
    <row r="54" spans="1:18" s="28" customFormat="1" x14ac:dyDescent="0.2">
      <c r="A54" s="36"/>
      <c r="B54" s="37" t="s">
        <v>271</v>
      </c>
      <c r="C54" s="38" t="s">
        <v>274</v>
      </c>
      <c r="D54" s="36">
        <v>5</v>
      </c>
      <c r="E54" s="39">
        <v>85</v>
      </c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>
        <v>170</v>
      </c>
      <c r="Q54" s="36">
        <f t="shared" si="2"/>
        <v>170</v>
      </c>
      <c r="R54" s="36">
        <f t="shared" si="3"/>
        <v>2</v>
      </c>
    </row>
    <row r="55" spans="1:18" x14ac:dyDescent="0.2">
      <c r="A55" s="32"/>
      <c r="B55" s="33" t="s">
        <v>272</v>
      </c>
      <c r="C55" s="34" t="s">
        <v>275</v>
      </c>
      <c r="D55" s="32">
        <v>5</v>
      </c>
      <c r="E55" s="35">
        <v>75</v>
      </c>
      <c r="F55" s="35">
        <v>600</v>
      </c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2">
        <f t="shared" si="2"/>
        <v>600</v>
      </c>
      <c r="R55" s="32">
        <f t="shared" si="3"/>
        <v>8</v>
      </c>
    </row>
    <row r="56" spans="1:18" s="47" customFormat="1" x14ac:dyDescent="0.2">
      <c r="A56" s="43"/>
      <c r="B56" s="117" t="s">
        <v>273</v>
      </c>
      <c r="C56" s="45" t="s">
        <v>276</v>
      </c>
      <c r="D56" s="43">
        <v>5</v>
      </c>
      <c r="E56" s="46">
        <v>45</v>
      </c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3">
        <f t="shared" si="2"/>
        <v>0</v>
      </c>
      <c r="R56" s="43">
        <f t="shared" si="3"/>
        <v>0</v>
      </c>
    </row>
    <row r="57" spans="1:18" x14ac:dyDescent="0.2">
      <c r="A57" s="32"/>
      <c r="B57" s="33"/>
      <c r="C57" s="34"/>
      <c r="D57" s="32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2"/>
      <c r="R57" s="32"/>
    </row>
    <row r="58" spans="1:18" x14ac:dyDescent="0.2">
      <c r="A58" s="410" t="s">
        <v>135</v>
      </c>
      <c r="B58" s="414"/>
      <c r="C58" s="414"/>
      <c r="D58" s="414"/>
      <c r="E58" s="411"/>
      <c r="F58" s="159">
        <f t="shared" ref="F58:Q58" si="4">SUM(F7:F57)</f>
        <v>59320</v>
      </c>
      <c r="G58" s="159">
        <f t="shared" si="4"/>
        <v>61040</v>
      </c>
      <c r="H58" s="159">
        <f t="shared" si="4"/>
        <v>40230</v>
      </c>
      <c r="I58" s="159">
        <f t="shared" si="4"/>
        <v>61000</v>
      </c>
      <c r="J58" s="159">
        <f t="shared" si="4"/>
        <v>63950</v>
      </c>
      <c r="K58" s="159">
        <f t="shared" si="4"/>
        <v>89930</v>
      </c>
      <c r="L58" s="159">
        <f t="shared" si="4"/>
        <v>52700</v>
      </c>
      <c r="M58" s="159">
        <f t="shared" si="4"/>
        <v>39600</v>
      </c>
      <c r="N58" s="159">
        <f t="shared" si="4"/>
        <v>84300</v>
      </c>
      <c r="O58" s="159">
        <f t="shared" si="4"/>
        <v>89020</v>
      </c>
      <c r="P58" s="159">
        <f t="shared" si="4"/>
        <v>216970</v>
      </c>
      <c r="Q58" s="159">
        <f t="shared" si="4"/>
        <v>858060</v>
      </c>
      <c r="R58" s="10"/>
    </row>
    <row r="59" spans="1:18" x14ac:dyDescent="0.2">
      <c r="A59" s="421" t="s">
        <v>184</v>
      </c>
      <c r="B59" s="421"/>
      <c r="C59" s="421"/>
      <c r="D59" s="421"/>
      <c r="E59" s="421"/>
      <c r="R59" s="17">
        <f>SUM(R7:R57)</f>
        <v>1429</v>
      </c>
    </row>
    <row r="60" spans="1:18" x14ac:dyDescent="0.2">
      <c r="R60" s="78">
        <f>SUM(F3:P3)</f>
        <v>1429</v>
      </c>
    </row>
  </sheetData>
  <mergeCells count="7">
    <mergeCell ref="A59:E59"/>
    <mergeCell ref="A1:E1"/>
    <mergeCell ref="Q1:R1"/>
    <mergeCell ref="A2:E2"/>
    <mergeCell ref="D3:E3"/>
    <mergeCell ref="D4:E4"/>
    <mergeCell ref="A58:E58"/>
  </mergeCells>
  <pageMargins left="0.51181102362204722" right="0.51181102362204722" top="0.51181102362204722" bottom="0.51181102362204722" header="0" footer="0"/>
  <pageSetup paperSize="9" scale="69" orientation="landscape" blackAndWhite="1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0"/>
  <sheetViews>
    <sheetView zoomScaleNormal="100" workbookViewId="0">
      <pane xSplit="5" ySplit="5" topLeftCell="AA42" activePane="bottomRight" state="frozenSplit"/>
      <selection pane="topRight" activeCell="G1" sqref="G1"/>
      <selection pane="bottomLeft" activeCell="A17" sqref="A17"/>
      <selection pane="bottomRight" activeCell="AC7" sqref="AC7"/>
    </sheetView>
  </sheetViews>
  <sheetFormatPr defaultRowHeight="12.75" x14ac:dyDescent="0.2"/>
  <cols>
    <col min="1" max="1" width="4.28515625" bestFit="1" customWidth="1"/>
    <col min="2" max="2" width="10.85546875" bestFit="1" customWidth="1"/>
    <col min="3" max="3" width="34.5703125" bestFit="1" customWidth="1"/>
    <col min="4" max="4" width="5.85546875" bestFit="1" customWidth="1"/>
    <col min="5" max="5" width="5" bestFit="1" customWidth="1"/>
    <col min="6" max="24" width="10.140625" customWidth="1"/>
    <col min="25" max="26" width="8.140625" customWidth="1"/>
    <col min="27" max="27" width="10.5703125" style="16" bestFit="1" customWidth="1"/>
    <col min="28" max="28" width="9.28515625" style="16" bestFit="1" customWidth="1"/>
  </cols>
  <sheetData>
    <row r="1" spans="1:28" x14ac:dyDescent="0.2">
      <c r="A1" s="415" t="s">
        <v>357</v>
      </c>
      <c r="B1" s="422"/>
      <c r="C1" s="422"/>
      <c r="D1" s="422"/>
      <c r="E1" s="423"/>
      <c r="F1" s="173">
        <v>3366</v>
      </c>
      <c r="G1" s="173">
        <v>3370</v>
      </c>
      <c r="H1" s="173">
        <v>3373</v>
      </c>
      <c r="I1" s="173">
        <v>3375</v>
      </c>
      <c r="J1" s="173">
        <v>1002</v>
      </c>
      <c r="K1" s="178">
        <v>1004</v>
      </c>
      <c r="L1" s="182">
        <v>1006</v>
      </c>
      <c r="M1" s="182">
        <v>1007</v>
      </c>
      <c r="N1" s="186">
        <v>1008</v>
      </c>
      <c r="O1" s="186">
        <v>1010</v>
      </c>
      <c r="P1" s="194">
        <v>1011</v>
      </c>
      <c r="Q1" s="190">
        <v>1013</v>
      </c>
      <c r="R1" s="198">
        <v>1014</v>
      </c>
      <c r="S1" s="202">
        <v>1016</v>
      </c>
      <c r="T1" s="206">
        <v>1017</v>
      </c>
      <c r="U1" s="210">
        <v>1018</v>
      </c>
      <c r="V1" s="214">
        <v>1020</v>
      </c>
      <c r="W1" s="218">
        <v>1022</v>
      </c>
      <c r="X1" s="222">
        <v>1024</v>
      </c>
      <c r="Y1" s="173"/>
      <c r="Z1" s="132" t="s">
        <v>318</v>
      </c>
      <c r="AA1" s="408" t="s">
        <v>138</v>
      </c>
      <c r="AB1" s="408"/>
    </row>
    <row r="2" spans="1:28" x14ac:dyDescent="0.2">
      <c r="A2" s="410" t="s">
        <v>42</v>
      </c>
      <c r="B2" s="422"/>
      <c r="C2" s="422"/>
      <c r="D2" s="422"/>
      <c r="E2" s="423"/>
      <c r="F2" s="175" t="s">
        <v>373</v>
      </c>
      <c r="G2" s="175" t="s">
        <v>374</v>
      </c>
      <c r="H2" s="175" t="s">
        <v>375</v>
      </c>
      <c r="I2" s="175" t="s">
        <v>376</v>
      </c>
      <c r="J2" s="175" t="s">
        <v>377</v>
      </c>
      <c r="K2" s="179" t="s">
        <v>378</v>
      </c>
      <c r="L2" s="183" t="s">
        <v>379</v>
      </c>
      <c r="M2" s="183" t="s">
        <v>380</v>
      </c>
      <c r="N2" s="187" t="s">
        <v>381</v>
      </c>
      <c r="O2" s="187" t="s">
        <v>382</v>
      </c>
      <c r="P2" s="195" t="s">
        <v>383</v>
      </c>
      <c r="Q2" s="191" t="s">
        <v>384</v>
      </c>
      <c r="R2" s="199" t="s">
        <v>385</v>
      </c>
      <c r="S2" s="203" t="s">
        <v>386</v>
      </c>
      <c r="T2" s="207" t="s">
        <v>387</v>
      </c>
      <c r="U2" s="211" t="s">
        <v>388</v>
      </c>
      <c r="V2" s="215" t="s">
        <v>389</v>
      </c>
      <c r="W2" s="219" t="s">
        <v>390</v>
      </c>
      <c r="X2" s="223" t="s">
        <v>391</v>
      </c>
      <c r="Y2" s="175"/>
      <c r="Z2" s="133" t="s">
        <v>319</v>
      </c>
      <c r="AA2" s="172" t="s">
        <v>116</v>
      </c>
      <c r="AB2" s="18" t="s">
        <v>5</v>
      </c>
    </row>
    <row r="3" spans="1:28" x14ac:dyDescent="0.2">
      <c r="A3" s="174"/>
      <c r="B3" s="174"/>
      <c r="C3" s="174"/>
      <c r="D3" s="410" t="s">
        <v>140</v>
      </c>
      <c r="E3" s="414"/>
      <c r="F3" s="175">
        <v>121</v>
      </c>
      <c r="G3" s="175">
        <v>118</v>
      </c>
      <c r="H3" s="175">
        <v>185</v>
      </c>
      <c r="I3" s="175">
        <v>68</v>
      </c>
      <c r="J3" s="175">
        <v>145</v>
      </c>
      <c r="K3" s="179">
        <v>235</v>
      </c>
      <c r="L3" s="183">
        <v>222</v>
      </c>
      <c r="M3" s="183">
        <v>91</v>
      </c>
      <c r="N3" s="187">
        <v>104</v>
      </c>
      <c r="O3" s="187">
        <v>144</v>
      </c>
      <c r="P3" s="195">
        <v>76</v>
      </c>
      <c r="Q3" s="191">
        <v>74</v>
      </c>
      <c r="R3" s="199">
        <v>127</v>
      </c>
      <c r="S3" s="203">
        <v>69</v>
      </c>
      <c r="T3" s="207">
        <v>61</v>
      </c>
      <c r="U3" s="211">
        <v>86</v>
      </c>
      <c r="V3" s="215">
        <v>162</v>
      </c>
      <c r="W3" s="219">
        <v>155</v>
      </c>
      <c r="X3" s="223">
        <v>174</v>
      </c>
      <c r="Y3" s="175"/>
      <c r="Z3" s="133" t="s">
        <v>320</v>
      </c>
      <c r="AA3" s="10"/>
      <c r="AB3" s="10"/>
    </row>
    <row r="4" spans="1:28" ht="25.5" x14ac:dyDescent="0.2">
      <c r="A4" s="9" t="s">
        <v>1</v>
      </c>
      <c r="B4" s="4" t="s">
        <v>2</v>
      </c>
      <c r="C4" s="4" t="s">
        <v>0</v>
      </c>
      <c r="D4" s="408" t="s">
        <v>3</v>
      </c>
      <c r="E4" s="415"/>
      <c r="F4" s="175" t="s">
        <v>116</v>
      </c>
      <c r="G4" s="175" t="s">
        <v>116</v>
      </c>
      <c r="H4" s="175" t="s">
        <v>116</v>
      </c>
      <c r="I4" s="175" t="s">
        <v>116</v>
      </c>
      <c r="J4" s="175" t="s">
        <v>116</v>
      </c>
      <c r="K4" s="179" t="s">
        <v>116</v>
      </c>
      <c r="L4" s="183" t="s">
        <v>116</v>
      </c>
      <c r="M4" s="183" t="s">
        <v>116</v>
      </c>
      <c r="N4" s="187" t="s">
        <v>116</v>
      </c>
      <c r="O4" s="187" t="s">
        <v>116</v>
      </c>
      <c r="P4" s="195" t="s">
        <v>116</v>
      </c>
      <c r="Q4" s="191" t="s">
        <v>116</v>
      </c>
      <c r="R4" s="199" t="s">
        <v>116</v>
      </c>
      <c r="S4" s="203" t="s">
        <v>116</v>
      </c>
      <c r="T4" s="207" t="s">
        <v>116</v>
      </c>
      <c r="U4" s="211" t="s">
        <v>116</v>
      </c>
      <c r="V4" s="215" t="s">
        <v>116</v>
      </c>
      <c r="W4" s="219" t="s">
        <v>116</v>
      </c>
      <c r="X4" s="223" t="s">
        <v>116</v>
      </c>
      <c r="Y4" s="219" t="s">
        <v>116</v>
      </c>
      <c r="Z4" s="133" t="s">
        <v>116</v>
      </c>
      <c r="AA4" s="10"/>
      <c r="AB4" s="10"/>
    </row>
    <row r="5" spans="1:28" x14ac:dyDescent="0.2">
      <c r="A5" s="10"/>
      <c r="B5" s="2"/>
      <c r="C5" s="2"/>
      <c r="D5" s="172" t="s">
        <v>4</v>
      </c>
      <c r="E5" s="176" t="s">
        <v>5</v>
      </c>
      <c r="F5" s="176"/>
      <c r="G5" s="176"/>
      <c r="H5" s="176"/>
      <c r="I5" s="176"/>
      <c r="J5" s="176"/>
      <c r="K5" s="180"/>
      <c r="L5" s="184"/>
      <c r="M5" s="184"/>
      <c r="N5" s="188"/>
      <c r="O5" s="188"/>
      <c r="P5" s="196"/>
      <c r="Q5" s="192"/>
      <c r="R5" s="200"/>
      <c r="S5" s="204"/>
      <c r="T5" s="208"/>
      <c r="U5" s="212"/>
      <c r="V5" s="216"/>
      <c r="W5" s="220"/>
      <c r="X5" s="224"/>
      <c r="Y5" s="176"/>
      <c r="Z5" s="134"/>
      <c r="AA5" s="10"/>
      <c r="AB5" s="10"/>
    </row>
    <row r="6" spans="1:28" x14ac:dyDescent="0.2">
      <c r="A6" s="29"/>
      <c r="B6" s="30"/>
      <c r="C6" s="30"/>
      <c r="D6" s="2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135"/>
      <c r="AA6" s="29"/>
      <c r="AB6" s="29"/>
    </row>
    <row r="7" spans="1:28" x14ac:dyDescent="0.2">
      <c r="A7" s="32" t="s">
        <v>222</v>
      </c>
      <c r="B7" s="33" t="s">
        <v>85</v>
      </c>
      <c r="C7" s="34" t="s">
        <v>6</v>
      </c>
      <c r="D7" s="32">
        <v>100</v>
      </c>
      <c r="E7" s="35">
        <v>2000</v>
      </c>
      <c r="F7" s="35"/>
      <c r="G7" s="35"/>
      <c r="H7" s="35"/>
      <c r="I7" s="35"/>
      <c r="J7" s="35"/>
      <c r="K7" s="35">
        <v>24000</v>
      </c>
      <c r="L7" s="35"/>
      <c r="M7" s="35">
        <v>76000</v>
      </c>
      <c r="N7" s="35"/>
      <c r="O7" s="35"/>
      <c r="P7" s="35">
        <v>50000</v>
      </c>
      <c r="Q7" s="35"/>
      <c r="R7" s="35"/>
      <c r="S7" s="35"/>
      <c r="T7" s="35">
        <v>50000</v>
      </c>
      <c r="U7" s="35"/>
      <c r="V7" s="35">
        <v>50000</v>
      </c>
      <c r="W7" s="35">
        <v>30000</v>
      </c>
      <c r="X7" s="35">
        <v>20000</v>
      </c>
      <c r="Y7" s="35"/>
      <c r="Z7" s="136"/>
      <c r="AA7" s="32">
        <f t="shared" ref="AA7:AA38" si="0">SUM(F7:Z7)</f>
        <v>300000</v>
      </c>
      <c r="AB7" s="32">
        <f t="shared" ref="AB7:AB38" si="1">AA7/E7</f>
        <v>150</v>
      </c>
    </row>
    <row r="8" spans="1:28" s="28" customFormat="1" x14ac:dyDescent="0.2">
      <c r="A8" s="36">
        <v>2</v>
      </c>
      <c r="B8" s="37" t="s">
        <v>81</v>
      </c>
      <c r="C8" s="38" t="s">
        <v>7</v>
      </c>
      <c r="D8" s="36">
        <v>100</v>
      </c>
      <c r="E8" s="39">
        <v>2000</v>
      </c>
      <c r="F8" s="39">
        <v>4000</v>
      </c>
      <c r="G8" s="39">
        <v>4000</v>
      </c>
      <c r="H8" s="39">
        <v>20000</v>
      </c>
      <c r="I8" s="39"/>
      <c r="J8" s="39">
        <v>18000</v>
      </c>
      <c r="K8" s="39"/>
      <c r="L8" s="39">
        <v>14000</v>
      </c>
      <c r="M8" s="39"/>
      <c r="N8" s="39"/>
      <c r="O8" s="39">
        <v>6000</v>
      </c>
      <c r="P8" s="39"/>
      <c r="Q8" s="39"/>
      <c r="R8" s="39">
        <v>20000</v>
      </c>
      <c r="S8" s="39">
        <v>4000</v>
      </c>
      <c r="T8" s="39"/>
      <c r="U8" s="39">
        <v>10000</v>
      </c>
      <c r="V8" s="39"/>
      <c r="W8" s="39"/>
      <c r="X8" s="39">
        <v>26000</v>
      </c>
      <c r="Y8" s="39"/>
      <c r="Z8" s="136"/>
      <c r="AA8" s="36">
        <f t="shared" si="0"/>
        <v>126000</v>
      </c>
      <c r="AB8" s="36">
        <f t="shared" si="1"/>
        <v>63</v>
      </c>
    </row>
    <row r="9" spans="1:28" x14ac:dyDescent="0.2">
      <c r="A9" s="32">
        <v>3</v>
      </c>
      <c r="B9" s="33" t="s">
        <v>86</v>
      </c>
      <c r="C9" s="34" t="s">
        <v>8</v>
      </c>
      <c r="D9" s="32">
        <v>50</v>
      </c>
      <c r="E9" s="35">
        <v>1100</v>
      </c>
      <c r="F9" s="35">
        <v>4400</v>
      </c>
      <c r="G9" s="35">
        <v>11000</v>
      </c>
      <c r="H9" s="35"/>
      <c r="I9" s="35">
        <v>11000</v>
      </c>
      <c r="J9" s="35"/>
      <c r="K9" s="35">
        <v>11000</v>
      </c>
      <c r="L9" s="35">
        <v>11000</v>
      </c>
      <c r="M9" s="35"/>
      <c r="N9" s="35">
        <v>17600</v>
      </c>
      <c r="O9" s="35"/>
      <c r="P9" s="35"/>
      <c r="Q9" s="35"/>
      <c r="R9" s="35"/>
      <c r="S9" s="35">
        <v>11000</v>
      </c>
      <c r="T9" s="35"/>
      <c r="U9" s="35">
        <v>4400</v>
      </c>
      <c r="V9" s="35">
        <v>1100</v>
      </c>
      <c r="W9" s="35">
        <v>6600</v>
      </c>
      <c r="X9" s="35">
        <v>9900</v>
      </c>
      <c r="Y9" s="35"/>
      <c r="Z9" s="136"/>
      <c r="AA9" s="32">
        <f t="shared" si="0"/>
        <v>99000</v>
      </c>
      <c r="AB9" s="32">
        <f t="shared" si="1"/>
        <v>90</v>
      </c>
    </row>
    <row r="10" spans="1:28" s="28" customFormat="1" x14ac:dyDescent="0.2">
      <c r="A10" s="36">
        <v>4</v>
      </c>
      <c r="B10" s="37" t="s">
        <v>87</v>
      </c>
      <c r="C10" s="38" t="s">
        <v>9</v>
      </c>
      <c r="D10" s="36">
        <v>50</v>
      </c>
      <c r="E10" s="39">
        <v>1000</v>
      </c>
      <c r="F10" s="39"/>
      <c r="G10" s="39"/>
      <c r="H10" s="39"/>
      <c r="I10" s="39"/>
      <c r="J10" s="39"/>
      <c r="K10" s="39"/>
      <c r="L10" s="39">
        <v>10000</v>
      </c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136"/>
      <c r="AA10" s="36">
        <f t="shared" si="0"/>
        <v>10000</v>
      </c>
      <c r="AB10" s="36">
        <f t="shared" si="1"/>
        <v>10</v>
      </c>
    </row>
    <row r="11" spans="1:28" s="28" customFormat="1" x14ac:dyDescent="0.2">
      <c r="A11" s="36"/>
      <c r="B11" s="37" t="s">
        <v>87</v>
      </c>
      <c r="C11" s="38" t="s">
        <v>9</v>
      </c>
      <c r="D11" s="36">
        <v>50</v>
      </c>
      <c r="E11" s="39">
        <v>1000</v>
      </c>
      <c r="F11" s="39"/>
      <c r="G11" s="39"/>
      <c r="H11" s="39"/>
      <c r="I11" s="39"/>
      <c r="J11" s="39"/>
      <c r="K11" s="39">
        <v>10000</v>
      </c>
      <c r="L11" s="39"/>
      <c r="M11" s="39">
        <v>5000</v>
      </c>
      <c r="N11" s="39"/>
      <c r="O11" s="39"/>
      <c r="P11" s="39">
        <v>10000</v>
      </c>
      <c r="Q11" s="39"/>
      <c r="R11" s="39"/>
      <c r="S11" s="39"/>
      <c r="T11" s="39">
        <v>10000</v>
      </c>
      <c r="U11" s="39"/>
      <c r="V11" s="39">
        <v>11000</v>
      </c>
      <c r="W11" s="39">
        <v>10000</v>
      </c>
      <c r="X11" s="39"/>
      <c r="Y11" s="39"/>
      <c r="Z11" s="136"/>
      <c r="AA11" s="36">
        <f t="shared" si="0"/>
        <v>56000</v>
      </c>
      <c r="AB11" s="36">
        <f t="shared" si="1"/>
        <v>56</v>
      </c>
    </row>
    <row r="12" spans="1:28" x14ac:dyDescent="0.2">
      <c r="A12" s="32">
        <v>5</v>
      </c>
      <c r="B12" s="33" t="s">
        <v>82</v>
      </c>
      <c r="C12" s="34" t="s">
        <v>10</v>
      </c>
      <c r="D12" s="32">
        <v>50</v>
      </c>
      <c r="E12" s="35">
        <v>800</v>
      </c>
      <c r="F12" s="35"/>
      <c r="G12" s="35">
        <v>4000</v>
      </c>
      <c r="H12" s="35"/>
      <c r="I12" s="35">
        <v>4800</v>
      </c>
      <c r="J12" s="35"/>
      <c r="K12" s="35"/>
      <c r="L12" s="35">
        <v>8000</v>
      </c>
      <c r="M12" s="35"/>
      <c r="N12" s="35"/>
      <c r="O12" s="35">
        <v>8000</v>
      </c>
      <c r="P12" s="35"/>
      <c r="Q12" s="35"/>
      <c r="R12" s="35"/>
      <c r="S12" s="35">
        <v>6400</v>
      </c>
      <c r="T12" s="35"/>
      <c r="U12" s="35"/>
      <c r="V12" s="35">
        <v>8000</v>
      </c>
      <c r="W12" s="35"/>
      <c r="X12" s="35">
        <v>6400</v>
      </c>
      <c r="Y12" s="35"/>
      <c r="Z12" s="136"/>
      <c r="AA12" s="32">
        <f t="shared" si="0"/>
        <v>45600</v>
      </c>
      <c r="AB12" s="32">
        <f t="shared" si="1"/>
        <v>57</v>
      </c>
    </row>
    <row r="13" spans="1:28" s="28" customFormat="1" x14ac:dyDescent="0.2">
      <c r="A13" s="36">
        <v>6</v>
      </c>
      <c r="B13" s="37" t="s">
        <v>89</v>
      </c>
      <c r="C13" s="38" t="s">
        <v>11</v>
      </c>
      <c r="D13" s="36">
        <v>50</v>
      </c>
      <c r="E13" s="39">
        <v>600</v>
      </c>
      <c r="F13" s="39"/>
      <c r="G13" s="39">
        <v>9000</v>
      </c>
      <c r="H13" s="39"/>
      <c r="I13" s="39"/>
      <c r="J13" s="39"/>
      <c r="K13" s="39">
        <v>6000</v>
      </c>
      <c r="L13" s="39"/>
      <c r="M13" s="39">
        <v>15000</v>
      </c>
      <c r="N13" s="39"/>
      <c r="O13" s="39"/>
      <c r="P13" s="39">
        <v>9000</v>
      </c>
      <c r="Q13" s="39"/>
      <c r="R13" s="39"/>
      <c r="S13" s="39"/>
      <c r="T13" s="39">
        <v>9600</v>
      </c>
      <c r="U13" s="39"/>
      <c r="V13" s="39"/>
      <c r="W13" s="39"/>
      <c r="X13" s="39">
        <v>12000</v>
      </c>
      <c r="Y13" s="39"/>
      <c r="Z13" s="136"/>
      <c r="AA13" s="36">
        <f t="shared" si="0"/>
        <v>60600</v>
      </c>
      <c r="AB13" s="36">
        <f t="shared" si="1"/>
        <v>101</v>
      </c>
    </row>
    <row r="14" spans="1:28" x14ac:dyDescent="0.2">
      <c r="A14" s="32" t="s">
        <v>12</v>
      </c>
      <c r="B14" s="48" t="s">
        <v>214</v>
      </c>
      <c r="C14" s="34" t="s">
        <v>213</v>
      </c>
      <c r="D14" s="32">
        <v>50</v>
      </c>
      <c r="E14" s="35">
        <v>600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>
        <v>3000</v>
      </c>
      <c r="Q14" s="35"/>
      <c r="R14" s="35"/>
      <c r="S14" s="35"/>
      <c r="T14" s="35"/>
      <c r="U14" s="35"/>
      <c r="V14" s="35"/>
      <c r="W14" s="35"/>
      <c r="X14" s="35"/>
      <c r="Y14" s="35"/>
      <c r="Z14" s="136"/>
      <c r="AA14" s="32">
        <f t="shared" si="0"/>
        <v>3000</v>
      </c>
      <c r="AB14" s="32">
        <f t="shared" si="1"/>
        <v>5</v>
      </c>
    </row>
    <row r="15" spans="1:28" s="28" customFormat="1" x14ac:dyDescent="0.2">
      <c r="A15" s="36">
        <v>7</v>
      </c>
      <c r="B15" s="37" t="s">
        <v>88</v>
      </c>
      <c r="C15" s="38" t="s">
        <v>14</v>
      </c>
      <c r="D15" s="36">
        <v>10</v>
      </c>
      <c r="E15" s="39">
        <v>400</v>
      </c>
      <c r="F15" s="39"/>
      <c r="G15" s="39">
        <v>8000</v>
      </c>
      <c r="H15" s="39"/>
      <c r="I15" s="39">
        <v>2000</v>
      </c>
      <c r="J15" s="39"/>
      <c r="K15" s="39"/>
      <c r="L15" s="39">
        <v>2400</v>
      </c>
      <c r="M15" s="39"/>
      <c r="N15" s="39">
        <v>2000</v>
      </c>
      <c r="O15" s="39"/>
      <c r="P15" s="39"/>
      <c r="Q15" s="39">
        <v>1600</v>
      </c>
      <c r="R15" s="39"/>
      <c r="S15" s="39">
        <v>3600</v>
      </c>
      <c r="T15" s="39"/>
      <c r="U15" s="39"/>
      <c r="V15" s="39"/>
      <c r="W15" s="39">
        <v>2000</v>
      </c>
      <c r="X15" s="39"/>
      <c r="Y15" s="39"/>
      <c r="Z15" s="136"/>
      <c r="AA15" s="36">
        <f t="shared" si="0"/>
        <v>21600</v>
      </c>
      <c r="AB15" s="36">
        <f t="shared" si="1"/>
        <v>54</v>
      </c>
    </row>
    <row r="16" spans="1:28" x14ac:dyDescent="0.2">
      <c r="A16" s="32">
        <v>8</v>
      </c>
      <c r="B16" s="33" t="s">
        <v>90</v>
      </c>
      <c r="C16" s="34" t="s">
        <v>15</v>
      </c>
      <c r="D16" s="32">
        <v>10</v>
      </c>
      <c r="E16" s="35">
        <v>400</v>
      </c>
      <c r="F16" s="35"/>
      <c r="G16" s="35"/>
      <c r="H16" s="35"/>
      <c r="I16" s="35">
        <v>4000</v>
      </c>
      <c r="J16" s="35">
        <v>8000</v>
      </c>
      <c r="K16" s="35">
        <v>4000</v>
      </c>
      <c r="L16" s="35">
        <v>4000</v>
      </c>
      <c r="M16" s="35"/>
      <c r="N16" s="35">
        <v>8000</v>
      </c>
      <c r="O16" s="35"/>
      <c r="P16" s="35"/>
      <c r="Q16" s="35"/>
      <c r="R16" s="35">
        <v>8000</v>
      </c>
      <c r="S16" s="35"/>
      <c r="T16" s="35"/>
      <c r="U16" s="35">
        <v>8000</v>
      </c>
      <c r="V16" s="35">
        <v>1200</v>
      </c>
      <c r="W16" s="35">
        <v>6800</v>
      </c>
      <c r="X16" s="35">
        <v>4000</v>
      </c>
      <c r="Y16" s="35"/>
      <c r="Z16" s="136"/>
      <c r="AA16" s="32">
        <f t="shared" si="0"/>
        <v>56000</v>
      </c>
      <c r="AB16" s="32">
        <f t="shared" si="1"/>
        <v>140</v>
      </c>
    </row>
    <row r="17" spans="1:28" s="28" customFormat="1" x14ac:dyDescent="0.2">
      <c r="A17" s="36">
        <v>9</v>
      </c>
      <c r="B17" s="37" t="s">
        <v>91</v>
      </c>
      <c r="C17" s="38" t="s">
        <v>16</v>
      </c>
      <c r="D17" s="36">
        <v>10</v>
      </c>
      <c r="E17" s="39">
        <v>300</v>
      </c>
      <c r="F17" s="39">
        <v>6000</v>
      </c>
      <c r="G17" s="39"/>
      <c r="H17" s="39">
        <v>6000</v>
      </c>
      <c r="I17" s="39"/>
      <c r="J17" s="39">
        <v>9000</v>
      </c>
      <c r="K17" s="39">
        <v>12000</v>
      </c>
      <c r="L17" s="39">
        <v>12000</v>
      </c>
      <c r="M17" s="39"/>
      <c r="N17" s="39"/>
      <c r="O17" s="39">
        <v>12000</v>
      </c>
      <c r="P17" s="39"/>
      <c r="Q17" s="39"/>
      <c r="R17" s="39">
        <v>9300</v>
      </c>
      <c r="S17" s="39">
        <v>2700</v>
      </c>
      <c r="T17" s="39"/>
      <c r="U17" s="39"/>
      <c r="V17" s="39">
        <v>7500</v>
      </c>
      <c r="W17" s="39">
        <v>7500</v>
      </c>
      <c r="X17" s="39">
        <v>6000</v>
      </c>
      <c r="Y17" s="39"/>
      <c r="Z17" s="136"/>
      <c r="AA17" s="36">
        <f t="shared" si="0"/>
        <v>90000</v>
      </c>
      <c r="AB17" s="36">
        <f t="shared" si="1"/>
        <v>300</v>
      </c>
    </row>
    <row r="18" spans="1:28" x14ac:dyDescent="0.2">
      <c r="A18" s="32" t="s">
        <v>17</v>
      </c>
      <c r="B18" s="40">
        <v>90441300</v>
      </c>
      <c r="C18" s="34" t="s">
        <v>179</v>
      </c>
      <c r="D18" s="32">
        <v>10</v>
      </c>
      <c r="E18" s="35">
        <v>300</v>
      </c>
      <c r="F18" s="35">
        <v>3000</v>
      </c>
      <c r="G18" s="35"/>
      <c r="H18" s="35">
        <v>3000</v>
      </c>
      <c r="I18" s="35"/>
      <c r="J18" s="35"/>
      <c r="K18" s="35">
        <v>3000</v>
      </c>
      <c r="L18" s="35">
        <v>3000</v>
      </c>
      <c r="M18" s="35"/>
      <c r="N18" s="35"/>
      <c r="O18" s="35">
        <v>3000</v>
      </c>
      <c r="P18" s="35"/>
      <c r="Q18" s="35">
        <v>3000</v>
      </c>
      <c r="R18" s="35"/>
      <c r="S18" s="35"/>
      <c r="T18" s="35"/>
      <c r="U18" s="35"/>
      <c r="V18" s="35"/>
      <c r="W18" s="35"/>
      <c r="X18" s="35">
        <v>3000</v>
      </c>
      <c r="Y18" s="35"/>
      <c r="Z18" s="136"/>
      <c r="AA18" s="32">
        <f t="shared" si="0"/>
        <v>21000</v>
      </c>
      <c r="AB18" s="32">
        <f t="shared" si="1"/>
        <v>70</v>
      </c>
    </row>
    <row r="19" spans="1:28" s="28" customFormat="1" x14ac:dyDescent="0.2">
      <c r="A19" s="36" t="s">
        <v>180</v>
      </c>
      <c r="B19" s="37" t="s">
        <v>168</v>
      </c>
      <c r="C19" s="76" t="s">
        <v>169</v>
      </c>
      <c r="D19" s="36">
        <v>10</v>
      </c>
      <c r="E19" s="39">
        <v>300</v>
      </c>
      <c r="F19" s="39"/>
      <c r="G19" s="39">
        <v>600</v>
      </c>
      <c r="H19" s="39"/>
      <c r="I19" s="39"/>
      <c r="J19" s="39"/>
      <c r="K19" s="39"/>
      <c r="L19" s="39"/>
      <c r="M19" s="39">
        <v>5400</v>
      </c>
      <c r="N19" s="39">
        <v>3000</v>
      </c>
      <c r="O19" s="39"/>
      <c r="P19" s="39">
        <v>3000</v>
      </c>
      <c r="Q19" s="39"/>
      <c r="R19" s="39"/>
      <c r="S19" s="39"/>
      <c r="T19" s="39"/>
      <c r="U19" s="39"/>
      <c r="V19" s="39"/>
      <c r="W19" s="39"/>
      <c r="X19" s="39">
        <v>3000</v>
      </c>
      <c r="Y19" s="39"/>
      <c r="Z19" s="136"/>
      <c r="AA19" s="36">
        <f t="shared" si="0"/>
        <v>15000</v>
      </c>
      <c r="AB19" s="36">
        <f t="shared" si="1"/>
        <v>50</v>
      </c>
    </row>
    <row r="20" spans="1:28" x14ac:dyDescent="0.2">
      <c r="A20" s="32">
        <v>10</v>
      </c>
      <c r="B20" s="33" t="s">
        <v>94</v>
      </c>
      <c r="C20" s="34" t="s">
        <v>19</v>
      </c>
      <c r="D20" s="41">
        <v>10</v>
      </c>
      <c r="E20" s="35">
        <v>130</v>
      </c>
      <c r="F20" s="35">
        <v>390</v>
      </c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136"/>
      <c r="AA20" s="32">
        <f t="shared" si="0"/>
        <v>390</v>
      </c>
      <c r="AB20" s="32">
        <f t="shared" si="1"/>
        <v>3</v>
      </c>
    </row>
    <row r="21" spans="1:28" s="28" customFormat="1" x14ac:dyDescent="0.2">
      <c r="A21" s="36"/>
      <c r="B21" s="37" t="s">
        <v>92</v>
      </c>
      <c r="C21" s="38" t="s">
        <v>287</v>
      </c>
      <c r="D21" s="115">
        <v>10</v>
      </c>
      <c r="E21" s="39">
        <v>110</v>
      </c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136"/>
      <c r="AA21" s="36">
        <f t="shared" si="0"/>
        <v>0</v>
      </c>
      <c r="AB21" s="36">
        <f t="shared" si="1"/>
        <v>0</v>
      </c>
    </row>
    <row r="22" spans="1:28" x14ac:dyDescent="0.2">
      <c r="A22" s="32">
        <v>12</v>
      </c>
      <c r="B22" s="33" t="s">
        <v>95</v>
      </c>
      <c r="C22" s="34" t="s">
        <v>21</v>
      </c>
      <c r="D22" s="32">
        <v>10</v>
      </c>
      <c r="E22" s="35">
        <v>80</v>
      </c>
      <c r="F22" s="35">
        <v>1280</v>
      </c>
      <c r="G22" s="35"/>
      <c r="H22" s="35"/>
      <c r="I22" s="35">
        <v>800</v>
      </c>
      <c r="J22" s="35"/>
      <c r="K22" s="35"/>
      <c r="L22" s="35">
        <v>480</v>
      </c>
      <c r="M22" s="35"/>
      <c r="N22" s="35"/>
      <c r="O22" s="35">
        <v>960</v>
      </c>
      <c r="P22" s="35"/>
      <c r="Q22" s="35">
        <v>480</v>
      </c>
      <c r="R22" s="35"/>
      <c r="S22" s="35"/>
      <c r="T22" s="35"/>
      <c r="U22" s="35"/>
      <c r="V22" s="35"/>
      <c r="W22" s="35">
        <v>800</v>
      </c>
      <c r="X22" s="35">
        <v>480</v>
      </c>
      <c r="Y22" s="35"/>
      <c r="Z22" s="136"/>
      <c r="AA22" s="32">
        <f t="shared" si="0"/>
        <v>5280</v>
      </c>
      <c r="AB22" s="32">
        <f t="shared" si="1"/>
        <v>66</v>
      </c>
    </row>
    <row r="23" spans="1:28" s="28" customFormat="1" x14ac:dyDescent="0.2">
      <c r="A23" s="36">
        <v>13</v>
      </c>
      <c r="B23" s="37" t="s">
        <v>99</v>
      </c>
      <c r="C23" s="38" t="s">
        <v>22</v>
      </c>
      <c r="D23" s="36">
        <v>100</v>
      </c>
      <c r="E23" s="39">
        <v>1200</v>
      </c>
      <c r="F23" s="39"/>
      <c r="G23" s="39">
        <f>18000+24000</f>
        <v>42000</v>
      </c>
      <c r="H23" s="39"/>
      <c r="I23" s="39"/>
      <c r="J23" s="39">
        <v>24000</v>
      </c>
      <c r="K23" s="39">
        <v>24000</v>
      </c>
      <c r="L23" s="39">
        <v>24000</v>
      </c>
      <c r="M23" s="39"/>
      <c r="N23" s="39"/>
      <c r="O23" s="39"/>
      <c r="P23" s="39">
        <v>12000</v>
      </c>
      <c r="Q23" s="39"/>
      <c r="R23" s="39"/>
      <c r="S23" s="39"/>
      <c r="T23" s="39">
        <v>12000</v>
      </c>
      <c r="U23" s="39"/>
      <c r="V23" s="39">
        <v>12000</v>
      </c>
      <c r="W23" s="39">
        <v>12000</v>
      </c>
      <c r="X23" s="39"/>
      <c r="Y23" s="39"/>
      <c r="Z23" s="136"/>
      <c r="AA23" s="36">
        <f t="shared" si="0"/>
        <v>162000</v>
      </c>
      <c r="AB23" s="36">
        <f t="shared" si="1"/>
        <v>135</v>
      </c>
    </row>
    <row r="24" spans="1:28" x14ac:dyDescent="0.2">
      <c r="A24" s="32">
        <v>14</v>
      </c>
      <c r="B24" s="33" t="s">
        <v>102</v>
      </c>
      <c r="C24" s="34" t="s">
        <v>23</v>
      </c>
      <c r="D24" s="32">
        <v>100</v>
      </c>
      <c r="E24" s="35">
        <v>1000</v>
      </c>
      <c r="F24" s="35"/>
      <c r="G24" s="35"/>
      <c r="H24" s="35">
        <v>14000</v>
      </c>
      <c r="I24" s="35"/>
      <c r="J24" s="35">
        <v>4000</v>
      </c>
      <c r="K24" s="35"/>
      <c r="L24" s="35">
        <v>8000</v>
      </c>
      <c r="M24" s="35"/>
      <c r="N24" s="35"/>
      <c r="O24" s="35">
        <v>10000</v>
      </c>
      <c r="P24" s="35"/>
      <c r="Q24" s="35">
        <v>6000</v>
      </c>
      <c r="R24" s="35"/>
      <c r="S24" s="35">
        <v>9000</v>
      </c>
      <c r="T24" s="35"/>
      <c r="U24" s="35">
        <v>3000</v>
      </c>
      <c r="V24" s="35">
        <v>3000</v>
      </c>
      <c r="W24" s="35"/>
      <c r="X24" s="35"/>
      <c r="Y24" s="35"/>
      <c r="Z24" s="136"/>
      <c r="AA24" s="32">
        <f t="shared" si="0"/>
        <v>57000</v>
      </c>
      <c r="AB24" s="32">
        <f t="shared" si="1"/>
        <v>57</v>
      </c>
    </row>
    <row r="25" spans="1:28" s="28" customFormat="1" x14ac:dyDescent="0.2">
      <c r="A25" s="36">
        <v>15</v>
      </c>
      <c r="B25" s="37" t="s">
        <v>97</v>
      </c>
      <c r="C25" s="38" t="s">
        <v>24</v>
      </c>
      <c r="D25" s="36">
        <v>50</v>
      </c>
      <c r="E25" s="39">
        <v>2800</v>
      </c>
      <c r="F25" s="39"/>
      <c r="G25" s="39">
        <v>5600</v>
      </c>
      <c r="H25" s="39">
        <v>5600</v>
      </c>
      <c r="I25" s="39"/>
      <c r="J25" s="39">
        <v>5600</v>
      </c>
      <c r="K25" s="39"/>
      <c r="L25" s="39">
        <v>11200</v>
      </c>
      <c r="M25" s="39"/>
      <c r="N25" s="39"/>
      <c r="O25" s="39"/>
      <c r="P25" s="39"/>
      <c r="Q25" s="39"/>
      <c r="R25" s="39">
        <v>11200</v>
      </c>
      <c r="S25" s="39"/>
      <c r="T25" s="39"/>
      <c r="U25" s="39">
        <v>8400</v>
      </c>
      <c r="V25" s="39">
        <v>5600</v>
      </c>
      <c r="W25" s="39"/>
      <c r="X25" s="39">
        <v>5600</v>
      </c>
      <c r="Y25" s="39"/>
      <c r="Z25" s="136"/>
      <c r="AA25" s="36">
        <f t="shared" si="0"/>
        <v>58800</v>
      </c>
      <c r="AB25" s="36">
        <f t="shared" si="1"/>
        <v>21</v>
      </c>
    </row>
    <row r="26" spans="1:28" x14ac:dyDescent="0.2">
      <c r="A26" s="32">
        <v>16</v>
      </c>
      <c r="B26" s="33" t="s">
        <v>98</v>
      </c>
      <c r="C26" s="34" t="s">
        <v>25</v>
      </c>
      <c r="D26" s="32">
        <v>50</v>
      </c>
      <c r="E26" s="35">
        <v>550</v>
      </c>
      <c r="F26" s="35"/>
      <c r="G26" s="35"/>
      <c r="H26" s="35">
        <v>12650</v>
      </c>
      <c r="I26" s="35">
        <v>3300</v>
      </c>
      <c r="J26" s="35">
        <v>3300</v>
      </c>
      <c r="K26" s="35">
        <v>5500</v>
      </c>
      <c r="L26" s="35"/>
      <c r="M26" s="35"/>
      <c r="N26" s="35">
        <v>6600</v>
      </c>
      <c r="O26" s="35"/>
      <c r="P26" s="35"/>
      <c r="Q26" s="35"/>
      <c r="R26" s="35">
        <v>8800</v>
      </c>
      <c r="S26" s="35"/>
      <c r="T26" s="35"/>
      <c r="U26" s="35">
        <v>6050</v>
      </c>
      <c r="V26" s="35"/>
      <c r="W26" s="35">
        <v>3300</v>
      </c>
      <c r="X26" s="35"/>
      <c r="Y26" s="35"/>
      <c r="Z26" s="136"/>
      <c r="AA26" s="32">
        <f t="shared" si="0"/>
        <v>49500</v>
      </c>
      <c r="AB26" s="32">
        <f t="shared" si="1"/>
        <v>90</v>
      </c>
    </row>
    <row r="27" spans="1:28" s="28" customFormat="1" x14ac:dyDescent="0.2">
      <c r="A27" s="36" t="s">
        <v>141</v>
      </c>
      <c r="B27" s="37" t="s">
        <v>142</v>
      </c>
      <c r="C27" s="38" t="s">
        <v>143</v>
      </c>
      <c r="D27" s="36">
        <v>50</v>
      </c>
      <c r="E27" s="39">
        <v>550</v>
      </c>
      <c r="F27" s="39"/>
      <c r="G27" s="39"/>
      <c r="H27" s="39">
        <v>12650</v>
      </c>
      <c r="I27" s="39">
        <v>3300</v>
      </c>
      <c r="J27" s="39">
        <v>3300</v>
      </c>
      <c r="K27" s="39">
        <v>5500</v>
      </c>
      <c r="L27" s="39"/>
      <c r="M27" s="39"/>
      <c r="N27" s="39">
        <v>6600</v>
      </c>
      <c r="O27" s="39"/>
      <c r="P27" s="39"/>
      <c r="Q27" s="39"/>
      <c r="R27" s="39">
        <v>8800</v>
      </c>
      <c r="S27" s="39"/>
      <c r="T27" s="39"/>
      <c r="U27" s="39">
        <v>11550</v>
      </c>
      <c r="V27" s="39">
        <v>2200</v>
      </c>
      <c r="W27" s="39">
        <v>1100</v>
      </c>
      <c r="X27" s="39"/>
      <c r="Y27" s="39"/>
      <c r="Z27" s="136"/>
      <c r="AA27" s="36">
        <f t="shared" si="0"/>
        <v>55000</v>
      </c>
      <c r="AB27" s="36">
        <f t="shared" si="1"/>
        <v>100</v>
      </c>
    </row>
    <row r="28" spans="1:28" x14ac:dyDescent="0.2">
      <c r="A28" s="32" t="s">
        <v>181</v>
      </c>
      <c r="B28" s="33" t="s">
        <v>170</v>
      </c>
      <c r="C28" s="34" t="s">
        <v>171</v>
      </c>
      <c r="D28" s="32">
        <v>10</v>
      </c>
      <c r="E28" s="35">
        <v>1200</v>
      </c>
      <c r="F28" s="35"/>
      <c r="G28" s="35">
        <v>2400</v>
      </c>
      <c r="H28" s="35">
        <v>3600</v>
      </c>
      <c r="I28" s="35">
        <v>6000</v>
      </c>
      <c r="J28" s="35"/>
      <c r="K28" s="35"/>
      <c r="L28" s="35">
        <v>6000</v>
      </c>
      <c r="M28" s="35"/>
      <c r="N28" s="35"/>
      <c r="O28" s="35">
        <v>6000</v>
      </c>
      <c r="P28" s="35"/>
      <c r="Q28" s="35"/>
      <c r="R28" s="35">
        <v>9600</v>
      </c>
      <c r="S28" s="35"/>
      <c r="T28" s="35"/>
      <c r="U28" s="35">
        <v>7200</v>
      </c>
      <c r="V28" s="35"/>
      <c r="W28" s="35">
        <v>8400</v>
      </c>
      <c r="X28" s="35">
        <v>2400</v>
      </c>
      <c r="Y28" s="35"/>
      <c r="Z28" s="136"/>
      <c r="AA28" s="32">
        <f t="shared" si="0"/>
        <v>51600</v>
      </c>
      <c r="AB28" s="32">
        <f t="shared" si="1"/>
        <v>43</v>
      </c>
    </row>
    <row r="29" spans="1:28" s="28" customFormat="1" x14ac:dyDescent="0.2">
      <c r="A29" s="36" t="s">
        <v>232</v>
      </c>
      <c r="B29" s="37" t="s">
        <v>195</v>
      </c>
      <c r="C29" s="38" t="s">
        <v>197</v>
      </c>
      <c r="D29" s="36">
        <v>10</v>
      </c>
      <c r="E29" s="39">
        <v>1300</v>
      </c>
      <c r="F29" s="39"/>
      <c r="G29" s="39">
        <v>2600</v>
      </c>
      <c r="H29" s="39"/>
      <c r="I29" s="39">
        <v>2600</v>
      </c>
      <c r="J29" s="39"/>
      <c r="K29" s="39">
        <v>2600</v>
      </c>
      <c r="L29" s="39"/>
      <c r="M29" s="39"/>
      <c r="N29" s="39">
        <v>6500</v>
      </c>
      <c r="O29" s="39"/>
      <c r="P29" s="39"/>
      <c r="Q29" s="39">
        <v>3900</v>
      </c>
      <c r="R29" s="39">
        <v>1300</v>
      </c>
      <c r="S29" s="39">
        <v>2600</v>
      </c>
      <c r="T29" s="39"/>
      <c r="U29" s="39"/>
      <c r="V29" s="39"/>
      <c r="W29" s="39">
        <v>2600</v>
      </c>
      <c r="X29" s="39"/>
      <c r="Y29" s="39"/>
      <c r="Z29" s="136"/>
      <c r="AA29" s="36">
        <f t="shared" si="0"/>
        <v>24700</v>
      </c>
      <c r="AB29" s="36">
        <f t="shared" si="1"/>
        <v>19</v>
      </c>
    </row>
    <row r="30" spans="1:28" x14ac:dyDescent="0.2">
      <c r="A30" s="32" t="s">
        <v>233</v>
      </c>
      <c r="B30" s="33" t="s">
        <v>196</v>
      </c>
      <c r="C30" s="34" t="s">
        <v>198</v>
      </c>
      <c r="D30" s="32">
        <v>10</v>
      </c>
      <c r="E30" s="35">
        <v>800</v>
      </c>
      <c r="F30" s="35"/>
      <c r="G30" s="35">
        <v>1600</v>
      </c>
      <c r="H30" s="35"/>
      <c r="I30" s="35">
        <v>2400</v>
      </c>
      <c r="J30" s="35"/>
      <c r="K30" s="35">
        <v>2400</v>
      </c>
      <c r="L30" s="35">
        <v>3200</v>
      </c>
      <c r="M30" s="35"/>
      <c r="N30" s="35"/>
      <c r="O30" s="35"/>
      <c r="P30" s="35"/>
      <c r="Q30" s="35">
        <v>2400</v>
      </c>
      <c r="R30" s="35">
        <v>1600</v>
      </c>
      <c r="S30" s="35">
        <v>800</v>
      </c>
      <c r="T30" s="35"/>
      <c r="U30" s="35">
        <v>800</v>
      </c>
      <c r="V30" s="35"/>
      <c r="W30" s="35">
        <v>3200</v>
      </c>
      <c r="X30" s="35"/>
      <c r="Y30" s="35"/>
      <c r="Z30" s="136"/>
      <c r="AA30" s="32">
        <f t="shared" si="0"/>
        <v>18400</v>
      </c>
      <c r="AB30" s="32">
        <f t="shared" si="1"/>
        <v>23</v>
      </c>
    </row>
    <row r="31" spans="1:28" s="28" customFormat="1" x14ac:dyDescent="0.2">
      <c r="A31" s="36"/>
      <c r="B31" s="37" t="s">
        <v>206</v>
      </c>
      <c r="C31" s="38" t="s">
        <v>207</v>
      </c>
      <c r="D31" s="36">
        <v>10</v>
      </c>
      <c r="E31" s="39">
        <v>450</v>
      </c>
      <c r="F31" s="39">
        <v>1800</v>
      </c>
      <c r="G31" s="39"/>
      <c r="H31" s="39">
        <v>1800</v>
      </c>
      <c r="I31" s="39"/>
      <c r="J31" s="39">
        <v>1800</v>
      </c>
      <c r="K31" s="39">
        <v>1800</v>
      </c>
      <c r="L31" s="39">
        <v>4500</v>
      </c>
      <c r="M31" s="39"/>
      <c r="N31" s="39"/>
      <c r="O31" s="39"/>
      <c r="P31" s="39"/>
      <c r="Q31" s="39">
        <v>450</v>
      </c>
      <c r="R31" s="39"/>
      <c r="S31" s="39">
        <v>4500</v>
      </c>
      <c r="T31" s="39"/>
      <c r="U31" s="39"/>
      <c r="V31" s="39"/>
      <c r="W31" s="39">
        <v>2700</v>
      </c>
      <c r="X31" s="39">
        <v>1800</v>
      </c>
      <c r="Y31" s="39"/>
      <c r="Z31" s="136"/>
      <c r="AA31" s="36">
        <f t="shared" si="0"/>
        <v>21150</v>
      </c>
      <c r="AB31" s="36">
        <f t="shared" si="1"/>
        <v>47</v>
      </c>
    </row>
    <row r="32" spans="1:28" x14ac:dyDescent="0.2">
      <c r="A32" s="32"/>
      <c r="B32" s="40">
        <v>90442200</v>
      </c>
      <c r="C32" s="34" t="s">
        <v>238</v>
      </c>
      <c r="D32" s="32">
        <v>10</v>
      </c>
      <c r="E32" s="35">
        <v>450</v>
      </c>
      <c r="F32" s="35"/>
      <c r="G32" s="35"/>
      <c r="H32" s="35">
        <v>1800</v>
      </c>
      <c r="I32" s="35"/>
      <c r="J32" s="35">
        <v>900</v>
      </c>
      <c r="K32" s="35">
        <v>900</v>
      </c>
      <c r="L32" s="35"/>
      <c r="M32" s="35"/>
      <c r="N32" s="35"/>
      <c r="O32" s="35"/>
      <c r="P32" s="35"/>
      <c r="Q32" s="35"/>
      <c r="R32" s="35"/>
      <c r="S32" s="35">
        <v>900</v>
      </c>
      <c r="T32" s="35"/>
      <c r="U32" s="35"/>
      <c r="V32" s="35"/>
      <c r="W32" s="35">
        <v>900</v>
      </c>
      <c r="X32" s="35"/>
      <c r="Y32" s="35"/>
      <c r="Z32" s="136"/>
      <c r="AA32" s="32">
        <f t="shared" si="0"/>
        <v>5400</v>
      </c>
      <c r="AB32" s="32">
        <f t="shared" si="1"/>
        <v>12</v>
      </c>
    </row>
    <row r="33" spans="1:28" s="28" customFormat="1" x14ac:dyDescent="0.2">
      <c r="A33" s="36">
        <v>19</v>
      </c>
      <c r="B33" s="37" t="s">
        <v>83</v>
      </c>
      <c r="C33" s="38" t="s">
        <v>26</v>
      </c>
      <c r="D33" s="36">
        <v>10</v>
      </c>
      <c r="E33" s="39">
        <v>330</v>
      </c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136"/>
      <c r="AA33" s="36">
        <f t="shared" si="0"/>
        <v>0</v>
      </c>
      <c r="AB33" s="36">
        <f t="shared" si="1"/>
        <v>0</v>
      </c>
    </row>
    <row r="34" spans="1:28" s="28" customFormat="1" x14ac:dyDescent="0.2">
      <c r="A34" s="36"/>
      <c r="B34" s="37" t="s">
        <v>83</v>
      </c>
      <c r="C34" s="38" t="s">
        <v>26</v>
      </c>
      <c r="D34" s="36">
        <v>10</v>
      </c>
      <c r="E34" s="39">
        <v>320</v>
      </c>
      <c r="F34" s="39"/>
      <c r="G34" s="39"/>
      <c r="H34" s="39"/>
      <c r="I34" s="39"/>
      <c r="J34" s="39"/>
      <c r="K34" s="39">
        <v>320</v>
      </c>
      <c r="L34" s="39"/>
      <c r="M34" s="39"/>
      <c r="N34" s="39">
        <v>320</v>
      </c>
      <c r="O34" s="39"/>
      <c r="P34" s="39"/>
      <c r="Q34" s="39"/>
      <c r="R34" s="39"/>
      <c r="S34" s="39">
        <v>1280</v>
      </c>
      <c r="T34" s="39"/>
      <c r="U34" s="39">
        <v>1280</v>
      </c>
      <c r="V34" s="39"/>
      <c r="W34" s="39">
        <v>640</v>
      </c>
      <c r="X34" s="39"/>
      <c r="Y34" s="39"/>
      <c r="Z34" s="136"/>
      <c r="AA34" s="36">
        <f t="shared" si="0"/>
        <v>3840</v>
      </c>
      <c r="AB34" s="36">
        <f t="shared" si="1"/>
        <v>12</v>
      </c>
    </row>
    <row r="35" spans="1:28" x14ac:dyDescent="0.2">
      <c r="A35" s="32">
        <v>21</v>
      </c>
      <c r="B35" s="33" t="s">
        <v>30</v>
      </c>
      <c r="C35" s="34" t="s">
        <v>31</v>
      </c>
      <c r="D35" s="32">
        <v>10</v>
      </c>
      <c r="E35" s="35">
        <v>230</v>
      </c>
      <c r="F35" s="35"/>
      <c r="G35" s="35">
        <v>1610</v>
      </c>
      <c r="H35" s="35">
        <v>2300</v>
      </c>
      <c r="I35" s="35"/>
      <c r="J35" s="35">
        <v>2300</v>
      </c>
      <c r="K35" s="35">
        <v>2300</v>
      </c>
      <c r="L35" s="35">
        <v>2300</v>
      </c>
      <c r="M35" s="35"/>
      <c r="N35" s="35"/>
      <c r="O35" s="35">
        <v>2300</v>
      </c>
      <c r="P35" s="35"/>
      <c r="Q35" s="35">
        <v>2300</v>
      </c>
      <c r="R35" s="35"/>
      <c r="S35" s="35"/>
      <c r="T35" s="35"/>
      <c r="U35" s="35"/>
      <c r="V35" s="35">
        <v>2300</v>
      </c>
      <c r="W35" s="35"/>
      <c r="X35" s="35">
        <v>1380</v>
      </c>
      <c r="Y35" s="35"/>
      <c r="Z35" s="136"/>
      <c r="AA35" s="32">
        <f t="shared" si="0"/>
        <v>19090</v>
      </c>
      <c r="AB35" s="32">
        <f t="shared" si="1"/>
        <v>83</v>
      </c>
    </row>
    <row r="36" spans="1:28" s="28" customFormat="1" x14ac:dyDescent="0.2">
      <c r="A36" s="36" t="s">
        <v>194</v>
      </c>
      <c r="B36" s="42">
        <v>90442300</v>
      </c>
      <c r="C36" s="38" t="s">
        <v>173</v>
      </c>
      <c r="D36" s="36">
        <v>10</v>
      </c>
      <c r="E36" s="39">
        <v>230</v>
      </c>
      <c r="F36" s="39"/>
      <c r="G36" s="39">
        <v>920</v>
      </c>
      <c r="H36" s="39">
        <v>2300</v>
      </c>
      <c r="I36" s="39"/>
      <c r="J36" s="39">
        <v>2300</v>
      </c>
      <c r="K36" s="39">
        <v>2300</v>
      </c>
      <c r="L36" s="39">
        <v>2300</v>
      </c>
      <c r="M36" s="39"/>
      <c r="N36" s="39"/>
      <c r="O36" s="39"/>
      <c r="P36" s="39"/>
      <c r="Q36" s="39">
        <v>920</v>
      </c>
      <c r="R36" s="39"/>
      <c r="S36" s="39"/>
      <c r="T36" s="39"/>
      <c r="U36" s="39"/>
      <c r="V36" s="39">
        <v>1150</v>
      </c>
      <c r="W36" s="39"/>
      <c r="X36" s="39"/>
      <c r="Y36" s="39"/>
      <c r="Z36" s="136"/>
      <c r="AA36" s="36">
        <f t="shared" si="0"/>
        <v>12190</v>
      </c>
      <c r="AB36" s="36">
        <f t="shared" si="1"/>
        <v>53</v>
      </c>
    </row>
    <row r="37" spans="1:28" s="47" customFormat="1" x14ac:dyDescent="0.2">
      <c r="A37" s="43"/>
      <c r="B37" s="44" t="s">
        <v>262</v>
      </c>
      <c r="C37" s="116" t="s">
        <v>264</v>
      </c>
      <c r="D37" s="43">
        <v>10</v>
      </c>
      <c r="E37" s="46">
        <v>230</v>
      </c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136"/>
      <c r="AA37" s="43">
        <f t="shared" si="0"/>
        <v>0</v>
      </c>
      <c r="AB37" s="43">
        <f t="shared" si="1"/>
        <v>0</v>
      </c>
    </row>
    <row r="38" spans="1:28" s="28" customFormat="1" x14ac:dyDescent="0.2">
      <c r="A38" s="36">
        <v>23</v>
      </c>
      <c r="B38" s="37" t="s">
        <v>93</v>
      </c>
      <c r="C38" s="76" t="s">
        <v>304</v>
      </c>
      <c r="D38" s="36">
        <v>5</v>
      </c>
      <c r="E38" s="39">
        <v>75</v>
      </c>
      <c r="F38" s="39"/>
      <c r="G38" s="39"/>
      <c r="H38" s="39"/>
      <c r="I38" s="39"/>
      <c r="J38" s="39"/>
      <c r="K38" s="39">
        <v>300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136"/>
      <c r="AA38" s="36">
        <f t="shared" si="0"/>
        <v>300</v>
      </c>
      <c r="AB38" s="36">
        <f t="shared" si="1"/>
        <v>4</v>
      </c>
    </row>
    <row r="39" spans="1:28" s="47" customFormat="1" x14ac:dyDescent="0.2">
      <c r="A39" s="43"/>
      <c r="B39" s="117" t="s">
        <v>35</v>
      </c>
      <c r="C39" s="116" t="s">
        <v>36</v>
      </c>
      <c r="D39" s="43">
        <v>5</v>
      </c>
      <c r="E39" s="46">
        <v>50</v>
      </c>
      <c r="F39" s="46">
        <v>500</v>
      </c>
      <c r="G39" s="46"/>
      <c r="H39" s="46">
        <v>500</v>
      </c>
      <c r="I39" s="46"/>
      <c r="J39" s="46"/>
      <c r="K39" s="46">
        <v>500</v>
      </c>
      <c r="L39" s="46"/>
      <c r="M39" s="46"/>
      <c r="N39" s="46">
        <v>500</v>
      </c>
      <c r="O39" s="46">
        <v>1000</v>
      </c>
      <c r="P39" s="46"/>
      <c r="Q39" s="46"/>
      <c r="R39" s="46">
        <v>500</v>
      </c>
      <c r="S39" s="46"/>
      <c r="T39" s="46"/>
      <c r="U39" s="46"/>
      <c r="V39" s="46">
        <v>1000</v>
      </c>
      <c r="W39" s="46">
        <v>1000</v>
      </c>
      <c r="X39" s="46">
        <v>500</v>
      </c>
      <c r="Y39" s="46"/>
      <c r="Z39" s="136"/>
      <c r="AA39" s="43">
        <f t="shared" ref="AA39:AA56" si="2">SUM(F39:Z39)</f>
        <v>6000</v>
      </c>
      <c r="AB39" s="43">
        <f t="shared" ref="AB39:AB56" si="3">AA39/E39</f>
        <v>120</v>
      </c>
    </row>
    <row r="40" spans="1:28" s="28" customFormat="1" x14ac:dyDescent="0.2">
      <c r="A40" s="36">
        <v>24</v>
      </c>
      <c r="B40" s="37" t="s">
        <v>101</v>
      </c>
      <c r="C40" s="38" t="s">
        <v>37</v>
      </c>
      <c r="D40" s="36">
        <v>50</v>
      </c>
      <c r="E40" s="39">
        <v>600</v>
      </c>
      <c r="F40" s="39"/>
      <c r="G40" s="39"/>
      <c r="H40" s="39"/>
      <c r="I40" s="39">
        <v>600</v>
      </c>
      <c r="J40" s="39"/>
      <c r="K40" s="39">
        <v>1200</v>
      </c>
      <c r="L40" s="39">
        <v>1200</v>
      </c>
      <c r="M40" s="39"/>
      <c r="N40" s="39"/>
      <c r="O40" s="39"/>
      <c r="P40" s="39"/>
      <c r="Q40" s="39">
        <v>600</v>
      </c>
      <c r="R40" s="39"/>
      <c r="S40" s="39"/>
      <c r="T40" s="39"/>
      <c r="U40" s="39"/>
      <c r="V40" s="39"/>
      <c r="W40" s="39">
        <v>600</v>
      </c>
      <c r="X40" s="39">
        <v>600</v>
      </c>
      <c r="Y40" s="39"/>
      <c r="Z40" s="136"/>
      <c r="AA40" s="36">
        <f t="shared" si="2"/>
        <v>4800</v>
      </c>
      <c r="AB40" s="36">
        <f t="shared" si="3"/>
        <v>8</v>
      </c>
    </row>
    <row r="41" spans="1:28" s="47" customFormat="1" x14ac:dyDescent="0.2">
      <c r="A41" s="43" t="s">
        <v>234</v>
      </c>
      <c r="B41" s="44" t="s">
        <v>200</v>
      </c>
      <c r="C41" s="45" t="s">
        <v>201</v>
      </c>
      <c r="D41" s="43">
        <v>10</v>
      </c>
      <c r="E41" s="43">
        <v>800</v>
      </c>
      <c r="F41" s="46"/>
      <c r="G41" s="46">
        <v>1600</v>
      </c>
      <c r="H41" s="46"/>
      <c r="I41" s="46">
        <v>2400</v>
      </c>
      <c r="J41" s="46"/>
      <c r="K41" s="46">
        <v>4800</v>
      </c>
      <c r="L41" s="46"/>
      <c r="M41" s="46"/>
      <c r="N41" s="46">
        <v>3200</v>
      </c>
      <c r="O41" s="46"/>
      <c r="P41" s="46"/>
      <c r="Q41" s="46"/>
      <c r="R41" s="46"/>
      <c r="S41" s="46">
        <v>2400</v>
      </c>
      <c r="T41" s="46"/>
      <c r="U41" s="46">
        <v>3200</v>
      </c>
      <c r="V41" s="46">
        <v>800</v>
      </c>
      <c r="W41" s="46">
        <v>1600</v>
      </c>
      <c r="X41" s="46"/>
      <c r="Y41" s="46"/>
      <c r="Z41" s="136"/>
      <c r="AA41" s="43">
        <f t="shared" si="2"/>
        <v>20000</v>
      </c>
      <c r="AB41" s="43">
        <f t="shared" si="3"/>
        <v>25</v>
      </c>
    </row>
    <row r="42" spans="1:28" s="28" customFormat="1" x14ac:dyDescent="0.2">
      <c r="A42" s="36"/>
      <c r="B42" s="42" t="s">
        <v>208</v>
      </c>
      <c r="C42" s="38" t="s">
        <v>209</v>
      </c>
      <c r="D42" s="36">
        <v>10</v>
      </c>
      <c r="E42" s="36">
        <v>400</v>
      </c>
      <c r="F42" s="39"/>
      <c r="G42" s="39">
        <v>400</v>
      </c>
      <c r="H42" s="39"/>
      <c r="I42" s="39"/>
      <c r="J42" s="39"/>
      <c r="K42" s="39">
        <v>400</v>
      </c>
      <c r="L42" s="39">
        <v>800</v>
      </c>
      <c r="M42" s="39"/>
      <c r="N42" s="39"/>
      <c r="O42" s="39"/>
      <c r="P42" s="39"/>
      <c r="Q42" s="39">
        <v>400</v>
      </c>
      <c r="R42" s="39">
        <v>400</v>
      </c>
      <c r="S42" s="39"/>
      <c r="T42" s="39"/>
      <c r="U42" s="39"/>
      <c r="V42" s="39">
        <v>800</v>
      </c>
      <c r="W42" s="39"/>
      <c r="X42" s="39">
        <v>400</v>
      </c>
      <c r="Y42" s="39"/>
      <c r="Z42" s="136"/>
      <c r="AA42" s="36">
        <f t="shared" si="2"/>
        <v>3600</v>
      </c>
      <c r="AB42" s="36">
        <f t="shared" si="3"/>
        <v>9</v>
      </c>
    </row>
    <row r="43" spans="1:28" s="47" customFormat="1" x14ac:dyDescent="0.2">
      <c r="A43" s="43"/>
      <c r="B43" s="98" t="s">
        <v>295</v>
      </c>
      <c r="C43" s="38" t="s">
        <v>296</v>
      </c>
      <c r="D43" s="43">
        <v>10</v>
      </c>
      <c r="E43" s="43">
        <v>400</v>
      </c>
      <c r="F43" s="46"/>
      <c r="G43" s="46">
        <v>800</v>
      </c>
      <c r="H43" s="46"/>
      <c r="I43" s="46"/>
      <c r="J43" s="46"/>
      <c r="K43" s="46">
        <v>400</v>
      </c>
      <c r="L43" s="46">
        <v>800</v>
      </c>
      <c r="M43" s="46"/>
      <c r="N43" s="46"/>
      <c r="O43" s="46"/>
      <c r="P43" s="46"/>
      <c r="Q43" s="46">
        <v>400</v>
      </c>
      <c r="R43" s="46">
        <v>400</v>
      </c>
      <c r="S43" s="46"/>
      <c r="T43" s="46"/>
      <c r="U43" s="46"/>
      <c r="V43" s="46">
        <v>400</v>
      </c>
      <c r="W43" s="46"/>
      <c r="X43" s="46">
        <v>400</v>
      </c>
      <c r="Y43" s="46"/>
      <c r="Z43" s="136"/>
      <c r="AA43" s="43">
        <f t="shared" si="2"/>
        <v>3600</v>
      </c>
      <c r="AB43" s="43">
        <f t="shared" si="3"/>
        <v>9</v>
      </c>
    </row>
    <row r="44" spans="1:28" s="28" customFormat="1" x14ac:dyDescent="0.2">
      <c r="A44" s="36"/>
      <c r="B44" s="42" t="s">
        <v>210</v>
      </c>
      <c r="C44" s="38" t="s">
        <v>211</v>
      </c>
      <c r="D44" s="36">
        <v>10</v>
      </c>
      <c r="E44" s="36">
        <v>300</v>
      </c>
      <c r="F44" s="39">
        <v>600</v>
      </c>
      <c r="G44" s="39"/>
      <c r="H44" s="39">
        <v>600</v>
      </c>
      <c r="I44" s="39"/>
      <c r="J44" s="39"/>
      <c r="K44" s="39">
        <v>600</v>
      </c>
      <c r="L44" s="39">
        <v>1200</v>
      </c>
      <c r="M44" s="39"/>
      <c r="N44" s="39"/>
      <c r="O44" s="39"/>
      <c r="P44" s="39"/>
      <c r="Q44" s="39">
        <v>600</v>
      </c>
      <c r="R44" s="39">
        <v>300</v>
      </c>
      <c r="S44" s="39"/>
      <c r="T44" s="39"/>
      <c r="U44" s="39">
        <v>300</v>
      </c>
      <c r="V44" s="39">
        <v>900</v>
      </c>
      <c r="W44" s="39"/>
      <c r="X44" s="39"/>
      <c r="Y44" s="39"/>
      <c r="Z44" s="136"/>
      <c r="AA44" s="36">
        <f t="shared" si="2"/>
        <v>5100</v>
      </c>
      <c r="AB44" s="36">
        <f t="shared" si="3"/>
        <v>17</v>
      </c>
    </row>
    <row r="45" spans="1:28" s="47" customFormat="1" x14ac:dyDescent="0.2">
      <c r="A45" s="43"/>
      <c r="B45" s="44">
        <v>90443200</v>
      </c>
      <c r="C45" s="45" t="s">
        <v>237</v>
      </c>
      <c r="D45" s="43">
        <v>10</v>
      </c>
      <c r="E45" s="43">
        <v>300</v>
      </c>
      <c r="F45" s="46">
        <v>3000</v>
      </c>
      <c r="G45" s="46"/>
      <c r="H45" s="46">
        <v>3000</v>
      </c>
      <c r="I45" s="46"/>
      <c r="J45" s="46"/>
      <c r="K45" s="46">
        <v>3000</v>
      </c>
      <c r="L45" s="46">
        <v>3000</v>
      </c>
      <c r="M45" s="46"/>
      <c r="N45" s="46"/>
      <c r="O45" s="46"/>
      <c r="P45" s="46"/>
      <c r="Q45" s="46">
        <v>3000</v>
      </c>
      <c r="R45" s="46"/>
      <c r="S45" s="46"/>
      <c r="T45" s="46"/>
      <c r="U45" s="46"/>
      <c r="V45" s="46"/>
      <c r="W45" s="46"/>
      <c r="X45" s="46">
        <v>600</v>
      </c>
      <c r="Y45" s="46"/>
      <c r="Z45" s="136"/>
      <c r="AA45" s="43">
        <f t="shared" si="2"/>
        <v>15600</v>
      </c>
      <c r="AB45" s="43">
        <f t="shared" si="3"/>
        <v>52</v>
      </c>
    </row>
    <row r="46" spans="1:28" s="28" customFormat="1" x14ac:dyDescent="0.2">
      <c r="A46" s="36">
        <v>26</v>
      </c>
      <c r="B46" s="42" t="s">
        <v>157</v>
      </c>
      <c r="C46" s="38" t="s">
        <v>160</v>
      </c>
      <c r="D46" s="36">
        <v>10</v>
      </c>
      <c r="E46" s="36">
        <v>160</v>
      </c>
      <c r="F46" s="39">
        <v>1600</v>
      </c>
      <c r="G46" s="39"/>
      <c r="H46" s="39">
        <v>1600</v>
      </c>
      <c r="I46" s="39"/>
      <c r="J46" s="39">
        <v>1600</v>
      </c>
      <c r="K46" s="39">
        <v>1600</v>
      </c>
      <c r="L46" s="39">
        <v>1600</v>
      </c>
      <c r="M46" s="39"/>
      <c r="N46" s="39"/>
      <c r="O46" s="39">
        <v>1600</v>
      </c>
      <c r="P46" s="39"/>
      <c r="Q46" s="39">
        <v>1600</v>
      </c>
      <c r="R46" s="39"/>
      <c r="S46" s="39"/>
      <c r="T46" s="39"/>
      <c r="U46" s="39"/>
      <c r="V46" s="39">
        <v>1600</v>
      </c>
      <c r="W46" s="39"/>
      <c r="X46" s="39">
        <v>1600</v>
      </c>
      <c r="Y46" s="39"/>
      <c r="Z46" s="136"/>
      <c r="AA46" s="36">
        <f t="shared" si="2"/>
        <v>14400</v>
      </c>
      <c r="AB46" s="36">
        <f t="shared" si="3"/>
        <v>90</v>
      </c>
    </row>
    <row r="47" spans="1:28" s="47" customFormat="1" x14ac:dyDescent="0.2">
      <c r="A47" s="43" t="s">
        <v>199</v>
      </c>
      <c r="B47" s="44">
        <v>90443300</v>
      </c>
      <c r="C47" s="45" t="s">
        <v>172</v>
      </c>
      <c r="D47" s="43">
        <v>10</v>
      </c>
      <c r="E47" s="43">
        <v>160</v>
      </c>
      <c r="F47" s="46">
        <v>3200</v>
      </c>
      <c r="G47" s="46">
        <v>480</v>
      </c>
      <c r="H47" s="46">
        <v>3200</v>
      </c>
      <c r="I47" s="46"/>
      <c r="J47" s="46">
        <v>1600</v>
      </c>
      <c r="K47" s="46">
        <v>1600</v>
      </c>
      <c r="L47" s="46">
        <v>1600</v>
      </c>
      <c r="M47" s="46"/>
      <c r="N47" s="46"/>
      <c r="O47" s="46"/>
      <c r="P47" s="46"/>
      <c r="Q47" s="46"/>
      <c r="R47" s="46"/>
      <c r="S47" s="46"/>
      <c r="T47" s="46"/>
      <c r="U47" s="46"/>
      <c r="V47" s="46">
        <v>800</v>
      </c>
      <c r="W47" s="46"/>
      <c r="X47" s="46"/>
      <c r="Y47" s="46"/>
      <c r="Z47" s="136"/>
      <c r="AA47" s="43">
        <f t="shared" si="2"/>
        <v>12480</v>
      </c>
      <c r="AB47" s="43">
        <f t="shared" si="3"/>
        <v>78</v>
      </c>
    </row>
    <row r="48" spans="1:28" s="28" customFormat="1" x14ac:dyDescent="0.2">
      <c r="A48" s="36"/>
      <c r="B48" s="42" t="s">
        <v>263</v>
      </c>
      <c r="C48" s="76" t="s">
        <v>265</v>
      </c>
      <c r="D48" s="36">
        <v>10</v>
      </c>
      <c r="E48" s="39">
        <v>160</v>
      </c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136"/>
      <c r="AA48" s="36">
        <f t="shared" si="2"/>
        <v>0</v>
      </c>
      <c r="AB48" s="36">
        <f t="shared" si="3"/>
        <v>0</v>
      </c>
    </row>
    <row r="49" spans="1:28" s="47" customFormat="1" x14ac:dyDescent="0.2">
      <c r="A49" s="43"/>
      <c r="B49" s="44" t="s">
        <v>158</v>
      </c>
      <c r="C49" s="116" t="s">
        <v>260</v>
      </c>
      <c r="D49" s="43">
        <v>5</v>
      </c>
      <c r="E49" s="46">
        <v>35</v>
      </c>
      <c r="F49" s="46">
        <v>350</v>
      </c>
      <c r="G49" s="46"/>
      <c r="H49" s="46"/>
      <c r="I49" s="46"/>
      <c r="J49" s="46"/>
      <c r="K49" s="46"/>
      <c r="L49" s="46"/>
      <c r="M49" s="46"/>
      <c r="N49" s="46"/>
      <c r="O49" s="46">
        <v>350</v>
      </c>
      <c r="P49" s="46"/>
      <c r="Q49" s="46"/>
      <c r="R49" s="46"/>
      <c r="S49" s="46"/>
      <c r="T49" s="46"/>
      <c r="U49" s="46"/>
      <c r="V49" s="46">
        <v>350</v>
      </c>
      <c r="W49" s="46"/>
      <c r="X49" s="46">
        <v>350</v>
      </c>
      <c r="Y49" s="46"/>
      <c r="Z49" s="136"/>
      <c r="AA49" s="43">
        <f t="shared" si="2"/>
        <v>1400</v>
      </c>
      <c r="AB49" s="43">
        <f t="shared" si="3"/>
        <v>40</v>
      </c>
    </row>
    <row r="50" spans="1:28" s="28" customFormat="1" x14ac:dyDescent="0.2">
      <c r="A50" s="36">
        <v>28</v>
      </c>
      <c r="B50" s="37" t="s">
        <v>159</v>
      </c>
      <c r="C50" s="38" t="s">
        <v>162</v>
      </c>
      <c r="D50" s="36">
        <v>50</v>
      </c>
      <c r="E50" s="39">
        <v>350</v>
      </c>
      <c r="F50" s="39"/>
      <c r="G50" s="39">
        <v>350</v>
      </c>
      <c r="H50" s="39"/>
      <c r="I50" s="39">
        <v>350</v>
      </c>
      <c r="J50" s="39"/>
      <c r="K50" s="39">
        <v>1400</v>
      </c>
      <c r="L50" s="39"/>
      <c r="M50" s="39"/>
      <c r="N50" s="39">
        <v>1400</v>
      </c>
      <c r="O50" s="39"/>
      <c r="P50" s="39"/>
      <c r="Q50" s="39">
        <v>700</v>
      </c>
      <c r="R50" s="39"/>
      <c r="S50" s="39"/>
      <c r="T50" s="39"/>
      <c r="U50" s="39"/>
      <c r="V50" s="39"/>
      <c r="W50" s="39">
        <v>700</v>
      </c>
      <c r="X50" s="39"/>
      <c r="Y50" s="39"/>
      <c r="Z50" s="136"/>
      <c r="AA50" s="36">
        <f t="shared" si="2"/>
        <v>4900</v>
      </c>
      <c r="AB50" s="36">
        <f t="shared" si="3"/>
        <v>14</v>
      </c>
    </row>
    <row r="51" spans="1:28" s="28" customFormat="1" x14ac:dyDescent="0.2">
      <c r="A51" s="36">
        <v>29</v>
      </c>
      <c r="B51" s="37" t="s">
        <v>349</v>
      </c>
      <c r="C51" s="170" t="s">
        <v>350</v>
      </c>
      <c r="D51" s="36">
        <v>10</v>
      </c>
      <c r="E51" s="39">
        <v>520</v>
      </c>
      <c r="F51" s="39"/>
      <c r="G51" s="39">
        <v>520</v>
      </c>
      <c r="H51" s="39"/>
      <c r="I51" s="39"/>
      <c r="J51" s="39"/>
      <c r="K51" s="39">
        <v>520</v>
      </c>
      <c r="L51" s="39"/>
      <c r="M51" s="39">
        <v>520</v>
      </c>
      <c r="N51" s="39"/>
      <c r="O51" s="39"/>
      <c r="P51" s="39">
        <v>520</v>
      </c>
      <c r="Q51" s="39"/>
      <c r="R51" s="39"/>
      <c r="S51" s="39"/>
      <c r="T51" s="39"/>
      <c r="U51" s="39"/>
      <c r="V51" s="39">
        <v>520</v>
      </c>
      <c r="W51" s="39">
        <v>520</v>
      </c>
      <c r="X51" s="39"/>
      <c r="Y51" s="39"/>
      <c r="Z51" s="136"/>
      <c r="AA51" s="36">
        <f t="shared" si="2"/>
        <v>3120</v>
      </c>
      <c r="AB51" s="36">
        <f t="shared" si="3"/>
        <v>6</v>
      </c>
    </row>
    <row r="52" spans="1:28" s="28" customFormat="1" x14ac:dyDescent="0.2">
      <c r="A52" s="36"/>
      <c r="B52" s="37" t="s">
        <v>349</v>
      </c>
      <c r="C52" s="170" t="s">
        <v>350</v>
      </c>
      <c r="D52" s="36">
        <v>10</v>
      </c>
      <c r="E52" s="39">
        <v>450</v>
      </c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136"/>
      <c r="AA52" s="36">
        <f t="shared" si="2"/>
        <v>0</v>
      </c>
      <c r="AB52" s="36">
        <f t="shared" si="3"/>
        <v>0</v>
      </c>
    </row>
    <row r="53" spans="1:28" x14ac:dyDescent="0.2">
      <c r="A53" s="32">
        <v>31</v>
      </c>
      <c r="B53" s="33" t="s">
        <v>100</v>
      </c>
      <c r="C53" s="34" t="s">
        <v>40</v>
      </c>
      <c r="D53" s="32">
        <v>50</v>
      </c>
      <c r="E53" s="35">
        <v>1750</v>
      </c>
      <c r="F53" s="35"/>
      <c r="G53" s="35"/>
      <c r="H53" s="35"/>
      <c r="I53" s="35"/>
      <c r="J53" s="35">
        <v>3500</v>
      </c>
      <c r="K53" s="35"/>
      <c r="L53" s="35">
        <v>3500</v>
      </c>
      <c r="M53" s="35"/>
      <c r="N53" s="35"/>
      <c r="O53" s="35">
        <v>7000</v>
      </c>
      <c r="P53" s="35"/>
      <c r="Q53" s="35"/>
      <c r="R53" s="35">
        <v>10500</v>
      </c>
      <c r="S53" s="35"/>
      <c r="T53" s="35"/>
      <c r="U53" s="35">
        <v>5250</v>
      </c>
      <c r="V53" s="35"/>
      <c r="W53" s="35"/>
      <c r="X53" s="35"/>
      <c r="Y53" s="35"/>
      <c r="Z53" s="136"/>
      <c r="AA53" s="32">
        <f t="shared" si="2"/>
        <v>29750</v>
      </c>
      <c r="AB53" s="32">
        <f t="shared" si="3"/>
        <v>17</v>
      </c>
    </row>
    <row r="54" spans="1:28" s="28" customFormat="1" x14ac:dyDescent="0.2">
      <c r="A54" s="36"/>
      <c r="B54" s="37" t="s">
        <v>271</v>
      </c>
      <c r="C54" s="38" t="s">
        <v>274</v>
      </c>
      <c r="D54" s="36">
        <v>5</v>
      </c>
      <c r="E54" s="39">
        <v>85</v>
      </c>
      <c r="F54" s="39"/>
      <c r="G54" s="39"/>
      <c r="H54" s="39"/>
      <c r="I54" s="39"/>
      <c r="J54" s="39"/>
      <c r="K54" s="39"/>
      <c r="L54" s="39"/>
      <c r="M54" s="39">
        <v>340</v>
      </c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>
        <v>340</v>
      </c>
      <c r="Y54" s="39"/>
      <c r="Z54" s="136"/>
      <c r="AA54" s="36">
        <f t="shared" si="2"/>
        <v>680</v>
      </c>
      <c r="AB54" s="36">
        <f t="shared" si="3"/>
        <v>8</v>
      </c>
    </row>
    <row r="55" spans="1:28" x14ac:dyDescent="0.2">
      <c r="A55" s="32"/>
      <c r="B55" s="33" t="s">
        <v>272</v>
      </c>
      <c r="C55" s="34" t="s">
        <v>275</v>
      </c>
      <c r="D55" s="32">
        <v>5</v>
      </c>
      <c r="E55" s="35">
        <v>75</v>
      </c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>
        <v>375</v>
      </c>
      <c r="Y55" s="35"/>
      <c r="Z55" s="136"/>
      <c r="AA55" s="32">
        <f t="shared" si="2"/>
        <v>375</v>
      </c>
      <c r="AB55" s="32">
        <f t="shared" si="3"/>
        <v>5</v>
      </c>
    </row>
    <row r="56" spans="1:28" s="47" customFormat="1" x14ac:dyDescent="0.2">
      <c r="A56" s="43"/>
      <c r="B56" s="117" t="s">
        <v>273</v>
      </c>
      <c r="C56" s="45" t="s">
        <v>276</v>
      </c>
      <c r="D56" s="43">
        <v>5</v>
      </c>
      <c r="E56" s="46">
        <v>45</v>
      </c>
      <c r="F56" s="46"/>
      <c r="G56" s="46"/>
      <c r="H56" s="46"/>
      <c r="I56" s="46"/>
      <c r="J56" s="46"/>
      <c r="K56" s="46"/>
      <c r="L56" s="46"/>
      <c r="M56" s="46"/>
      <c r="N56" s="46">
        <v>225</v>
      </c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3">
        <f t="shared" si="2"/>
        <v>225</v>
      </c>
      <c r="AB56" s="43">
        <f t="shared" si="3"/>
        <v>5</v>
      </c>
    </row>
    <row r="57" spans="1:28" x14ac:dyDescent="0.2">
      <c r="A57" s="32"/>
      <c r="B57" s="33"/>
      <c r="C57" s="34"/>
      <c r="D57" s="32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136"/>
      <c r="AA57" s="32"/>
      <c r="AB57" s="32"/>
    </row>
    <row r="58" spans="1:28" x14ac:dyDescent="0.2">
      <c r="A58" s="410" t="s">
        <v>135</v>
      </c>
      <c r="B58" s="414"/>
      <c r="C58" s="414"/>
      <c r="D58" s="414"/>
      <c r="E58" s="411"/>
      <c r="F58" s="172">
        <f t="shared" ref="F58:AA58" si="4">SUM(F7:F57)</f>
        <v>30120</v>
      </c>
      <c r="G58" s="172">
        <f t="shared" si="4"/>
        <v>97480</v>
      </c>
      <c r="H58" s="172">
        <f t="shared" si="4"/>
        <v>94600</v>
      </c>
      <c r="I58" s="172">
        <f t="shared" si="4"/>
        <v>43550</v>
      </c>
      <c r="J58" s="172">
        <f t="shared" si="4"/>
        <v>89200</v>
      </c>
      <c r="K58" s="177">
        <f t="shared" si="4"/>
        <v>133940</v>
      </c>
      <c r="L58" s="181">
        <f t="shared" si="4"/>
        <v>140080</v>
      </c>
      <c r="M58" s="181">
        <f t="shared" si="4"/>
        <v>102260</v>
      </c>
      <c r="N58" s="185">
        <f t="shared" si="4"/>
        <v>55945</v>
      </c>
      <c r="O58" s="185">
        <f t="shared" si="4"/>
        <v>58210</v>
      </c>
      <c r="P58" s="193">
        <f t="shared" si="4"/>
        <v>87520</v>
      </c>
      <c r="Q58" s="189">
        <f t="shared" si="4"/>
        <v>28350</v>
      </c>
      <c r="R58" s="197">
        <f t="shared" si="4"/>
        <v>90700</v>
      </c>
      <c r="S58" s="201">
        <f t="shared" si="4"/>
        <v>49180</v>
      </c>
      <c r="T58" s="205">
        <f t="shared" si="4"/>
        <v>81600</v>
      </c>
      <c r="U58" s="209">
        <f t="shared" si="4"/>
        <v>69430</v>
      </c>
      <c r="V58" s="213">
        <f t="shared" si="4"/>
        <v>112220</v>
      </c>
      <c r="W58" s="217">
        <f t="shared" si="4"/>
        <v>102960</v>
      </c>
      <c r="X58" s="221">
        <f t="shared" si="4"/>
        <v>107125</v>
      </c>
      <c r="Y58" s="221">
        <f t="shared" si="4"/>
        <v>0</v>
      </c>
      <c r="Z58" s="137">
        <f t="shared" si="4"/>
        <v>0</v>
      </c>
      <c r="AA58" s="172">
        <f t="shared" si="4"/>
        <v>1574470</v>
      </c>
      <c r="AB58" s="10"/>
    </row>
    <row r="59" spans="1:28" x14ac:dyDescent="0.2">
      <c r="A59" s="421" t="s">
        <v>184</v>
      </c>
      <c r="B59" s="421"/>
      <c r="C59" s="421"/>
      <c r="D59" s="421"/>
      <c r="E59" s="421"/>
      <c r="AB59" s="17">
        <f>SUM(AB7:AB57)</f>
        <v>2417</v>
      </c>
    </row>
    <row r="60" spans="1:28" x14ac:dyDescent="0.2">
      <c r="AB60" s="78">
        <f>SUM(F3:Z3)</f>
        <v>2417</v>
      </c>
    </row>
  </sheetData>
  <mergeCells count="7">
    <mergeCell ref="A59:E59"/>
    <mergeCell ref="A1:E1"/>
    <mergeCell ref="AA1:AB1"/>
    <mergeCell ref="A2:E2"/>
    <mergeCell ref="D3:E3"/>
    <mergeCell ref="D4:E4"/>
    <mergeCell ref="A58:E58"/>
  </mergeCells>
  <pageMargins left="0.51181102362204722" right="0.51181102362204722" top="0.51181102362204722" bottom="0.51181102362204722" header="0" footer="0"/>
  <pageSetup paperSize="9" fitToWidth="0" fitToHeight="0" orientation="landscape" blackAndWhite="1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zoomScaleNormal="100" workbookViewId="0">
      <pane xSplit="5" ySplit="5" topLeftCell="N57" activePane="bottomRight" state="frozenSplit"/>
      <selection pane="topRight" activeCell="G1" sqref="G1"/>
      <selection pane="bottomLeft" activeCell="A17" sqref="A17"/>
      <selection pane="bottomRight" activeCell="R7" sqref="R7"/>
    </sheetView>
  </sheetViews>
  <sheetFormatPr defaultRowHeight="12.75" x14ac:dyDescent="0.2"/>
  <cols>
    <col min="1" max="1" width="4.28515625" bestFit="1" customWidth="1"/>
    <col min="2" max="2" width="10.85546875" bestFit="1" customWidth="1"/>
    <col min="3" max="3" width="34.5703125" bestFit="1" customWidth="1"/>
    <col min="4" max="4" width="5.85546875" bestFit="1" customWidth="1"/>
    <col min="5" max="5" width="5" bestFit="1" customWidth="1"/>
    <col min="6" max="14" width="10.140625" customWidth="1"/>
    <col min="15" max="15" width="8.140625" customWidth="1"/>
    <col min="16" max="16" width="10.5703125" style="16" bestFit="1" customWidth="1"/>
    <col min="17" max="17" width="9.28515625" style="16" bestFit="1" customWidth="1"/>
  </cols>
  <sheetData>
    <row r="1" spans="1:17" x14ac:dyDescent="0.2">
      <c r="A1" s="415" t="s">
        <v>358</v>
      </c>
      <c r="B1" s="422"/>
      <c r="C1" s="422"/>
      <c r="D1" s="422"/>
      <c r="E1" s="423"/>
      <c r="F1" s="226">
        <v>1026</v>
      </c>
      <c r="G1" s="226">
        <v>1028</v>
      </c>
      <c r="H1" s="226">
        <v>1029</v>
      </c>
      <c r="I1" s="226">
        <v>2001</v>
      </c>
      <c r="J1" s="226">
        <v>2003</v>
      </c>
      <c r="K1" s="226">
        <v>2004</v>
      </c>
      <c r="L1" s="226">
        <v>2005</v>
      </c>
      <c r="M1" s="226">
        <v>2006</v>
      </c>
      <c r="N1" s="226"/>
      <c r="O1" s="132" t="s">
        <v>318</v>
      </c>
      <c r="P1" s="408" t="s">
        <v>138</v>
      </c>
      <c r="Q1" s="408"/>
    </row>
    <row r="2" spans="1:17" x14ac:dyDescent="0.2">
      <c r="A2" s="410" t="s">
        <v>42</v>
      </c>
      <c r="B2" s="422"/>
      <c r="C2" s="422"/>
      <c r="D2" s="422"/>
      <c r="E2" s="423"/>
      <c r="F2" s="228" t="s">
        <v>359</v>
      </c>
      <c r="G2" s="228" t="s">
        <v>360</v>
      </c>
      <c r="H2" s="228" t="s">
        <v>361</v>
      </c>
      <c r="I2" s="228" t="s">
        <v>362</v>
      </c>
      <c r="J2" s="228" t="s">
        <v>363</v>
      </c>
      <c r="K2" s="228" t="s">
        <v>364</v>
      </c>
      <c r="L2" s="228" t="s">
        <v>365</v>
      </c>
      <c r="M2" s="228" t="s">
        <v>366</v>
      </c>
      <c r="N2" s="228"/>
      <c r="O2" s="133" t="s">
        <v>319</v>
      </c>
      <c r="P2" s="225" t="s">
        <v>116</v>
      </c>
      <c r="Q2" s="18" t="s">
        <v>5</v>
      </c>
    </row>
    <row r="3" spans="1:17" x14ac:dyDescent="0.2">
      <c r="A3" s="227"/>
      <c r="B3" s="227"/>
      <c r="C3" s="227"/>
      <c r="D3" s="410" t="s">
        <v>140</v>
      </c>
      <c r="E3" s="414"/>
      <c r="F3" s="228">
        <v>144</v>
      </c>
      <c r="G3" s="228">
        <v>103</v>
      </c>
      <c r="H3" s="228">
        <v>62</v>
      </c>
      <c r="I3" s="228">
        <v>123</v>
      </c>
      <c r="J3" s="228">
        <v>189</v>
      </c>
      <c r="K3" s="228">
        <v>70</v>
      </c>
      <c r="L3" s="228">
        <v>253</v>
      </c>
      <c r="M3" s="228">
        <v>255</v>
      </c>
      <c r="N3" s="228"/>
      <c r="O3" s="133" t="s">
        <v>320</v>
      </c>
      <c r="P3" s="10"/>
      <c r="Q3" s="10"/>
    </row>
    <row r="4" spans="1:17" ht="25.5" x14ac:dyDescent="0.2">
      <c r="A4" s="9" t="s">
        <v>1</v>
      </c>
      <c r="B4" s="4" t="s">
        <v>2</v>
      </c>
      <c r="C4" s="4" t="s">
        <v>0</v>
      </c>
      <c r="D4" s="408" t="s">
        <v>3</v>
      </c>
      <c r="E4" s="415"/>
      <c r="F4" s="228" t="s">
        <v>116</v>
      </c>
      <c r="G4" s="228" t="s">
        <v>116</v>
      </c>
      <c r="H4" s="228" t="s">
        <v>116</v>
      </c>
      <c r="I4" s="228" t="s">
        <v>116</v>
      </c>
      <c r="J4" s="228" t="s">
        <v>116</v>
      </c>
      <c r="K4" s="228" t="s">
        <v>116</v>
      </c>
      <c r="L4" s="228" t="s">
        <v>116</v>
      </c>
      <c r="M4" s="228" t="s">
        <v>116</v>
      </c>
      <c r="N4" s="228" t="s">
        <v>116</v>
      </c>
      <c r="O4" s="133" t="s">
        <v>116</v>
      </c>
      <c r="P4" s="10"/>
      <c r="Q4" s="10"/>
    </row>
    <row r="5" spans="1:17" x14ac:dyDescent="0.2">
      <c r="A5" s="10"/>
      <c r="B5" s="2"/>
      <c r="C5" s="2"/>
      <c r="D5" s="225" t="s">
        <v>4</v>
      </c>
      <c r="E5" s="229" t="s">
        <v>5</v>
      </c>
      <c r="F5" s="229"/>
      <c r="G5" s="229"/>
      <c r="H5" s="229"/>
      <c r="I5" s="229"/>
      <c r="J5" s="229"/>
      <c r="K5" s="229"/>
      <c r="L5" s="229"/>
      <c r="M5" s="229"/>
      <c r="N5" s="229"/>
      <c r="O5" s="134"/>
      <c r="P5" s="10"/>
      <c r="Q5" s="10"/>
    </row>
    <row r="6" spans="1:17" x14ac:dyDescent="0.2">
      <c r="A6" s="29"/>
      <c r="B6" s="30"/>
      <c r="C6" s="30"/>
      <c r="D6" s="29"/>
      <c r="E6" s="31"/>
      <c r="F6" s="31"/>
      <c r="G6" s="31"/>
      <c r="H6" s="31"/>
      <c r="I6" s="31"/>
      <c r="J6" s="31"/>
      <c r="K6" s="31"/>
      <c r="L6" s="31"/>
      <c r="M6" s="31"/>
      <c r="N6" s="31"/>
      <c r="O6" s="135"/>
      <c r="P6" s="29"/>
      <c r="Q6" s="29"/>
    </row>
    <row r="7" spans="1:17" x14ac:dyDescent="0.2">
      <c r="A7" s="32" t="s">
        <v>222</v>
      </c>
      <c r="B7" s="33" t="s">
        <v>85</v>
      </c>
      <c r="C7" s="34" t="s">
        <v>6</v>
      </c>
      <c r="D7" s="32">
        <v>100</v>
      </c>
      <c r="E7" s="35">
        <v>2000</v>
      </c>
      <c r="F7" s="35"/>
      <c r="G7" s="35"/>
      <c r="H7" s="35"/>
      <c r="I7" s="35"/>
      <c r="J7" s="35"/>
      <c r="K7" s="35"/>
      <c r="L7" s="35"/>
      <c r="M7" s="35"/>
      <c r="N7" s="35"/>
      <c r="O7" s="136"/>
      <c r="P7" s="32">
        <f t="shared" ref="P7:P38" si="0">SUM(F7:O7)</f>
        <v>0</v>
      </c>
      <c r="Q7" s="32">
        <f t="shared" ref="Q7:Q38" si="1">P7/E7</f>
        <v>0</v>
      </c>
    </row>
    <row r="8" spans="1:17" s="28" customFormat="1" x14ac:dyDescent="0.2">
      <c r="A8" s="36">
        <v>2</v>
      </c>
      <c r="B8" s="37" t="s">
        <v>81</v>
      </c>
      <c r="C8" s="38" t="s">
        <v>7</v>
      </c>
      <c r="D8" s="36">
        <v>100</v>
      </c>
      <c r="E8" s="39">
        <v>2000</v>
      </c>
      <c r="F8" s="39"/>
      <c r="G8" s="39">
        <v>10000</v>
      </c>
      <c r="H8" s="39"/>
      <c r="I8" s="39"/>
      <c r="J8" s="39"/>
      <c r="K8" s="39"/>
      <c r="L8" s="39">
        <v>10000</v>
      </c>
      <c r="M8" s="39">
        <v>20000</v>
      </c>
      <c r="N8" s="39"/>
      <c r="O8" s="136"/>
      <c r="P8" s="36">
        <f t="shared" si="0"/>
        <v>40000</v>
      </c>
      <c r="Q8" s="36">
        <f t="shared" si="1"/>
        <v>20</v>
      </c>
    </row>
    <row r="9" spans="1:17" x14ac:dyDescent="0.2">
      <c r="A9" s="32">
        <v>3</v>
      </c>
      <c r="B9" s="33" t="s">
        <v>86</v>
      </c>
      <c r="C9" s="34" t="s">
        <v>8</v>
      </c>
      <c r="D9" s="32">
        <v>50</v>
      </c>
      <c r="E9" s="35">
        <v>1100</v>
      </c>
      <c r="F9" s="35"/>
      <c r="G9" s="35"/>
      <c r="H9" s="35"/>
      <c r="I9" s="35"/>
      <c r="J9" s="35"/>
      <c r="K9" s="35"/>
      <c r="L9" s="35">
        <v>16500</v>
      </c>
      <c r="M9" s="35">
        <v>16500</v>
      </c>
      <c r="N9" s="35"/>
      <c r="O9" s="136"/>
      <c r="P9" s="32">
        <f t="shared" si="0"/>
        <v>33000</v>
      </c>
      <c r="Q9" s="32">
        <f t="shared" si="1"/>
        <v>30</v>
      </c>
    </row>
    <row r="10" spans="1:17" s="28" customFormat="1" x14ac:dyDescent="0.2">
      <c r="A10" s="36">
        <v>4</v>
      </c>
      <c r="B10" s="37" t="s">
        <v>87</v>
      </c>
      <c r="C10" s="38" t="s">
        <v>9</v>
      </c>
      <c r="D10" s="36">
        <v>50</v>
      </c>
      <c r="E10" s="39">
        <v>1000</v>
      </c>
      <c r="F10" s="39"/>
      <c r="G10" s="39"/>
      <c r="H10" s="39"/>
      <c r="I10" s="39"/>
      <c r="J10" s="39"/>
      <c r="K10" s="39"/>
      <c r="L10" s="39">
        <v>7000</v>
      </c>
      <c r="M10" s="39"/>
      <c r="N10" s="39"/>
      <c r="O10" s="136"/>
      <c r="P10" s="36">
        <f t="shared" si="0"/>
        <v>7000</v>
      </c>
      <c r="Q10" s="36">
        <f t="shared" si="1"/>
        <v>7</v>
      </c>
    </row>
    <row r="11" spans="1:17" s="28" customFormat="1" x14ac:dyDescent="0.2">
      <c r="A11" s="36"/>
      <c r="B11" s="37" t="s">
        <v>87</v>
      </c>
      <c r="C11" s="38" t="s">
        <v>9</v>
      </c>
      <c r="D11" s="36">
        <v>50</v>
      </c>
      <c r="E11" s="39">
        <v>1000</v>
      </c>
      <c r="F11" s="39"/>
      <c r="G11" s="39"/>
      <c r="H11" s="39"/>
      <c r="I11" s="39"/>
      <c r="J11" s="39"/>
      <c r="K11" s="39">
        <v>8000</v>
      </c>
      <c r="L11" s="39">
        <v>8000</v>
      </c>
      <c r="M11" s="39">
        <v>15000</v>
      </c>
      <c r="N11" s="39"/>
      <c r="O11" s="136"/>
      <c r="P11" s="36">
        <f t="shared" si="0"/>
        <v>31000</v>
      </c>
      <c r="Q11" s="36">
        <f t="shared" si="1"/>
        <v>31</v>
      </c>
    </row>
    <row r="12" spans="1:17" x14ac:dyDescent="0.2">
      <c r="A12" s="32">
        <v>5</v>
      </c>
      <c r="B12" s="33" t="s">
        <v>82</v>
      </c>
      <c r="C12" s="34" t="s">
        <v>10</v>
      </c>
      <c r="D12" s="32">
        <v>50</v>
      </c>
      <c r="E12" s="35">
        <v>800</v>
      </c>
      <c r="F12" s="35">
        <v>4000</v>
      </c>
      <c r="G12" s="35"/>
      <c r="H12" s="35"/>
      <c r="I12" s="35"/>
      <c r="J12" s="35"/>
      <c r="K12" s="35"/>
      <c r="L12" s="35"/>
      <c r="M12" s="35"/>
      <c r="N12" s="35"/>
      <c r="O12" s="136"/>
      <c r="P12" s="32">
        <f t="shared" si="0"/>
        <v>4000</v>
      </c>
      <c r="Q12" s="32">
        <f t="shared" si="1"/>
        <v>5</v>
      </c>
    </row>
    <row r="13" spans="1:17" s="28" customFormat="1" x14ac:dyDescent="0.2">
      <c r="A13" s="36">
        <v>6</v>
      </c>
      <c r="B13" s="37" t="s">
        <v>89</v>
      </c>
      <c r="C13" s="38" t="s">
        <v>11</v>
      </c>
      <c r="D13" s="36">
        <v>50</v>
      </c>
      <c r="E13" s="39">
        <v>600</v>
      </c>
      <c r="F13" s="39">
        <v>6000</v>
      </c>
      <c r="G13" s="39"/>
      <c r="H13" s="39">
        <v>6000</v>
      </c>
      <c r="I13" s="39">
        <v>6000</v>
      </c>
      <c r="J13" s="39">
        <v>6000</v>
      </c>
      <c r="K13" s="39">
        <v>6000</v>
      </c>
      <c r="L13" s="39">
        <v>12000</v>
      </c>
      <c r="M13" s="39">
        <v>9000</v>
      </c>
      <c r="N13" s="39"/>
      <c r="O13" s="136"/>
      <c r="P13" s="36">
        <f t="shared" si="0"/>
        <v>51000</v>
      </c>
      <c r="Q13" s="36">
        <f t="shared" si="1"/>
        <v>85</v>
      </c>
    </row>
    <row r="14" spans="1:17" x14ac:dyDescent="0.2">
      <c r="A14" s="32" t="s">
        <v>12</v>
      </c>
      <c r="B14" s="48" t="s">
        <v>214</v>
      </c>
      <c r="C14" s="34" t="s">
        <v>213</v>
      </c>
      <c r="D14" s="32">
        <v>50</v>
      </c>
      <c r="E14" s="35">
        <v>600</v>
      </c>
      <c r="F14" s="35"/>
      <c r="G14" s="35">
        <v>4200</v>
      </c>
      <c r="H14" s="35"/>
      <c r="I14" s="35"/>
      <c r="J14" s="35">
        <v>3000</v>
      </c>
      <c r="K14" s="35">
        <v>1200</v>
      </c>
      <c r="L14" s="35"/>
      <c r="M14" s="35"/>
      <c r="N14" s="35"/>
      <c r="O14" s="136"/>
      <c r="P14" s="32">
        <f t="shared" si="0"/>
        <v>8400</v>
      </c>
      <c r="Q14" s="32">
        <f t="shared" si="1"/>
        <v>14</v>
      </c>
    </row>
    <row r="15" spans="1:17" s="28" customFormat="1" x14ac:dyDescent="0.2">
      <c r="A15" s="36">
        <v>7</v>
      </c>
      <c r="B15" s="37" t="s">
        <v>88</v>
      </c>
      <c r="C15" s="38" t="s">
        <v>14</v>
      </c>
      <c r="D15" s="36">
        <v>10</v>
      </c>
      <c r="E15" s="39">
        <v>400</v>
      </c>
      <c r="F15" s="39">
        <v>4000</v>
      </c>
      <c r="G15" s="39"/>
      <c r="H15" s="39"/>
      <c r="I15" s="39"/>
      <c r="J15" s="39"/>
      <c r="K15" s="39"/>
      <c r="L15" s="39"/>
      <c r="M15" s="39">
        <v>2000</v>
      </c>
      <c r="N15" s="39"/>
      <c r="O15" s="136"/>
      <c r="P15" s="36">
        <f t="shared" si="0"/>
        <v>6000</v>
      </c>
      <c r="Q15" s="36">
        <f t="shared" si="1"/>
        <v>15</v>
      </c>
    </row>
    <row r="16" spans="1:17" x14ac:dyDescent="0.2">
      <c r="A16" s="32">
        <v>8</v>
      </c>
      <c r="B16" s="33" t="s">
        <v>90</v>
      </c>
      <c r="C16" s="34" t="s">
        <v>15</v>
      </c>
      <c r="D16" s="32">
        <v>10</v>
      </c>
      <c r="E16" s="35">
        <v>400</v>
      </c>
      <c r="F16" s="35"/>
      <c r="G16" s="35"/>
      <c r="H16" s="35">
        <v>4000</v>
      </c>
      <c r="I16" s="35">
        <v>4000</v>
      </c>
      <c r="J16" s="35">
        <v>4000</v>
      </c>
      <c r="K16" s="35">
        <v>4000</v>
      </c>
      <c r="L16" s="35">
        <v>8000</v>
      </c>
      <c r="M16" s="35">
        <v>8000</v>
      </c>
      <c r="N16" s="35"/>
      <c r="O16" s="136"/>
      <c r="P16" s="32">
        <f t="shared" si="0"/>
        <v>32000</v>
      </c>
      <c r="Q16" s="32">
        <f t="shared" si="1"/>
        <v>80</v>
      </c>
    </row>
    <row r="17" spans="1:17" s="28" customFormat="1" x14ac:dyDescent="0.2">
      <c r="A17" s="36">
        <v>9</v>
      </c>
      <c r="B17" s="37" t="s">
        <v>91</v>
      </c>
      <c r="C17" s="38" t="s">
        <v>16</v>
      </c>
      <c r="D17" s="36">
        <v>10</v>
      </c>
      <c r="E17" s="39">
        <v>300</v>
      </c>
      <c r="F17" s="39">
        <v>9000</v>
      </c>
      <c r="G17" s="39">
        <v>6000</v>
      </c>
      <c r="H17" s="39"/>
      <c r="I17" s="39">
        <v>6000</v>
      </c>
      <c r="J17" s="39">
        <v>6000</v>
      </c>
      <c r="K17" s="39"/>
      <c r="L17" s="39">
        <v>9000</v>
      </c>
      <c r="M17" s="39">
        <v>6000</v>
      </c>
      <c r="N17" s="39"/>
      <c r="O17" s="136"/>
      <c r="P17" s="36">
        <f t="shared" si="0"/>
        <v>42000</v>
      </c>
      <c r="Q17" s="36">
        <f t="shared" si="1"/>
        <v>140</v>
      </c>
    </row>
    <row r="18" spans="1:17" x14ac:dyDescent="0.2">
      <c r="A18" s="32" t="s">
        <v>17</v>
      </c>
      <c r="B18" s="40">
        <v>90441300</v>
      </c>
      <c r="C18" s="34" t="s">
        <v>179</v>
      </c>
      <c r="D18" s="32">
        <v>10</v>
      </c>
      <c r="E18" s="35">
        <v>300</v>
      </c>
      <c r="F18" s="35"/>
      <c r="G18" s="35"/>
      <c r="H18" s="35"/>
      <c r="I18" s="35"/>
      <c r="J18" s="35">
        <v>1200</v>
      </c>
      <c r="K18" s="35"/>
      <c r="L18" s="35">
        <v>3000</v>
      </c>
      <c r="M18" s="35"/>
      <c r="N18" s="35"/>
      <c r="O18" s="136"/>
      <c r="P18" s="32">
        <f t="shared" si="0"/>
        <v>4200</v>
      </c>
      <c r="Q18" s="32">
        <f t="shared" si="1"/>
        <v>14</v>
      </c>
    </row>
    <row r="19" spans="1:17" s="28" customFormat="1" x14ac:dyDescent="0.2">
      <c r="A19" s="36" t="s">
        <v>180</v>
      </c>
      <c r="B19" s="37" t="s">
        <v>168</v>
      </c>
      <c r="C19" s="76" t="s">
        <v>169</v>
      </c>
      <c r="D19" s="36">
        <v>10</v>
      </c>
      <c r="E19" s="39">
        <v>300</v>
      </c>
      <c r="F19" s="39"/>
      <c r="G19" s="39"/>
      <c r="H19" s="39"/>
      <c r="I19" s="39">
        <v>3000</v>
      </c>
      <c r="J19" s="39">
        <v>7200</v>
      </c>
      <c r="K19" s="39"/>
      <c r="L19" s="39">
        <v>1800</v>
      </c>
      <c r="M19" s="39">
        <v>6000</v>
      </c>
      <c r="N19" s="39"/>
      <c r="O19" s="136"/>
      <c r="P19" s="36">
        <f t="shared" si="0"/>
        <v>18000</v>
      </c>
      <c r="Q19" s="36">
        <f t="shared" si="1"/>
        <v>60</v>
      </c>
    </row>
    <row r="20" spans="1:17" x14ac:dyDescent="0.2">
      <c r="A20" s="32">
        <v>10</v>
      </c>
      <c r="B20" s="33" t="s">
        <v>94</v>
      </c>
      <c r="C20" s="34" t="s">
        <v>19</v>
      </c>
      <c r="D20" s="41">
        <v>10</v>
      </c>
      <c r="E20" s="35">
        <v>130</v>
      </c>
      <c r="F20" s="35"/>
      <c r="G20" s="35"/>
      <c r="H20" s="35"/>
      <c r="I20" s="35"/>
      <c r="J20" s="35">
        <v>130</v>
      </c>
      <c r="K20" s="35"/>
      <c r="L20" s="35"/>
      <c r="M20" s="35"/>
      <c r="N20" s="35"/>
      <c r="O20" s="136"/>
      <c r="P20" s="32">
        <f t="shared" si="0"/>
        <v>130</v>
      </c>
      <c r="Q20" s="32">
        <f t="shared" si="1"/>
        <v>1</v>
      </c>
    </row>
    <row r="21" spans="1:17" s="28" customFormat="1" x14ac:dyDescent="0.2">
      <c r="A21" s="36"/>
      <c r="B21" s="37" t="s">
        <v>92</v>
      </c>
      <c r="C21" s="38" t="s">
        <v>287</v>
      </c>
      <c r="D21" s="115">
        <v>10</v>
      </c>
      <c r="E21" s="39">
        <v>110</v>
      </c>
      <c r="F21" s="39"/>
      <c r="G21" s="39"/>
      <c r="H21" s="39"/>
      <c r="I21" s="39"/>
      <c r="J21" s="39">
        <v>3080</v>
      </c>
      <c r="K21" s="39"/>
      <c r="L21" s="39"/>
      <c r="M21" s="39">
        <v>1100</v>
      </c>
      <c r="N21" s="39"/>
      <c r="O21" s="136"/>
      <c r="P21" s="36">
        <f t="shared" si="0"/>
        <v>4180</v>
      </c>
      <c r="Q21" s="36">
        <f t="shared" si="1"/>
        <v>38</v>
      </c>
    </row>
    <row r="22" spans="1:17" x14ac:dyDescent="0.2">
      <c r="A22" s="32">
        <v>12</v>
      </c>
      <c r="B22" s="33" t="s">
        <v>95</v>
      </c>
      <c r="C22" s="34" t="s">
        <v>21</v>
      </c>
      <c r="D22" s="32">
        <v>10</v>
      </c>
      <c r="E22" s="35">
        <v>80</v>
      </c>
      <c r="F22" s="35"/>
      <c r="G22" s="35"/>
      <c r="H22" s="35"/>
      <c r="I22" s="35">
        <v>480</v>
      </c>
      <c r="J22" s="35">
        <v>1200</v>
      </c>
      <c r="K22" s="35"/>
      <c r="L22" s="35"/>
      <c r="M22" s="35">
        <v>400</v>
      </c>
      <c r="N22" s="35"/>
      <c r="O22" s="136"/>
      <c r="P22" s="32">
        <f t="shared" si="0"/>
        <v>2080</v>
      </c>
      <c r="Q22" s="32">
        <f t="shared" si="1"/>
        <v>26</v>
      </c>
    </row>
    <row r="23" spans="1:17" s="28" customFormat="1" x14ac:dyDescent="0.2">
      <c r="A23" s="36">
        <v>13</v>
      </c>
      <c r="B23" s="37" t="s">
        <v>99</v>
      </c>
      <c r="C23" s="38" t="s">
        <v>22</v>
      </c>
      <c r="D23" s="36">
        <v>100</v>
      </c>
      <c r="E23" s="39">
        <v>1200</v>
      </c>
      <c r="F23" s="39">
        <v>12000</v>
      </c>
      <c r="G23" s="39"/>
      <c r="H23" s="39">
        <v>12000</v>
      </c>
      <c r="I23" s="39">
        <v>12000</v>
      </c>
      <c r="J23" s="39">
        <v>12000</v>
      </c>
      <c r="K23" s="39">
        <v>12000</v>
      </c>
      <c r="L23" s="39">
        <v>24000</v>
      </c>
      <c r="M23" s="39">
        <v>24000</v>
      </c>
      <c r="N23" s="39"/>
      <c r="O23" s="136"/>
      <c r="P23" s="36">
        <f t="shared" si="0"/>
        <v>108000</v>
      </c>
      <c r="Q23" s="36">
        <f t="shared" si="1"/>
        <v>90</v>
      </c>
    </row>
    <row r="24" spans="1:17" x14ac:dyDescent="0.2">
      <c r="A24" s="32">
        <v>14</v>
      </c>
      <c r="B24" s="33" t="s">
        <v>102</v>
      </c>
      <c r="C24" s="34" t="s">
        <v>23</v>
      </c>
      <c r="D24" s="32">
        <v>100</v>
      </c>
      <c r="E24" s="35">
        <v>1000</v>
      </c>
      <c r="F24" s="35">
        <v>5000</v>
      </c>
      <c r="G24" s="35">
        <v>10000</v>
      </c>
      <c r="H24" s="35"/>
      <c r="I24" s="35">
        <v>4000</v>
      </c>
      <c r="J24" s="35"/>
      <c r="K24" s="35">
        <v>5000</v>
      </c>
      <c r="L24" s="35">
        <v>10000</v>
      </c>
      <c r="M24" s="35">
        <v>10000</v>
      </c>
      <c r="N24" s="35"/>
      <c r="O24" s="136"/>
      <c r="P24" s="32">
        <f t="shared" si="0"/>
        <v>44000</v>
      </c>
      <c r="Q24" s="32">
        <f t="shared" si="1"/>
        <v>44</v>
      </c>
    </row>
    <row r="25" spans="1:17" s="28" customFormat="1" x14ac:dyDescent="0.2">
      <c r="A25" s="36">
        <v>15</v>
      </c>
      <c r="B25" s="37" t="s">
        <v>97</v>
      </c>
      <c r="C25" s="38" t="s">
        <v>24</v>
      </c>
      <c r="D25" s="36">
        <v>50</v>
      </c>
      <c r="E25" s="39">
        <v>2800</v>
      </c>
      <c r="F25" s="39">
        <v>2800</v>
      </c>
      <c r="G25" s="39">
        <v>2800</v>
      </c>
      <c r="H25" s="39"/>
      <c r="I25" s="39">
        <v>5600</v>
      </c>
      <c r="J25" s="39">
        <v>19600</v>
      </c>
      <c r="K25" s="39">
        <v>11200</v>
      </c>
      <c r="L25" s="39"/>
      <c r="M25" s="39"/>
      <c r="N25" s="39"/>
      <c r="O25" s="136"/>
      <c r="P25" s="36">
        <f t="shared" si="0"/>
        <v>42000</v>
      </c>
      <c r="Q25" s="36">
        <f t="shared" si="1"/>
        <v>15</v>
      </c>
    </row>
    <row r="26" spans="1:17" x14ac:dyDescent="0.2">
      <c r="A26" s="32">
        <v>16</v>
      </c>
      <c r="B26" s="33" t="s">
        <v>98</v>
      </c>
      <c r="C26" s="34" t="s">
        <v>25</v>
      </c>
      <c r="D26" s="32">
        <v>50</v>
      </c>
      <c r="E26" s="35">
        <v>550</v>
      </c>
      <c r="F26" s="35">
        <v>3300</v>
      </c>
      <c r="G26" s="35">
        <v>3300</v>
      </c>
      <c r="H26" s="35">
        <v>3300</v>
      </c>
      <c r="I26" s="35"/>
      <c r="J26" s="35">
        <v>3300</v>
      </c>
      <c r="K26" s="35">
        <v>3300</v>
      </c>
      <c r="L26" s="35">
        <v>6600</v>
      </c>
      <c r="M26" s="35">
        <v>4400</v>
      </c>
      <c r="N26" s="35"/>
      <c r="O26" s="136"/>
      <c r="P26" s="32">
        <f t="shared" si="0"/>
        <v>27500</v>
      </c>
      <c r="Q26" s="32">
        <f t="shared" si="1"/>
        <v>50</v>
      </c>
    </row>
    <row r="27" spans="1:17" s="28" customFormat="1" x14ac:dyDescent="0.2">
      <c r="A27" s="36" t="s">
        <v>141</v>
      </c>
      <c r="B27" s="37" t="s">
        <v>142</v>
      </c>
      <c r="C27" s="38" t="s">
        <v>143</v>
      </c>
      <c r="D27" s="36">
        <v>50</v>
      </c>
      <c r="E27" s="39">
        <v>550</v>
      </c>
      <c r="F27" s="39">
        <v>3300</v>
      </c>
      <c r="G27" s="39">
        <v>3300</v>
      </c>
      <c r="H27" s="39">
        <v>3300</v>
      </c>
      <c r="I27" s="39"/>
      <c r="J27" s="39"/>
      <c r="K27" s="39"/>
      <c r="L27" s="39">
        <v>6600</v>
      </c>
      <c r="M27" s="39"/>
      <c r="N27" s="39"/>
      <c r="O27" s="136"/>
      <c r="P27" s="36">
        <f t="shared" si="0"/>
        <v>16500</v>
      </c>
      <c r="Q27" s="36">
        <f t="shared" si="1"/>
        <v>30</v>
      </c>
    </row>
    <row r="28" spans="1:17" x14ac:dyDescent="0.2">
      <c r="A28" s="32" t="s">
        <v>181</v>
      </c>
      <c r="B28" s="33" t="s">
        <v>170</v>
      </c>
      <c r="C28" s="34" t="s">
        <v>171</v>
      </c>
      <c r="D28" s="32">
        <v>10</v>
      </c>
      <c r="E28" s="35">
        <v>1200</v>
      </c>
      <c r="F28" s="35">
        <v>7200</v>
      </c>
      <c r="G28" s="35">
        <v>7200</v>
      </c>
      <c r="H28" s="35">
        <v>7200</v>
      </c>
      <c r="I28" s="35">
        <v>6000</v>
      </c>
      <c r="J28" s="35">
        <v>7200</v>
      </c>
      <c r="K28" s="35">
        <v>6000</v>
      </c>
      <c r="L28" s="35">
        <v>9600</v>
      </c>
      <c r="M28" s="35">
        <v>8400</v>
      </c>
      <c r="N28" s="35"/>
      <c r="O28" s="136"/>
      <c r="P28" s="32">
        <f t="shared" si="0"/>
        <v>58800</v>
      </c>
      <c r="Q28" s="32">
        <f t="shared" si="1"/>
        <v>49</v>
      </c>
    </row>
    <row r="29" spans="1:17" s="28" customFormat="1" x14ac:dyDescent="0.2">
      <c r="A29" s="36" t="s">
        <v>232</v>
      </c>
      <c r="B29" s="37" t="s">
        <v>195</v>
      </c>
      <c r="C29" s="38" t="s">
        <v>197</v>
      </c>
      <c r="D29" s="36">
        <v>10</v>
      </c>
      <c r="E29" s="39">
        <v>1300</v>
      </c>
      <c r="F29" s="39">
        <v>2600</v>
      </c>
      <c r="G29" s="39">
        <v>2600</v>
      </c>
      <c r="H29" s="39">
        <v>2600</v>
      </c>
      <c r="I29" s="39"/>
      <c r="J29" s="39">
        <v>1300</v>
      </c>
      <c r="K29" s="39"/>
      <c r="L29" s="39"/>
      <c r="M29" s="39"/>
      <c r="N29" s="39"/>
      <c r="O29" s="136"/>
      <c r="P29" s="36">
        <f t="shared" si="0"/>
        <v>9100</v>
      </c>
      <c r="Q29" s="36">
        <f t="shared" si="1"/>
        <v>7</v>
      </c>
    </row>
    <row r="30" spans="1:17" x14ac:dyDescent="0.2">
      <c r="A30" s="32" t="s">
        <v>233</v>
      </c>
      <c r="B30" s="33" t="s">
        <v>196</v>
      </c>
      <c r="C30" s="34" t="s">
        <v>198</v>
      </c>
      <c r="D30" s="32">
        <v>10</v>
      </c>
      <c r="E30" s="35">
        <v>800</v>
      </c>
      <c r="F30" s="35">
        <v>2400</v>
      </c>
      <c r="G30" s="35">
        <v>2400</v>
      </c>
      <c r="H30" s="35">
        <v>2400</v>
      </c>
      <c r="I30" s="35"/>
      <c r="J30" s="35">
        <v>800</v>
      </c>
      <c r="K30" s="35"/>
      <c r="L30" s="35"/>
      <c r="M30" s="35"/>
      <c r="N30" s="35"/>
      <c r="O30" s="136"/>
      <c r="P30" s="32">
        <f t="shared" si="0"/>
        <v>8000</v>
      </c>
      <c r="Q30" s="32">
        <f t="shared" si="1"/>
        <v>10</v>
      </c>
    </row>
    <row r="31" spans="1:17" s="28" customFormat="1" x14ac:dyDescent="0.2">
      <c r="A31" s="36"/>
      <c r="B31" s="37" t="s">
        <v>206</v>
      </c>
      <c r="C31" s="38" t="s">
        <v>207</v>
      </c>
      <c r="D31" s="36">
        <v>10</v>
      </c>
      <c r="E31" s="39">
        <v>450</v>
      </c>
      <c r="F31" s="39">
        <v>1800</v>
      </c>
      <c r="G31" s="39"/>
      <c r="H31" s="39">
        <v>900</v>
      </c>
      <c r="I31" s="39"/>
      <c r="J31" s="39">
        <v>900</v>
      </c>
      <c r="K31" s="39">
        <v>1350</v>
      </c>
      <c r="L31" s="39">
        <v>2700</v>
      </c>
      <c r="M31" s="39">
        <v>1800</v>
      </c>
      <c r="N31" s="39"/>
      <c r="O31" s="136"/>
      <c r="P31" s="36">
        <f t="shared" si="0"/>
        <v>9450</v>
      </c>
      <c r="Q31" s="36">
        <f t="shared" si="1"/>
        <v>21</v>
      </c>
    </row>
    <row r="32" spans="1:17" x14ac:dyDescent="0.2">
      <c r="A32" s="32"/>
      <c r="B32" s="40">
        <v>90442200</v>
      </c>
      <c r="C32" s="34" t="s">
        <v>238</v>
      </c>
      <c r="D32" s="32">
        <v>10</v>
      </c>
      <c r="E32" s="35">
        <v>450</v>
      </c>
      <c r="F32" s="35"/>
      <c r="G32" s="35"/>
      <c r="H32" s="35"/>
      <c r="I32" s="35"/>
      <c r="J32" s="35"/>
      <c r="K32" s="35"/>
      <c r="L32" s="35"/>
      <c r="M32" s="35"/>
      <c r="N32" s="35"/>
      <c r="O32" s="136"/>
      <c r="P32" s="32">
        <f t="shared" si="0"/>
        <v>0</v>
      </c>
      <c r="Q32" s="32">
        <f t="shared" si="1"/>
        <v>0</v>
      </c>
    </row>
    <row r="33" spans="1:17" s="28" customFormat="1" x14ac:dyDescent="0.2">
      <c r="A33" s="36">
        <v>19</v>
      </c>
      <c r="B33" s="37" t="s">
        <v>83</v>
      </c>
      <c r="C33" s="38" t="s">
        <v>26</v>
      </c>
      <c r="D33" s="36">
        <v>10</v>
      </c>
      <c r="E33" s="39">
        <v>330</v>
      </c>
      <c r="F33" s="39"/>
      <c r="G33" s="39"/>
      <c r="H33" s="39"/>
      <c r="I33" s="39"/>
      <c r="J33" s="39"/>
      <c r="K33" s="39"/>
      <c r="L33" s="39"/>
      <c r="M33" s="39"/>
      <c r="N33" s="39"/>
      <c r="O33" s="136"/>
      <c r="P33" s="36">
        <f t="shared" si="0"/>
        <v>0</v>
      </c>
      <c r="Q33" s="36">
        <f t="shared" si="1"/>
        <v>0</v>
      </c>
    </row>
    <row r="34" spans="1:17" s="28" customFormat="1" x14ac:dyDescent="0.2">
      <c r="A34" s="36"/>
      <c r="B34" s="37" t="s">
        <v>83</v>
      </c>
      <c r="C34" s="38" t="s">
        <v>26</v>
      </c>
      <c r="D34" s="36">
        <v>10</v>
      </c>
      <c r="E34" s="39">
        <v>320</v>
      </c>
      <c r="F34" s="39">
        <v>320</v>
      </c>
      <c r="G34" s="39"/>
      <c r="H34" s="39"/>
      <c r="I34" s="39"/>
      <c r="J34" s="39"/>
      <c r="K34" s="39"/>
      <c r="L34" s="39"/>
      <c r="M34" s="39"/>
      <c r="N34" s="39"/>
      <c r="O34" s="136"/>
      <c r="P34" s="36">
        <f t="shared" si="0"/>
        <v>320</v>
      </c>
      <c r="Q34" s="36">
        <f t="shared" si="1"/>
        <v>1</v>
      </c>
    </row>
    <row r="35" spans="1:17" x14ac:dyDescent="0.2">
      <c r="A35" s="32">
        <v>21</v>
      </c>
      <c r="B35" s="33" t="s">
        <v>30</v>
      </c>
      <c r="C35" s="34" t="s">
        <v>31</v>
      </c>
      <c r="D35" s="32">
        <v>10</v>
      </c>
      <c r="E35" s="35">
        <v>230</v>
      </c>
      <c r="F35" s="35">
        <v>1380</v>
      </c>
      <c r="G35" s="35"/>
      <c r="H35" s="35"/>
      <c r="I35" s="35"/>
      <c r="J35" s="35"/>
      <c r="K35" s="35"/>
      <c r="L35" s="35">
        <v>2300</v>
      </c>
      <c r="M35" s="35">
        <v>2300</v>
      </c>
      <c r="N35" s="35"/>
      <c r="O35" s="136"/>
      <c r="P35" s="32">
        <f t="shared" si="0"/>
        <v>5980</v>
      </c>
      <c r="Q35" s="32">
        <f t="shared" si="1"/>
        <v>26</v>
      </c>
    </row>
    <row r="36" spans="1:17" s="28" customFormat="1" x14ac:dyDescent="0.2">
      <c r="A36" s="36" t="s">
        <v>194</v>
      </c>
      <c r="B36" s="42">
        <v>90442300</v>
      </c>
      <c r="C36" s="38" t="s">
        <v>173</v>
      </c>
      <c r="D36" s="36">
        <v>10</v>
      </c>
      <c r="E36" s="39">
        <v>230</v>
      </c>
      <c r="F36" s="39"/>
      <c r="G36" s="39"/>
      <c r="H36" s="39"/>
      <c r="I36" s="39"/>
      <c r="J36" s="39"/>
      <c r="K36" s="39"/>
      <c r="L36" s="39"/>
      <c r="M36" s="39"/>
      <c r="N36" s="39"/>
      <c r="O36" s="136"/>
      <c r="P36" s="36">
        <f t="shared" si="0"/>
        <v>0</v>
      </c>
      <c r="Q36" s="36">
        <f t="shared" si="1"/>
        <v>0</v>
      </c>
    </row>
    <row r="37" spans="1:17" s="47" customFormat="1" x14ac:dyDescent="0.2">
      <c r="A37" s="43"/>
      <c r="B37" s="44" t="s">
        <v>262</v>
      </c>
      <c r="C37" s="116" t="s">
        <v>264</v>
      </c>
      <c r="D37" s="43">
        <v>10</v>
      </c>
      <c r="E37" s="46">
        <v>230</v>
      </c>
      <c r="F37" s="46"/>
      <c r="G37" s="46"/>
      <c r="H37" s="46"/>
      <c r="I37" s="46"/>
      <c r="J37" s="46"/>
      <c r="K37" s="46"/>
      <c r="L37" s="46"/>
      <c r="M37" s="46"/>
      <c r="N37" s="46"/>
      <c r="O37" s="136"/>
      <c r="P37" s="43">
        <f t="shared" si="0"/>
        <v>0</v>
      </c>
      <c r="Q37" s="43">
        <f t="shared" si="1"/>
        <v>0</v>
      </c>
    </row>
    <row r="38" spans="1:17" s="28" customFormat="1" x14ac:dyDescent="0.2">
      <c r="A38" s="36">
        <v>23</v>
      </c>
      <c r="B38" s="37" t="s">
        <v>93</v>
      </c>
      <c r="C38" s="76" t="s">
        <v>304</v>
      </c>
      <c r="D38" s="36">
        <v>5</v>
      </c>
      <c r="E38" s="39">
        <v>75</v>
      </c>
      <c r="F38" s="39"/>
      <c r="G38" s="39"/>
      <c r="H38" s="39"/>
      <c r="I38" s="39"/>
      <c r="J38" s="39"/>
      <c r="K38" s="39"/>
      <c r="L38" s="39">
        <v>750</v>
      </c>
      <c r="M38" s="39"/>
      <c r="N38" s="39"/>
      <c r="O38" s="136"/>
      <c r="P38" s="36">
        <f t="shared" si="0"/>
        <v>750</v>
      </c>
      <c r="Q38" s="36">
        <f t="shared" si="1"/>
        <v>10</v>
      </c>
    </row>
    <row r="39" spans="1:17" s="47" customFormat="1" x14ac:dyDescent="0.2">
      <c r="A39" s="43"/>
      <c r="B39" s="117" t="s">
        <v>35</v>
      </c>
      <c r="C39" s="116" t="s">
        <v>36</v>
      </c>
      <c r="D39" s="43">
        <v>5</v>
      </c>
      <c r="E39" s="46">
        <v>50</v>
      </c>
      <c r="F39" s="46"/>
      <c r="G39" s="46">
        <v>500</v>
      </c>
      <c r="H39" s="46"/>
      <c r="I39" s="46">
        <v>500</v>
      </c>
      <c r="J39" s="46">
        <v>500</v>
      </c>
      <c r="K39" s="46"/>
      <c r="L39" s="46"/>
      <c r="M39" s="46"/>
      <c r="N39" s="46"/>
      <c r="O39" s="136"/>
      <c r="P39" s="43">
        <f t="shared" ref="P39:P59" si="2">SUM(F39:O39)</f>
        <v>1500</v>
      </c>
      <c r="Q39" s="43">
        <f t="shared" ref="Q39:Q59" si="3">P39/E39</f>
        <v>30</v>
      </c>
    </row>
    <row r="40" spans="1:17" s="28" customFormat="1" x14ac:dyDescent="0.2">
      <c r="A40" s="36">
        <v>24</v>
      </c>
      <c r="B40" s="37" t="s">
        <v>101</v>
      </c>
      <c r="C40" s="38" t="s">
        <v>37</v>
      </c>
      <c r="D40" s="36">
        <v>50</v>
      </c>
      <c r="E40" s="39">
        <v>600</v>
      </c>
      <c r="F40" s="39"/>
      <c r="G40" s="39">
        <v>600</v>
      </c>
      <c r="H40" s="39"/>
      <c r="I40" s="39"/>
      <c r="J40" s="39">
        <v>1200</v>
      </c>
      <c r="K40" s="39">
        <v>2400</v>
      </c>
      <c r="L40" s="39">
        <v>3000</v>
      </c>
      <c r="M40" s="39">
        <v>600</v>
      </c>
      <c r="N40" s="39"/>
      <c r="O40" s="136"/>
      <c r="P40" s="36">
        <f t="shared" si="2"/>
        <v>7800</v>
      </c>
      <c r="Q40" s="36">
        <f t="shared" si="3"/>
        <v>13</v>
      </c>
    </row>
    <row r="41" spans="1:17" s="47" customFormat="1" x14ac:dyDescent="0.2">
      <c r="A41" s="43" t="s">
        <v>234</v>
      </c>
      <c r="B41" s="44" t="s">
        <v>200</v>
      </c>
      <c r="C41" s="45" t="s">
        <v>201</v>
      </c>
      <c r="D41" s="43">
        <v>10</v>
      </c>
      <c r="E41" s="43">
        <v>800</v>
      </c>
      <c r="F41" s="46">
        <v>800</v>
      </c>
      <c r="G41" s="46">
        <v>4000</v>
      </c>
      <c r="H41" s="46"/>
      <c r="I41" s="46">
        <v>2400</v>
      </c>
      <c r="J41" s="46">
        <v>1600</v>
      </c>
      <c r="K41" s="46"/>
      <c r="L41" s="46"/>
      <c r="M41" s="46"/>
      <c r="N41" s="46"/>
      <c r="O41" s="136"/>
      <c r="P41" s="43">
        <f t="shared" si="2"/>
        <v>8800</v>
      </c>
      <c r="Q41" s="43">
        <f t="shared" si="3"/>
        <v>11</v>
      </c>
    </row>
    <row r="42" spans="1:17" s="28" customFormat="1" x14ac:dyDescent="0.2">
      <c r="A42" s="36"/>
      <c r="B42" s="42" t="s">
        <v>208</v>
      </c>
      <c r="C42" s="38" t="s">
        <v>209</v>
      </c>
      <c r="D42" s="36">
        <v>10</v>
      </c>
      <c r="E42" s="36">
        <v>400</v>
      </c>
      <c r="F42" s="39">
        <v>400</v>
      </c>
      <c r="G42" s="39"/>
      <c r="H42" s="39">
        <v>400</v>
      </c>
      <c r="I42" s="39">
        <v>400</v>
      </c>
      <c r="J42" s="39">
        <v>400</v>
      </c>
      <c r="K42" s="39"/>
      <c r="L42" s="39"/>
      <c r="M42" s="39"/>
      <c r="N42" s="39"/>
      <c r="O42" s="136"/>
      <c r="P42" s="36">
        <f t="shared" si="2"/>
        <v>1600</v>
      </c>
      <c r="Q42" s="36">
        <f t="shared" si="3"/>
        <v>4</v>
      </c>
    </row>
    <row r="43" spans="1:17" s="47" customFormat="1" x14ac:dyDescent="0.2">
      <c r="A43" s="43"/>
      <c r="B43" s="98" t="s">
        <v>295</v>
      </c>
      <c r="C43" s="38" t="s">
        <v>296</v>
      </c>
      <c r="D43" s="43">
        <v>10</v>
      </c>
      <c r="E43" s="43">
        <v>400</v>
      </c>
      <c r="F43" s="46">
        <v>400</v>
      </c>
      <c r="G43" s="46"/>
      <c r="H43" s="46">
        <v>400</v>
      </c>
      <c r="I43" s="46">
        <v>800</v>
      </c>
      <c r="J43" s="46">
        <v>400</v>
      </c>
      <c r="K43" s="46"/>
      <c r="L43" s="46">
        <v>400</v>
      </c>
      <c r="M43" s="46">
        <v>400</v>
      </c>
      <c r="N43" s="46"/>
      <c r="O43" s="136"/>
      <c r="P43" s="43">
        <f t="shared" si="2"/>
        <v>2800</v>
      </c>
      <c r="Q43" s="43">
        <f t="shared" si="3"/>
        <v>7</v>
      </c>
    </row>
    <row r="44" spans="1:17" s="28" customFormat="1" x14ac:dyDescent="0.2">
      <c r="A44" s="36"/>
      <c r="B44" s="42" t="s">
        <v>210</v>
      </c>
      <c r="C44" s="38" t="s">
        <v>211</v>
      </c>
      <c r="D44" s="36">
        <v>10</v>
      </c>
      <c r="E44" s="36">
        <v>300</v>
      </c>
      <c r="F44" s="39">
        <v>1200</v>
      </c>
      <c r="G44" s="39"/>
      <c r="H44" s="39">
        <v>600</v>
      </c>
      <c r="I44" s="39"/>
      <c r="J44" s="39"/>
      <c r="K44" s="39"/>
      <c r="L44" s="39"/>
      <c r="M44" s="39"/>
      <c r="N44" s="39"/>
      <c r="O44" s="136"/>
      <c r="P44" s="36">
        <f t="shared" si="2"/>
        <v>1800</v>
      </c>
      <c r="Q44" s="36">
        <f t="shared" si="3"/>
        <v>6</v>
      </c>
    </row>
    <row r="45" spans="1:17" s="47" customFormat="1" x14ac:dyDescent="0.2">
      <c r="A45" s="43"/>
      <c r="B45" s="44">
        <v>90443200</v>
      </c>
      <c r="C45" s="45" t="s">
        <v>237</v>
      </c>
      <c r="D45" s="43">
        <v>10</v>
      </c>
      <c r="E45" s="43">
        <v>300</v>
      </c>
      <c r="F45" s="46"/>
      <c r="G45" s="46"/>
      <c r="H45" s="46">
        <v>900</v>
      </c>
      <c r="I45" s="46"/>
      <c r="J45" s="46"/>
      <c r="K45" s="46"/>
      <c r="L45" s="46">
        <v>1800</v>
      </c>
      <c r="M45" s="46">
        <v>1200</v>
      </c>
      <c r="N45" s="46"/>
      <c r="O45" s="136"/>
      <c r="P45" s="43">
        <f t="shared" si="2"/>
        <v>3900</v>
      </c>
      <c r="Q45" s="43">
        <f t="shared" si="3"/>
        <v>13</v>
      </c>
    </row>
    <row r="46" spans="1:17" s="28" customFormat="1" x14ac:dyDescent="0.2">
      <c r="A46" s="36">
        <v>26</v>
      </c>
      <c r="B46" s="42" t="s">
        <v>157</v>
      </c>
      <c r="C46" s="38" t="s">
        <v>160</v>
      </c>
      <c r="D46" s="36">
        <v>10</v>
      </c>
      <c r="E46" s="36">
        <v>160</v>
      </c>
      <c r="F46" s="39"/>
      <c r="G46" s="39"/>
      <c r="H46" s="39"/>
      <c r="I46" s="39">
        <v>1600</v>
      </c>
      <c r="J46" s="39"/>
      <c r="K46" s="39"/>
      <c r="L46" s="39">
        <v>2400</v>
      </c>
      <c r="M46" s="39">
        <v>1600</v>
      </c>
      <c r="N46" s="39"/>
      <c r="O46" s="136"/>
      <c r="P46" s="36">
        <f t="shared" si="2"/>
        <v>5600</v>
      </c>
      <c r="Q46" s="36">
        <f t="shared" si="3"/>
        <v>35</v>
      </c>
    </row>
    <row r="47" spans="1:17" s="47" customFormat="1" x14ac:dyDescent="0.2">
      <c r="A47" s="43" t="s">
        <v>199</v>
      </c>
      <c r="B47" s="44">
        <v>90443300</v>
      </c>
      <c r="C47" s="45" t="s">
        <v>172</v>
      </c>
      <c r="D47" s="43">
        <v>10</v>
      </c>
      <c r="E47" s="43">
        <v>160</v>
      </c>
      <c r="F47" s="46"/>
      <c r="G47" s="46"/>
      <c r="H47" s="46"/>
      <c r="I47" s="46"/>
      <c r="J47" s="46"/>
      <c r="K47" s="46"/>
      <c r="L47" s="46"/>
      <c r="M47" s="46">
        <v>1600</v>
      </c>
      <c r="N47" s="46"/>
      <c r="O47" s="136"/>
      <c r="P47" s="43">
        <f t="shared" si="2"/>
        <v>1600</v>
      </c>
      <c r="Q47" s="43">
        <f t="shared" si="3"/>
        <v>10</v>
      </c>
    </row>
    <row r="48" spans="1:17" s="28" customFormat="1" x14ac:dyDescent="0.2">
      <c r="A48" s="36"/>
      <c r="B48" s="42" t="s">
        <v>263</v>
      </c>
      <c r="C48" s="76" t="s">
        <v>265</v>
      </c>
      <c r="D48" s="36">
        <v>10</v>
      </c>
      <c r="E48" s="39">
        <v>160</v>
      </c>
      <c r="F48" s="39"/>
      <c r="G48" s="39"/>
      <c r="H48" s="39"/>
      <c r="I48" s="39"/>
      <c r="J48" s="39"/>
      <c r="K48" s="39"/>
      <c r="L48" s="39"/>
      <c r="M48" s="39"/>
      <c r="N48" s="39"/>
      <c r="O48" s="136"/>
      <c r="P48" s="36">
        <f t="shared" si="2"/>
        <v>0</v>
      </c>
      <c r="Q48" s="36">
        <f t="shared" si="3"/>
        <v>0</v>
      </c>
    </row>
    <row r="49" spans="1:17" s="47" customFormat="1" x14ac:dyDescent="0.2">
      <c r="A49" s="43"/>
      <c r="B49" s="44" t="s">
        <v>158</v>
      </c>
      <c r="C49" s="116" t="s">
        <v>260</v>
      </c>
      <c r="D49" s="43">
        <v>5</v>
      </c>
      <c r="E49" s="46">
        <v>35</v>
      </c>
      <c r="F49" s="46">
        <v>1050</v>
      </c>
      <c r="G49" s="46">
        <v>700</v>
      </c>
      <c r="H49" s="46"/>
      <c r="I49" s="46">
        <v>700</v>
      </c>
      <c r="J49" s="46">
        <v>700</v>
      </c>
      <c r="K49" s="46"/>
      <c r="L49" s="46"/>
      <c r="M49" s="46"/>
      <c r="N49" s="46"/>
      <c r="O49" s="136"/>
      <c r="P49" s="43">
        <f t="shared" si="2"/>
        <v>3150</v>
      </c>
      <c r="Q49" s="43">
        <f t="shared" si="3"/>
        <v>90</v>
      </c>
    </row>
    <row r="50" spans="1:17" s="28" customFormat="1" x14ac:dyDescent="0.2">
      <c r="A50" s="36">
        <v>28</v>
      </c>
      <c r="B50" s="37" t="s">
        <v>159</v>
      </c>
      <c r="C50" s="38" t="s">
        <v>162</v>
      </c>
      <c r="D50" s="36">
        <v>50</v>
      </c>
      <c r="E50" s="39">
        <v>350</v>
      </c>
      <c r="F50" s="39">
        <v>350</v>
      </c>
      <c r="G50" s="39">
        <v>350</v>
      </c>
      <c r="H50" s="39"/>
      <c r="I50" s="39"/>
      <c r="J50" s="39">
        <v>1050</v>
      </c>
      <c r="K50" s="39">
        <v>700</v>
      </c>
      <c r="L50" s="39">
        <v>1750</v>
      </c>
      <c r="M50" s="39">
        <v>700</v>
      </c>
      <c r="N50" s="39"/>
      <c r="O50" s="136"/>
      <c r="P50" s="36">
        <f t="shared" si="2"/>
        <v>4900</v>
      </c>
      <c r="Q50" s="36">
        <f t="shared" si="3"/>
        <v>14</v>
      </c>
    </row>
    <row r="51" spans="1:17" s="28" customFormat="1" x14ac:dyDescent="0.2">
      <c r="A51" s="36">
        <v>29</v>
      </c>
      <c r="B51" s="37" t="s">
        <v>349</v>
      </c>
      <c r="C51" s="170" t="s">
        <v>350</v>
      </c>
      <c r="D51" s="36">
        <v>10</v>
      </c>
      <c r="E51" s="39">
        <v>520</v>
      </c>
      <c r="F51" s="39">
        <v>520</v>
      </c>
      <c r="G51" s="39"/>
      <c r="H51" s="39"/>
      <c r="I51" s="39"/>
      <c r="J51" s="39"/>
      <c r="K51" s="39">
        <v>520</v>
      </c>
      <c r="L51" s="39"/>
      <c r="M51" s="39"/>
      <c r="N51" s="39"/>
      <c r="O51" s="136"/>
      <c r="P51" s="36">
        <f t="shared" si="2"/>
        <v>1040</v>
      </c>
      <c r="Q51" s="36">
        <f t="shared" si="3"/>
        <v>2</v>
      </c>
    </row>
    <row r="52" spans="1:17" s="28" customFormat="1" x14ac:dyDescent="0.2">
      <c r="A52" s="36"/>
      <c r="B52" s="37" t="s">
        <v>349</v>
      </c>
      <c r="C52" s="170" t="s">
        <v>350</v>
      </c>
      <c r="D52" s="36">
        <v>10</v>
      </c>
      <c r="E52" s="39">
        <v>450</v>
      </c>
      <c r="F52" s="39"/>
      <c r="G52" s="39"/>
      <c r="H52" s="39"/>
      <c r="I52" s="39"/>
      <c r="J52" s="39"/>
      <c r="K52" s="39"/>
      <c r="L52" s="39"/>
      <c r="M52" s="39"/>
      <c r="N52" s="39"/>
      <c r="O52" s="136"/>
      <c r="P52" s="36">
        <f t="shared" si="2"/>
        <v>0</v>
      </c>
      <c r="Q52" s="36">
        <f t="shared" si="3"/>
        <v>0</v>
      </c>
    </row>
    <row r="53" spans="1:17" x14ac:dyDescent="0.2">
      <c r="A53" s="32">
        <v>31</v>
      </c>
      <c r="B53" s="33" t="s">
        <v>100</v>
      </c>
      <c r="C53" s="34" t="s">
        <v>40</v>
      </c>
      <c r="D53" s="32">
        <v>50</v>
      </c>
      <c r="E53" s="35">
        <v>1750</v>
      </c>
      <c r="F53" s="35"/>
      <c r="G53" s="35"/>
      <c r="H53" s="35"/>
      <c r="I53" s="35"/>
      <c r="J53" s="35"/>
      <c r="K53" s="35"/>
      <c r="L53" s="35">
        <v>15750</v>
      </c>
      <c r="M53" s="35">
        <v>5250</v>
      </c>
      <c r="N53" s="35"/>
      <c r="O53" s="136"/>
      <c r="P53" s="32">
        <f t="shared" si="2"/>
        <v>21000</v>
      </c>
      <c r="Q53" s="32">
        <f t="shared" si="3"/>
        <v>12</v>
      </c>
    </row>
    <row r="54" spans="1:17" x14ac:dyDescent="0.2">
      <c r="A54" s="32"/>
      <c r="B54" s="33" t="s">
        <v>367</v>
      </c>
      <c r="C54" s="34" t="s">
        <v>368</v>
      </c>
      <c r="D54" s="32">
        <v>10</v>
      </c>
      <c r="E54" s="35">
        <v>1900</v>
      </c>
      <c r="F54" s="35"/>
      <c r="G54" s="35"/>
      <c r="H54" s="35"/>
      <c r="I54" s="35"/>
      <c r="J54" s="35"/>
      <c r="K54" s="35"/>
      <c r="L54" s="35"/>
      <c r="M54" s="35">
        <v>19000</v>
      </c>
      <c r="N54" s="35"/>
      <c r="O54" s="136"/>
      <c r="P54" s="32">
        <f t="shared" si="2"/>
        <v>19000</v>
      </c>
      <c r="Q54" s="32">
        <f t="shared" si="3"/>
        <v>10</v>
      </c>
    </row>
    <row r="55" spans="1:17" x14ac:dyDescent="0.2">
      <c r="A55" s="32"/>
      <c r="B55" s="37" t="s">
        <v>369</v>
      </c>
      <c r="C55" s="38" t="s">
        <v>370</v>
      </c>
      <c r="D55" s="36">
        <v>10</v>
      </c>
      <c r="E55" s="39">
        <v>890</v>
      </c>
      <c r="F55" s="35"/>
      <c r="G55" s="35"/>
      <c r="H55" s="35"/>
      <c r="I55" s="35"/>
      <c r="J55" s="35"/>
      <c r="K55" s="35"/>
      <c r="L55" s="35"/>
      <c r="M55" s="35">
        <v>8900</v>
      </c>
      <c r="N55" s="35"/>
      <c r="O55" s="136"/>
      <c r="P55" s="32">
        <f t="shared" si="2"/>
        <v>8900</v>
      </c>
      <c r="Q55" s="32">
        <f t="shared" si="3"/>
        <v>10</v>
      </c>
    </row>
    <row r="56" spans="1:17" x14ac:dyDescent="0.2">
      <c r="A56" s="32"/>
      <c r="B56" s="33" t="s">
        <v>371</v>
      </c>
      <c r="C56" s="34" t="s">
        <v>372</v>
      </c>
      <c r="D56" s="32">
        <v>10</v>
      </c>
      <c r="E56" s="35">
        <v>600</v>
      </c>
      <c r="F56" s="35"/>
      <c r="G56" s="35"/>
      <c r="H56" s="35"/>
      <c r="I56" s="35"/>
      <c r="J56" s="35"/>
      <c r="K56" s="35"/>
      <c r="L56" s="35"/>
      <c r="M56" s="35">
        <v>6000</v>
      </c>
      <c r="N56" s="35"/>
      <c r="O56" s="136"/>
      <c r="P56" s="32">
        <f t="shared" si="2"/>
        <v>6000</v>
      </c>
      <c r="Q56" s="32">
        <f t="shared" si="3"/>
        <v>10</v>
      </c>
    </row>
    <row r="57" spans="1:17" s="28" customFormat="1" x14ac:dyDescent="0.2">
      <c r="A57" s="36"/>
      <c r="B57" s="37" t="s">
        <v>271</v>
      </c>
      <c r="C57" s="38" t="s">
        <v>274</v>
      </c>
      <c r="D57" s="36">
        <v>5</v>
      </c>
      <c r="E57" s="39">
        <v>85</v>
      </c>
      <c r="F57" s="39"/>
      <c r="G57" s="39"/>
      <c r="H57" s="39"/>
      <c r="I57" s="39"/>
      <c r="J57" s="39"/>
      <c r="K57" s="39"/>
      <c r="L57" s="39"/>
      <c r="M57" s="39"/>
      <c r="N57" s="39"/>
      <c r="O57" s="136"/>
      <c r="P57" s="36">
        <f t="shared" si="2"/>
        <v>0</v>
      </c>
      <c r="Q57" s="36">
        <f t="shared" si="3"/>
        <v>0</v>
      </c>
    </row>
    <row r="58" spans="1:17" x14ac:dyDescent="0.2">
      <c r="A58" s="32"/>
      <c r="B58" s="33" t="s">
        <v>272</v>
      </c>
      <c r="C58" s="34" t="s">
        <v>275</v>
      </c>
      <c r="D58" s="32">
        <v>5</v>
      </c>
      <c r="E58" s="35">
        <v>75</v>
      </c>
      <c r="F58" s="35"/>
      <c r="G58" s="35"/>
      <c r="H58" s="35"/>
      <c r="I58" s="35"/>
      <c r="J58" s="35"/>
      <c r="K58" s="35"/>
      <c r="L58" s="35"/>
      <c r="M58" s="35"/>
      <c r="N58" s="35"/>
      <c r="O58" s="136"/>
      <c r="P58" s="32">
        <f t="shared" si="2"/>
        <v>0</v>
      </c>
      <c r="Q58" s="32">
        <f t="shared" si="3"/>
        <v>0</v>
      </c>
    </row>
    <row r="59" spans="1:17" s="47" customFormat="1" x14ac:dyDescent="0.2">
      <c r="A59" s="43"/>
      <c r="B59" s="117" t="s">
        <v>273</v>
      </c>
      <c r="C59" s="45" t="s">
        <v>276</v>
      </c>
      <c r="D59" s="43">
        <v>5</v>
      </c>
      <c r="E59" s="46">
        <v>45</v>
      </c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3">
        <f t="shared" si="2"/>
        <v>0</v>
      </c>
      <c r="Q59" s="43">
        <f t="shared" si="3"/>
        <v>0</v>
      </c>
    </row>
    <row r="60" spans="1:17" x14ac:dyDescent="0.2">
      <c r="A60" s="32"/>
      <c r="B60" s="33"/>
      <c r="C60" s="34"/>
      <c r="D60" s="32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136"/>
      <c r="P60" s="32"/>
      <c r="Q60" s="32"/>
    </row>
    <row r="61" spans="1:17" x14ac:dyDescent="0.2">
      <c r="A61" s="410" t="s">
        <v>135</v>
      </c>
      <c r="B61" s="414"/>
      <c r="C61" s="414"/>
      <c r="D61" s="414"/>
      <c r="E61" s="411"/>
      <c r="F61" s="225">
        <f t="shared" ref="F61:P61" si="4">SUM(F7:F60)</f>
        <v>69820</v>
      </c>
      <c r="G61" s="225">
        <f t="shared" si="4"/>
        <v>57950</v>
      </c>
      <c r="H61" s="225">
        <f t="shared" si="4"/>
        <v>44000</v>
      </c>
      <c r="I61" s="225">
        <f t="shared" si="4"/>
        <v>53480</v>
      </c>
      <c r="J61" s="225">
        <f t="shared" si="4"/>
        <v>82760</v>
      </c>
      <c r="K61" s="225">
        <f t="shared" si="4"/>
        <v>61670</v>
      </c>
      <c r="L61" s="225">
        <f t="shared" si="4"/>
        <v>162950</v>
      </c>
      <c r="M61" s="225">
        <f t="shared" si="4"/>
        <v>180150</v>
      </c>
      <c r="N61" s="225">
        <f t="shared" si="4"/>
        <v>0</v>
      </c>
      <c r="O61" s="137">
        <f t="shared" si="4"/>
        <v>0</v>
      </c>
      <c r="P61" s="225">
        <f t="shared" si="4"/>
        <v>712780</v>
      </c>
      <c r="Q61" s="10"/>
    </row>
    <row r="62" spans="1:17" x14ac:dyDescent="0.2">
      <c r="A62" s="421" t="s">
        <v>184</v>
      </c>
      <c r="B62" s="421"/>
      <c r="C62" s="421"/>
      <c r="D62" s="421"/>
      <c r="E62" s="421"/>
      <c r="Q62" s="17">
        <f>SUM(Q7:Q60)</f>
        <v>1196</v>
      </c>
    </row>
    <row r="63" spans="1:17" x14ac:dyDescent="0.2">
      <c r="Q63" s="78">
        <f>SUM(F3:O3)</f>
        <v>1199</v>
      </c>
    </row>
  </sheetData>
  <mergeCells count="7">
    <mergeCell ref="A62:E62"/>
    <mergeCell ref="A1:E1"/>
    <mergeCell ref="P1:Q1"/>
    <mergeCell ref="A2:E2"/>
    <mergeCell ref="D3:E3"/>
    <mergeCell ref="D4:E4"/>
    <mergeCell ref="A61:E61"/>
  </mergeCells>
  <pageMargins left="0.51181102362204722" right="0.51181102362204722" top="0.51181102362204722" bottom="0.51181102362204722" header="0" footer="0"/>
  <pageSetup paperSize="9" fitToWidth="0" fitToHeight="0" orientation="landscape" blackAndWhite="1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9"/>
  <sheetViews>
    <sheetView zoomScaleNormal="100" workbookViewId="0">
      <pane xSplit="5" ySplit="5" topLeftCell="V51" activePane="bottomRight" state="frozenSplit"/>
      <selection pane="topRight" activeCell="G1" sqref="G1"/>
      <selection pane="bottomLeft" activeCell="A17" sqref="A17"/>
      <selection pane="bottomRight" activeCell="A11" sqref="A11:XFD11"/>
    </sheetView>
  </sheetViews>
  <sheetFormatPr defaultRowHeight="12.75" x14ac:dyDescent="0.2"/>
  <cols>
    <col min="1" max="1" width="4.28515625" style="47" bestFit="1" customWidth="1"/>
    <col min="2" max="2" width="10.85546875" style="47" bestFit="1" customWidth="1"/>
    <col min="3" max="3" width="34.5703125" style="47" bestFit="1" customWidth="1"/>
    <col min="4" max="4" width="5.85546875" style="47" bestFit="1" customWidth="1"/>
    <col min="5" max="5" width="5" style="47" bestFit="1" customWidth="1"/>
    <col min="6" max="23" width="10.140625" style="47" customWidth="1"/>
    <col min="24" max="25" width="8.140625" style="47" customWidth="1"/>
    <col min="26" max="26" width="10.5703125" style="241" bestFit="1" customWidth="1"/>
    <col min="27" max="27" width="9.28515625" style="241" bestFit="1" customWidth="1"/>
    <col min="28" max="16384" width="9.140625" style="47"/>
  </cols>
  <sheetData>
    <row r="1" spans="1:28" x14ac:dyDescent="0.2">
      <c r="A1" s="425" t="s">
        <v>402</v>
      </c>
      <c r="B1" s="426"/>
      <c r="C1" s="426"/>
      <c r="D1" s="426"/>
      <c r="E1" s="427"/>
      <c r="F1" s="230">
        <v>2007</v>
      </c>
      <c r="G1" s="230">
        <v>2008</v>
      </c>
      <c r="H1" s="230">
        <v>3001</v>
      </c>
      <c r="I1" s="230">
        <v>3002</v>
      </c>
      <c r="J1" s="230">
        <v>3004</v>
      </c>
      <c r="K1" s="230">
        <v>3005</v>
      </c>
      <c r="L1" s="230">
        <v>3006</v>
      </c>
      <c r="M1" s="230">
        <v>3007</v>
      </c>
      <c r="N1" s="230">
        <v>3009</v>
      </c>
      <c r="O1" s="230">
        <v>3010</v>
      </c>
      <c r="P1" s="230">
        <v>3012</v>
      </c>
      <c r="Q1" s="250">
        <v>3013</v>
      </c>
      <c r="R1" s="250">
        <v>3014</v>
      </c>
      <c r="S1" s="252">
        <v>3015</v>
      </c>
      <c r="T1" s="254">
        <v>3017</v>
      </c>
      <c r="U1" s="256">
        <v>3018</v>
      </c>
      <c r="V1" s="256">
        <v>3020</v>
      </c>
      <c r="W1" s="259">
        <v>3022</v>
      </c>
      <c r="X1" s="230"/>
      <c r="Y1" s="230" t="s">
        <v>318</v>
      </c>
      <c r="Z1" s="412" t="s">
        <v>138</v>
      </c>
      <c r="AA1" s="412"/>
    </row>
    <row r="2" spans="1:28" x14ac:dyDescent="0.2">
      <c r="A2" s="428" t="s">
        <v>42</v>
      </c>
      <c r="B2" s="426"/>
      <c r="C2" s="426"/>
      <c r="D2" s="426"/>
      <c r="E2" s="427"/>
      <c r="F2" s="231" t="s">
        <v>392</v>
      </c>
      <c r="G2" s="231" t="s">
        <v>393</v>
      </c>
      <c r="H2" s="231" t="s">
        <v>394</v>
      </c>
      <c r="I2" s="231" t="s">
        <v>395</v>
      </c>
      <c r="J2" s="231" t="s">
        <v>396</v>
      </c>
      <c r="K2" s="231" t="s">
        <v>399</v>
      </c>
      <c r="L2" s="231" t="s">
        <v>455</v>
      </c>
      <c r="M2" s="231" t="s">
        <v>456</v>
      </c>
      <c r="N2" s="231" t="s">
        <v>459</v>
      </c>
      <c r="O2" s="231" t="s">
        <v>460</v>
      </c>
      <c r="P2" s="231" t="s">
        <v>461</v>
      </c>
      <c r="Q2" s="251" t="s">
        <v>464</v>
      </c>
      <c r="R2" s="251" t="s">
        <v>465</v>
      </c>
      <c r="S2" s="253" t="s">
        <v>466</v>
      </c>
      <c r="T2" s="255" t="s">
        <v>467</v>
      </c>
      <c r="U2" s="257" t="s">
        <v>468</v>
      </c>
      <c r="V2" s="257" t="s">
        <v>469</v>
      </c>
      <c r="W2" s="260" t="s">
        <v>470</v>
      </c>
      <c r="X2" s="231"/>
      <c r="Y2" s="231" t="s">
        <v>319</v>
      </c>
      <c r="Z2" s="18" t="s">
        <v>116</v>
      </c>
      <c r="AA2" s="18" t="s">
        <v>5</v>
      </c>
    </row>
    <row r="3" spans="1:28" x14ac:dyDescent="0.2">
      <c r="A3" s="232"/>
      <c r="B3" s="232"/>
      <c r="C3" s="232"/>
      <c r="D3" s="428" t="s">
        <v>140</v>
      </c>
      <c r="E3" s="429"/>
      <c r="F3" s="231">
        <v>173</v>
      </c>
      <c r="G3" s="231">
        <v>35</v>
      </c>
      <c r="H3" s="231">
        <v>4</v>
      </c>
      <c r="I3" s="231">
        <v>165</v>
      </c>
      <c r="J3" s="231">
        <v>241</v>
      </c>
      <c r="K3" s="231">
        <v>236</v>
      </c>
      <c r="L3" s="231">
        <v>195</v>
      </c>
      <c r="M3" s="231">
        <v>201</v>
      </c>
      <c r="N3" s="231">
        <v>5</v>
      </c>
      <c r="O3" s="231">
        <v>4</v>
      </c>
      <c r="P3" s="231">
        <v>193</v>
      </c>
      <c r="Q3" s="251">
        <v>180</v>
      </c>
      <c r="R3" s="251">
        <v>10</v>
      </c>
      <c r="S3" s="253">
        <v>15</v>
      </c>
      <c r="T3" s="255">
        <v>171</v>
      </c>
      <c r="U3" s="257">
        <v>15</v>
      </c>
      <c r="V3" s="257">
        <v>226</v>
      </c>
      <c r="W3" s="260">
        <v>141</v>
      </c>
      <c r="X3" s="231"/>
      <c r="Y3" s="231" t="s">
        <v>320</v>
      </c>
      <c r="Z3" s="15"/>
      <c r="AA3" s="15"/>
    </row>
    <row r="4" spans="1:28" ht="25.5" x14ac:dyDescent="0.2">
      <c r="A4" s="233" t="s">
        <v>1</v>
      </c>
      <c r="B4" s="234" t="s">
        <v>2</v>
      </c>
      <c r="C4" s="234" t="s">
        <v>0</v>
      </c>
      <c r="D4" s="412" t="s">
        <v>3</v>
      </c>
      <c r="E4" s="425"/>
      <c r="F4" s="231" t="s">
        <v>116</v>
      </c>
      <c r="G4" s="231" t="s">
        <v>116</v>
      </c>
      <c r="H4" s="231" t="s">
        <v>116</v>
      </c>
      <c r="I4" s="231" t="s">
        <v>116</v>
      </c>
      <c r="J4" s="231" t="s">
        <v>116</v>
      </c>
      <c r="K4" s="231" t="s">
        <v>116</v>
      </c>
      <c r="L4" s="231" t="s">
        <v>116</v>
      </c>
      <c r="M4" s="231" t="s">
        <v>116</v>
      </c>
      <c r="N4" s="231" t="s">
        <v>116</v>
      </c>
      <c r="O4" s="231" t="s">
        <v>116</v>
      </c>
      <c r="P4" s="231" t="s">
        <v>116</v>
      </c>
      <c r="Q4" s="251" t="s">
        <v>116</v>
      </c>
      <c r="R4" s="253" t="s">
        <v>116</v>
      </c>
      <c r="S4" s="253" t="s">
        <v>116</v>
      </c>
      <c r="T4" s="255" t="s">
        <v>116</v>
      </c>
      <c r="U4" s="257" t="s">
        <v>116</v>
      </c>
      <c r="V4" s="258" t="s">
        <v>116</v>
      </c>
      <c r="W4" s="260" t="s">
        <v>116</v>
      </c>
      <c r="X4" s="261" t="s">
        <v>116</v>
      </c>
      <c r="Y4" s="231" t="s">
        <v>116</v>
      </c>
      <c r="Z4" s="15"/>
      <c r="AA4" s="15"/>
    </row>
    <row r="5" spans="1:28" x14ac:dyDescent="0.2">
      <c r="A5" s="15"/>
      <c r="B5" s="3"/>
      <c r="C5" s="3"/>
      <c r="D5" s="18" t="s">
        <v>4</v>
      </c>
      <c r="E5" s="235" t="s">
        <v>5</v>
      </c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15"/>
      <c r="AA5" s="15"/>
    </row>
    <row r="6" spans="1:28" x14ac:dyDescent="0.2">
      <c r="A6" s="236"/>
      <c r="B6" s="237"/>
      <c r="C6" s="237"/>
      <c r="D6" s="236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6"/>
      <c r="AA6" s="236"/>
    </row>
    <row r="7" spans="1:28" x14ac:dyDescent="0.2">
      <c r="A7" s="43">
        <v>1</v>
      </c>
      <c r="B7" s="117" t="s">
        <v>410</v>
      </c>
      <c r="C7" s="45" t="s">
        <v>24</v>
      </c>
      <c r="D7" s="43">
        <v>50</v>
      </c>
      <c r="E7" s="46">
        <v>2800</v>
      </c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3">
        <f t="shared" ref="Z7:Z37" si="0">SUM(F7:Y7)</f>
        <v>0</v>
      </c>
      <c r="AA7" s="43">
        <f t="shared" ref="AA7:AA38" si="1">Z7/E7</f>
        <v>0</v>
      </c>
      <c r="AB7" s="385"/>
    </row>
    <row r="8" spans="1:28" x14ac:dyDescent="0.2">
      <c r="A8" s="43">
        <v>2</v>
      </c>
      <c r="B8" s="117" t="s">
        <v>142</v>
      </c>
      <c r="C8" s="45" t="s">
        <v>143</v>
      </c>
      <c r="D8" s="43">
        <v>50</v>
      </c>
      <c r="E8" s="46">
        <v>550</v>
      </c>
      <c r="F8" s="46">
        <v>3300</v>
      </c>
      <c r="G8" s="46"/>
      <c r="H8" s="46"/>
      <c r="I8" s="46">
        <v>3300</v>
      </c>
      <c r="J8" s="46"/>
      <c r="K8" s="46">
        <v>11000</v>
      </c>
      <c r="L8" s="46">
        <v>3300</v>
      </c>
      <c r="M8" s="46">
        <v>3300</v>
      </c>
      <c r="N8" s="46">
        <v>2200</v>
      </c>
      <c r="O8" s="46"/>
      <c r="P8" s="46">
        <v>4400</v>
      </c>
      <c r="Q8" s="46"/>
      <c r="R8" s="46"/>
      <c r="S8" s="46"/>
      <c r="T8" s="46">
        <v>6600</v>
      </c>
      <c r="U8" s="46"/>
      <c r="V8" s="46">
        <v>9900</v>
      </c>
      <c r="W8" s="46">
        <v>1100</v>
      </c>
      <c r="X8" s="46"/>
      <c r="Y8" s="46"/>
      <c r="Z8" s="43">
        <f t="shared" si="0"/>
        <v>48400</v>
      </c>
      <c r="AA8" s="43">
        <f t="shared" si="1"/>
        <v>88</v>
      </c>
      <c r="AB8" s="385"/>
    </row>
    <row r="9" spans="1:28" x14ac:dyDescent="0.2">
      <c r="A9" s="43">
        <v>3</v>
      </c>
      <c r="B9" s="117" t="s">
        <v>411</v>
      </c>
      <c r="C9" s="45" t="s">
        <v>171</v>
      </c>
      <c r="D9" s="43">
        <v>10</v>
      </c>
      <c r="E9" s="46">
        <v>1200</v>
      </c>
      <c r="F9" s="46">
        <v>6000</v>
      </c>
      <c r="G9" s="46">
        <v>6000</v>
      </c>
      <c r="H9" s="46"/>
      <c r="I9" s="46"/>
      <c r="J9" s="46"/>
      <c r="K9" s="46">
        <v>18000</v>
      </c>
      <c r="L9" s="46">
        <v>12000</v>
      </c>
      <c r="M9" s="46">
        <v>4800</v>
      </c>
      <c r="N9" s="46"/>
      <c r="O9" s="46"/>
      <c r="P9" s="46">
        <v>12000</v>
      </c>
      <c r="Q9" s="46"/>
      <c r="R9" s="46"/>
      <c r="S9" s="46"/>
      <c r="T9" s="46">
        <v>1200</v>
      </c>
      <c r="U9" s="46"/>
      <c r="V9" s="46">
        <v>14400</v>
      </c>
      <c r="W9" s="46">
        <v>10800</v>
      </c>
      <c r="X9" s="46"/>
      <c r="Y9" s="46"/>
      <c r="Z9" s="43">
        <f t="shared" si="0"/>
        <v>85200</v>
      </c>
      <c r="AA9" s="43">
        <f t="shared" si="1"/>
        <v>71</v>
      </c>
      <c r="AB9" s="385"/>
    </row>
    <row r="10" spans="1:28" x14ac:dyDescent="0.2">
      <c r="A10" s="43">
        <v>4</v>
      </c>
      <c r="B10" s="117" t="s">
        <v>412</v>
      </c>
      <c r="C10" s="45" t="s">
        <v>25</v>
      </c>
      <c r="D10" s="43">
        <v>50</v>
      </c>
      <c r="E10" s="46">
        <v>550</v>
      </c>
      <c r="F10" s="46">
        <v>6600</v>
      </c>
      <c r="G10" s="46"/>
      <c r="H10" s="46"/>
      <c r="I10" s="46"/>
      <c r="J10" s="46"/>
      <c r="K10" s="46">
        <v>3300</v>
      </c>
      <c r="L10" s="46">
        <v>3300</v>
      </c>
      <c r="M10" s="46">
        <v>3300</v>
      </c>
      <c r="N10" s="46"/>
      <c r="O10" s="46"/>
      <c r="P10" s="46">
        <v>6600</v>
      </c>
      <c r="Q10" s="46">
        <v>6600</v>
      </c>
      <c r="R10" s="46"/>
      <c r="S10" s="46"/>
      <c r="T10" s="46">
        <v>6600</v>
      </c>
      <c r="U10" s="46"/>
      <c r="V10" s="46">
        <v>1650</v>
      </c>
      <c r="W10" s="46">
        <v>1650</v>
      </c>
      <c r="X10" s="46"/>
      <c r="Y10" s="46"/>
      <c r="Z10" s="43">
        <f t="shared" si="0"/>
        <v>39600</v>
      </c>
      <c r="AA10" s="43">
        <f t="shared" si="1"/>
        <v>72</v>
      </c>
      <c r="AB10" s="385"/>
    </row>
    <row r="11" spans="1:28" x14ac:dyDescent="0.2">
      <c r="A11" s="43">
        <v>5</v>
      </c>
      <c r="B11" s="117" t="s">
        <v>413</v>
      </c>
      <c r="C11" s="45" t="s">
        <v>22</v>
      </c>
      <c r="D11" s="43">
        <v>100</v>
      </c>
      <c r="E11" s="46">
        <v>1200</v>
      </c>
      <c r="F11" s="46">
        <v>24000</v>
      </c>
      <c r="G11" s="46"/>
      <c r="H11" s="46"/>
      <c r="I11" s="46">
        <v>24000</v>
      </c>
      <c r="J11" s="46">
        <v>24000</v>
      </c>
      <c r="K11" s="46">
        <v>12000</v>
      </c>
      <c r="L11" s="46">
        <v>6000</v>
      </c>
      <c r="M11" s="46">
        <v>6000</v>
      </c>
      <c r="N11" s="46"/>
      <c r="O11" s="46"/>
      <c r="P11" s="46">
        <v>24000</v>
      </c>
      <c r="Q11" s="46">
        <v>12000</v>
      </c>
      <c r="R11" s="46">
        <v>12000</v>
      </c>
      <c r="S11" s="46"/>
      <c r="T11" s="46">
        <v>18000</v>
      </c>
      <c r="U11" s="46"/>
      <c r="V11" s="46">
        <v>24000</v>
      </c>
      <c r="W11" s="46">
        <v>9600</v>
      </c>
      <c r="X11" s="46"/>
      <c r="Y11" s="46"/>
      <c r="Z11" s="43">
        <f t="shared" si="0"/>
        <v>195600</v>
      </c>
      <c r="AA11" s="43">
        <f t="shared" si="1"/>
        <v>163</v>
      </c>
      <c r="AB11" s="385"/>
    </row>
    <row r="12" spans="1:28" x14ac:dyDescent="0.2">
      <c r="A12" s="43">
        <v>6</v>
      </c>
      <c r="B12" s="44" t="s">
        <v>200</v>
      </c>
      <c r="C12" s="45" t="s">
        <v>201</v>
      </c>
      <c r="D12" s="43">
        <v>10</v>
      </c>
      <c r="E12" s="46">
        <v>800</v>
      </c>
      <c r="F12" s="46"/>
      <c r="G12" s="46"/>
      <c r="H12" s="46"/>
      <c r="I12" s="46"/>
      <c r="J12" s="46"/>
      <c r="K12" s="46">
        <v>2400</v>
      </c>
      <c r="L12" s="46">
        <v>2400</v>
      </c>
      <c r="M12" s="46">
        <v>2400</v>
      </c>
      <c r="N12" s="46"/>
      <c r="O12" s="46"/>
      <c r="P12" s="46">
        <v>2400</v>
      </c>
      <c r="Q12" s="46"/>
      <c r="R12" s="46"/>
      <c r="S12" s="46"/>
      <c r="T12" s="46"/>
      <c r="U12" s="46"/>
      <c r="V12" s="46"/>
      <c r="W12" s="46">
        <v>4800</v>
      </c>
      <c r="X12" s="46"/>
      <c r="Y12" s="46"/>
      <c r="Z12" s="43">
        <f t="shared" si="0"/>
        <v>14400</v>
      </c>
      <c r="AA12" s="43">
        <f t="shared" si="1"/>
        <v>18</v>
      </c>
      <c r="AB12" s="385"/>
    </row>
    <row r="13" spans="1:28" x14ac:dyDescent="0.2">
      <c r="A13" s="43">
        <v>7</v>
      </c>
      <c r="B13" s="117" t="s">
        <v>349</v>
      </c>
      <c r="C13" s="240" t="s">
        <v>350</v>
      </c>
      <c r="D13" s="43">
        <v>10</v>
      </c>
      <c r="E13" s="46">
        <v>520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3">
        <f t="shared" si="0"/>
        <v>0</v>
      </c>
      <c r="AA13" s="43">
        <f t="shared" si="1"/>
        <v>0</v>
      </c>
      <c r="AB13" s="385"/>
    </row>
    <row r="14" spans="1:28" x14ac:dyDescent="0.2">
      <c r="A14" s="249" t="s">
        <v>454</v>
      </c>
      <c r="B14" s="117" t="s">
        <v>349</v>
      </c>
      <c r="C14" s="240" t="s">
        <v>350</v>
      </c>
      <c r="D14" s="43">
        <v>10</v>
      </c>
      <c r="E14" s="46">
        <v>450</v>
      </c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3">
        <f t="shared" si="0"/>
        <v>0</v>
      </c>
      <c r="AA14" s="43">
        <f t="shared" si="1"/>
        <v>0</v>
      </c>
      <c r="AB14" s="385"/>
    </row>
    <row r="15" spans="1:28" x14ac:dyDescent="0.2">
      <c r="A15" s="43">
        <v>8</v>
      </c>
      <c r="B15" s="245" t="s">
        <v>414</v>
      </c>
      <c r="C15" s="243" t="s">
        <v>397</v>
      </c>
      <c r="D15" s="244">
        <v>10</v>
      </c>
      <c r="E15" s="248">
        <v>2500</v>
      </c>
      <c r="F15" s="46"/>
      <c r="G15" s="46"/>
      <c r="H15" s="46"/>
      <c r="I15" s="46"/>
      <c r="J15" s="46">
        <v>12500</v>
      </c>
      <c r="K15" s="46">
        <v>7500</v>
      </c>
      <c r="L15" s="46">
        <v>2500</v>
      </c>
      <c r="M15" s="46">
        <v>7500</v>
      </c>
      <c r="N15" s="46">
        <v>2500</v>
      </c>
      <c r="O15" s="46"/>
      <c r="P15" s="46">
        <v>7500</v>
      </c>
      <c r="Q15" s="46">
        <v>10000</v>
      </c>
      <c r="R15" s="46"/>
      <c r="S15" s="46">
        <v>12500</v>
      </c>
      <c r="T15" s="46">
        <v>2500</v>
      </c>
      <c r="U15" s="46">
        <v>12500</v>
      </c>
      <c r="V15" s="46"/>
      <c r="W15" s="46">
        <v>7500</v>
      </c>
      <c r="X15" s="46"/>
      <c r="Y15" s="46"/>
      <c r="Z15" s="43">
        <f t="shared" si="0"/>
        <v>85000</v>
      </c>
      <c r="AA15" s="43">
        <f t="shared" si="1"/>
        <v>34</v>
      </c>
      <c r="AB15" s="385"/>
    </row>
    <row r="16" spans="1:28" x14ac:dyDescent="0.2">
      <c r="A16" s="43">
        <v>9</v>
      </c>
      <c r="B16" s="245" t="s">
        <v>415</v>
      </c>
      <c r="C16" s="243" t="s">
        <v>398</v>
      </c>
      <c r="D16" s="244">
        <v>10</v>
      </c>
      <c r="E16" s="248">
        <v>1500</v>
      </c>
      <c r="F16" s="46"/>
      <c r="G16" s="46"/>
      <c r="H16" s="46"/>
      <c r="I16" s="46"/>
      <c r="J16" s="46">
        <v>4500</v>
      </c>
      <c r="K16" s="46">
        <v>3000</v>
      </c>
      <c r="L16" s="46"/>
      <c r="M16" s="46">
        <v>3000</v>
      </c>
      <c r="N16" s="46"/>
      <c r="O16" s="46"/>
      <c r="P16" s="46">
        <v>3000</v>
      </c>
      <c r="Q16" s="46">
        <v>3000</v>
      </c>
      <c r="R16" s="46"/>
      <c r="S16" s="46"/>
      <c r="T16" s="46">
        <v>3000</v>
      </c>
      <c r="U16" s="46"/>
      <c r="V16" s="46">
        <v>3000</v>
      </c>
      <c r="W16" s="46">
        <v>3000</v>
      </c>
      <c r="X16" s="46"/>
      <c r="Y16" s="46"/>
      <c r="Z16" s="43">
        <f t="shared" si="0"/>
        <v>25500</v>
      </c>
      <c r="AA16" s="43">
        <f t="shared" si="1"/>
        <v>17</v>
      </c>
      <c r="AB16" s="385"/>
    </row>
    <row r="17" spans="1:28" x14ac:dyDescent="0.2">
      <c r="A17" s="43">
        <v>10</v>
      </c>
      <c r="B17" s="117" t="s">
        <v>416</v>
      </c>
      <c r="C17" s="45" t="s">
        <v>400</v>
      </c>
      <c r="D17" s="43">
        <v>10</v>
      </c>
      <c r="E17" s="46">
        <v>900</v>
      </c>
      <c r="F17" s="46"/>
      <c r="G17" s="46"/>
      <c r="H17" s="46"/>
      <c r="I17" s="46"/>
      <c r="J17" s="46"/>
      <c r="K17" s="46">
        <v>900</v>
      </c>
      <c r="L17" s="46">
        <v>1800</v>
      </c>
      <c r="M17" s="46"/>
      <c r="N17" s="46"/>
      <c r="O17" s="46"/>
      <c r="P17" s="46">
        <v>900</v>
      </c>
      <c r="Q17" s="46">
        <v>900</v>
      </c>
      <c r="R17" s="46"/>
      <c r="S17" s="46"/>
      <c r="T17" s="46">
        <v>1800</v>
      </c>
      <c r="U17" s="46"/>
      <c r="V17" s="46">
        <v>1800</v>
      </c>
      <c r="W17" s="46">
        <v>900</v>
      </c>
      <c r="X17" s="46"/>
      <c r="Y17" s="46"/>
      <c r="Z17" s="43">
        <f t="shared" si="0"/>
        <v>9000</v>
      </c>
      <c r="AA17" s="43">
        <f t="shared" si="1"/>
        <v>10</v>
      </c>
      <c r="AB17" s="385"/>
    </row>
    <row r="18" spans="1:28" x14ac:dyDescent="0.2">
      <c r="A18" s="43">
        <v>11</v>
      </c>
      <c r="B18" s="117" t="s">
        <v>417</v>
      </c>
      <c r="C18" s="45" t="s">
        <v>368</v>
      </c>
      <c r="D18" s="43">
        <v>10</v>
      </c>
      <c r="E18" s="46">
        <v>1900</v>
      </c>
      <c r="F18" s="46">
        <v>9500</v>
      </c>
      <c r="G18" s="46">
        <v>9500</v>
      </c>
      <c r="H18" s="46"/>
      <c r="I18" s="46"/>
      <c r="J18" s="46"/>
      <c r="K18" s="46">
        <v>9500</v>
      </c>
      <c r="L18" s="46">
        <v>9500</v>
      </c>
      <c r="M18" s="46">
        <v>9500</v>
      </c>
      <c r="N18" s="46"/>
      <c r="O18" s="46"/>
      <c r="P18" s="46">
        <v>11400</v>
      </c>
      <c r="Q18" s="46">
        <v>11400</v>
      </c>
      <c r="R18" s="46"/>
      <c r="S18" s="46">
        <v>9500</v>
      </c>
      <c r="T18" s="46">
        <v>5700</v>
      </c>
      <c r="U18" s="46">
        <v>9500</v>
      </c>
      <c r="V18" s="46">
        <v>3800</v>
      </c>
      <c r="W18" s="46">
        <v>3800</v>
      </c>
      <c r="X18" s="46"/>
      <c r="Y18" s="46"/>
      <c r="Z18" s="43">
        <f t="shared" si="0"/>
        <v>102600</v>
      </c>
      <c r="AA18" s="43">
        <f t="shared" si="1"/>
        <v>54</v>
      </c>
      <c r="AB18" s="385"/>
    </row>
    <row r="19" spans="1:28" x14ac:dyDescent="0.2">
      <c r="A19" s="43">
        <v>12</v>
      </c>
      <c r="B19" s="117" t="s">
        <v>418</v>
      </c>
      <c r="C19" s="45" t="s">
        <v>370</v>
      </c>
      <c r="D19" s="43">
        <v>10</v>
      </c>
      <c r="E19" s="46">
        <v>890</v>
      </c>
      <c r="F19" s="46">
        <v>3560</v>
      </c>
      <c r="G19" s="46">
        <v>2670</v>
      </c>
      <c r="H19" s="46"/>
      <c r="I19" s="46"/>
      <c r="J19" s="46"/>
      <c r="K19" s="46"/>
      <c r="L19" s="46">
        <v>3560</v>
      </c>
      <c r="M19" s="46">
        <v>4450</v>
      </c>
      <c r="N19" s="46"/>
      <c r="O19" s="46"/>
      <c r="P19" s="46">
        <v>3560</v>
      </c>
      <c r="Q19" s="46">
        <v>3560</v>
      </c>
      <c r="R19" s="46"/>
      <c r="S19" s="46"/>
      <c r="T19" s="46">
        <v>5340</v>
      </c>
      <c r="U19" s="46"/>
      <c r="V19" s="46">
        <v>2670</v>
      </c>
      <c r="W19" s="46">
        <v>2670</v>
      </c>
      <c r="X19" s="46"/>
      <c r="Y19" s="46"/>
      <c r="Z19" s="43">
        <f t="shared" si="0"/>
        <v>32040</v>
      </c>
      <c r="AA19" s="43">
        <f t="shared" si="1"/>
        <v>36</v>
      </c>
      <c r="AB19" s="385"/>
    </row>
    <row r="20" spans="1:28" x14ac:dyDescent="0.2">
      <c r="A20" s="43">
        <v>13</v>
      </c>
      <c r="B20" s="117" t="s">
        <v>419</v>
      </c>
      <c r="C20" s="45" t="s">
        <v>372</v>
      </c>
      <c r="D20" s="43">
        <v>10</v>
      </c>
      <c r="E20" s="46">
        <v>600</v>
      </c>
      <c r="F20" s="46">
        <v>2400</v>
      </c>
      <c r="G20" s="46">
        <v>4200</v>
      </c>
      <c r="H20" s="46"/>
      <c r="I20" s="46"/>
      <c r="J20" s="46"/>
      <c r="K20" s="46">
        <v>6000</v>
      </c>
      <c r="L20" s="46">
        <v>6000</v>
      </c>
      <c r="M20" s="46">
        <v>6000</v>
      </c>
      <c r="N20" s="46"/>
      <c r="O20" s="46"/>
      <c r="P20" s="46">
        <v>6000</v>
      </c>
      <c r="Q20" s="46">
        <v>6000</v>
      </c>
      <c r="R20" s="46"/>
      <c r="S20" s="46"/>
      <c r="T20" s="46">
        <v>7200</v>
      </c>
      <c r="U20" s="46"/>
      <c r="V20" s="46">
        <v>3600</v>
      </c>
      <c r="W20" s="46">
        <v>3600</v>
      </c>
      <c r="X20" s="46"/>
      <c r="Y20" s="46"/>
      <c r="Z20" s="43">
        <f t="shared" si="0"/>
        <v>51000</v>
      </c>
      <c r="AA20" s="43">
        <f t="shared" si="1"/>
        <v>85</v>
      </c>
      <c r="AB20" s="385"/>
    </row>
    <row r="21" spans="1:28" x14ac:dyDescent="0.2">
      <c r="A21" s="43">
        <v>14</v>
      </c>
      <c r="B21" s="117" t="s">
        <v>457</v>
      </c>
      <c r="C21" s="45" t="s">
        <v>458</v>
      </c>
      <c r="D21" s="43">
        <v>10</v>
      </c>
      <c r="E21" s="46">
        <v>2900</v>
      </c>
      <c r="F21" s="46"/>
      <c r="G21" s="46"/>
      <c r="H21" s="46"/>
      <c r="I21" s="46"/>
      <c r="J21" s="46"/>
      <c r="K21" s="46"/>
      <c r="L21" s="46"/>
      <c r="M21" s="46">
        <v>14500</v>
      </c>
      <c r="N21" s="46"/>
      <c r="O21" s="46"/>
      <c r="P21" s="46">
        <v>14500</v>
      </c>
      <c r="Q21" s="46"/>
      <c r="R21" s="46"/>
      <c r="S21" s="46">
        <v>14500</v>
      </c>
      <c r="T21" s="46">
        <v>2900</v>
      </c>
      <c r="U21" s="46">
        <v>14500</v>
      </c>
      <c r="V21" s="46">
        <v>8700</v>
      </c>
      <c r="W21" s="46">
        <v>17400</v>
      </c>
      <c r="X21" s="46"/>
      <c r="Y21" s="46"/>
      <c r="Z21" s="43">
        <f t="shared" si="0"/>
        <v>87000</v>
      </c>
      <c r="AA21" s="43">
        <f t="shared" si="1"/>
        <v>30</v>
      </c>
      <c r="AB21" s="385"/>
    </row>
    <row r="22" spans="1:28" x14ac:dyDescent="0.2">
      <c r="A22" s="43">
        <v>15</v>
      </c>
      <c r="B22" s="117" t="s">
        <v>462</v>
      </c>
      <c r="C22" s="45" t="s">
        <v>463</v>
      </c>
      <c r="D22" s="43">
        <v>10</v>
      </c>
      <c r="E22" s="46">
        <v>1700</v>
      </c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>
        <v>3400</v>
      </c>
      <c r="Q22" s="46">
        <v>3400</v>
      </c>
      <c r="R22" s="46"/>
      <c r="S22" s="46"/>
      <c r="T22" s="46">
        <v>5100</v>
      </c>
      <c r="U22" s="46"/>
      <c r="V22" s="46">
        <v>5100</v>
      </c>
      <c r="W22" s="46">
        <v>3400</v>
      </c>
      <c r="X22" s="46"/>
      <c r="Y22" s="46"/>
      <c r="Z22" s="43">
        <f t="shared" si="0"/>
        <v>20400</v>
      </c>
      <c r="AA22" s="43">
        <f t="shared" si="1"/>
        <v>12</v>
      </c>
      <c r="AB22" s="385"/>
    </row>
    <row r="23" spans="1:28" x14ac:dyDescent="0.2">
      <c r="A23" s="43">
        <v>16</v>
      </c>
      <c r="B23" s="117" t="s">
        <v>420</v>
      </c>
      <c r="C23" s="45" t="s">
        <v>401</v>
      </c>
      <c r="D23" s="43">
        <v>10</v>
      </c>
      <c r="E23" s="46">
        <v>1000</v>
      </c>
      <c r="F23" s="46"/>
      <c r="G23" s="46"/>
      <c r="H23" s="46"/>
      <c r="I23" s="46"/>
      <c r="J23" s="46"/>
      <c r="K23" s="46">
        <v>1000</v>
      </c>
      <c r="L23" s="46">
        <v>2000</v>
      </c>
      <c r="M23" s="46"/>
      <c r="N23" s="46"/>
      <c r="O23" s="46"/>
      <c r="P23" s="46">
        <v>2000</v>
      </c>
      <c r="Q23" s="46">
        <v>2000</v>
      </c>
      <c r="R23" s="46"/>
      <c r="S23" s="46"/>
      <c r="T23" s="46">
        <v>3000</v>
      </c>
      <c r="U23" s="46"/>
      <c r="V23" s="46">
        <v>3000</v>
      </c>
      <c r="W23" s="46">
        <v>2000</v>
      </c>
      <c r="X23" s="46"/>
      <c r="Y23" s="46"/>
      <c r="Z23" s="43">
        <f t="shared" si="0"/>
        <v>15000</v>
      </c>
      <c r="AA23" s="43">
        <f t="shared" si="1"/>
        <v>15</v>
      </c>
      <c r="AB23" s="385"/>
    </row>
    <row r="24" spans="1:28" x14ac:dyDescent="0.2">
      <c r="A24" s="43">
        <v>17</v>
      </c>
      <c r="B24" s="117" t="s">
        <v>421</v>
      </c>
      <c r="C24" s="45" t="s">
        <v>40</v>
      </c>
      <c r="D24" s="43">
        <v>50</v>
      </c>
      <c r="E24" s="46">
        <v>1750</v>
      </c>
      <c r="F24" s="46">
        <v>5250</v>
      </c>
      <c r="G24" s="46">
        <v>5250</v>
      </c>
      <c r="H24" s="46"/>
      <c r="I24" s="46"/>
      <c r="J24" s="46"/>
      <c r="K24" s="46">
        <v>10500</v>
      </c>
      <c r="L24" s="46"/>
      <c r="M24" s="46">
        <v>10500</v>
      </c>
      <c r="N24" s="46"/>
      <c r="O24" s="46"/>
      <c r="P24" s="46">
        <v>8750</v>
      </c>
      <c r="Q24" s="46"/>
      <c r="R24" s="46"/>
      <c r="S24" s="46"/>
      <c r="T24" s="46">
        <v>1750</v>
      </c>
      <c r="U24" s="46"/>
      <c r="V24" s="46">
        <v>3500</v>
      </c>
      <c r="W24" s="46">
        <v>10500</v>
      </c>
      <c r="X24" s="46"/>
      <c r="Y24" s="46"/>
      <c r="Z24" s="43">
        <f t="shared" si="0"/>
        <v>56000</v>
      </c>
      <c r="AA24" s="43">
        <f t="shared" si="1"/>
        <v>32</v>
      </c>
      <c r="AB24" s="385"/>
    </row>
    <row r="25" spans="1:28" x14ac:dyDescent="0.2">
      <c r="A25" s="43">
        <v>18</v>
      </c>
      <c r="B25" s="117" t="s">
        <v>422</v>
      </c>
      <c r="C25" s="45" t="s">
        <v>23</v>
      </c>
      <c r="D25" s="43">
        <v>100</v>
      </c>
      <c r="E25" s="46">
        <v>1000</v>
      </c>
      <c r="F25" s="46">
        <v>10000</v>
      </c>
      <c r="G25" s="46">
        <v>5000</v>
      </c>
      <c r="H25" s="46"/>
      <c r="I25" s="46">
        <v>6000</v>
      </c>
      <c r="J25" s="46"/>
      <c r="K25" s="46"/>
      <c r="L25" s="46">
        <v>5000</v>
      </c>
      <c r="M25" s="46">
        <v>5000</v>
      </c>
      <c r="N25" s="46"/>
      <c r="O25" s="46"/>
      <c r="P25" s="46">
        <v>5000</v>
      </c>
      <c r="Q25" s="46"/>
      <c r="R25" s="46"/>
      <c r="S25" s="46"/>
      <c r="T25" s="46">
        <v>3000</v>
      </c>
      <c r="U25" s="46"/>
      <c r="V25" s="46">
        <v>2000</v>
      </c>
      <c r="W25" s="46">
        <v>1000</v>
      </c>
      <c r="X25" s="46"/>
      <c r="Y25" s="46"/>
      <c r="Z25" s="43">
        <f t="shared" si="0"/>
        <v>42000</v>
      </c>
      <c r="AA25" s="43">
        <f t="shared" si="1"/>
        <v>42</v>
      </c>
      <c r="AB25" s="385"/>
    </row>
    <row r="26" spans="1:28" x14ac:dyDescent="0.2">
      <c r="A26" s="43">
        <v>19</v>
      </c>
      <c r="B26" s="117" t="s">
        <v>423</v>
      </c>
      <c r="C26" s="45" t="s">
        <v>37</v>
      </c>
      <c r="D26" s="43">
        <v>50</v>
      </c>
      <c r="E26" s="46">
        <v>600</v>
      </c>
      <c r="F26" s="46"/>
      <c r="G26" s="46"/>
      <c r="H26" s="46"/>
      <c r="I26" s="46"/>
      <c r="J26" s="46"/>
      <c r="K26" s="46"/>
      <c r="L26" s="46"/>
      <c r="M26" s="46">
        <v>600</v>
      </c>
      <c r="N26" s="46"/>
      <c r="O26" s="46"/>
      <c r="P26" s="46">
        <v>600</v>
      </c>
      <c r="Q26" s="46"/>
      <c r="R26" s="46"/>
      <c r="S26" s="46"/>
      <c r="T26" s="46"/>
      <c r="U26" s="46"/>
      <c r="V26" s="46">
        <v>600</v>
      </c>
      <c r="W26" s="46"/>
      <c r="X26" s="46"/>
      <c r="Y26" s="46"/>
      <c r="Z26" s="43">
        <f t="shared" si="0"/>
        <v>1800</v>
      </c>
      <c r="AA26" s="43">
        <f t="shared" si="1"/>
        <v>3</v>
      </c>
      <c r="AB26" s="385"/>
    </row>
    <row r="27" spans="1:28" x14ac:dyDescent="0.2">
      <c r="A27" s="43">
        <v>20</v>
      </c>
      <c r="B27" s="117" t="s">
        <v>424</v>
      </c>
      <c r="C27" s="45" t="s">
        <v>162</v>
      </c>
      <c r="D27" s="43">
        <v>50</v>
      </c>
      <c r="E27" s="46">
        <v>350</v>
      </c>
      <c r="F27" s="46"/>
      <c r="G27" s="46"/>
      <c r="H27" s="46"/>
      <c r="I27" s="46">
        <v>700</v>
      </c>
      <c r="J27" s="46"/>
      <c r="K27" s="46"/>
      <c r="L27" s="46"/>
      <c r="M27" s="46"/>
      <c r="N27" s="46"/>
      <c r="O27" s="46"/>
      <c r="P27" s="46">
        <v>350</v>
      </c>
      <c r="Q27" s="46"/>
      <c r="R27" s="46"/>
      <c r="S27" s="46"/>
      <c r="T27" s="46"/>
      <c r="U27" s="46"/>
      <c r="V27" s="46"/>
      <c r="W27" s="46"/>
      <c r="X27" s="46"/>
      <c r="Y27" s="46"/>
      <c r="Z27" s="43">
        <f t="shared" si="0"/>
        <v>1050</v>
      </c>
      <c r="AA27" s="43">
        <f t="shared" si="1"/>
        <v>3</v>
      </c>
      <c r="AB27" s="385"/>
    </row>
    <row r="28" spans="1:28" x14ac:dyDescent="0.2">
      <c r="A28" s="43">
        <v>21</v>
      </c>
      <c r="B28" s="117" t="s">
        <v>425</v>
      </c>
      <c r="C28" s="116" t="s">
        <v>169</v>
      </c>
      <c r="D28" s="43">
        <v>10</v>
      </c>
      <c r="E28" s="46">
        <v>300</v>
      </c>
      <c r="F28" s="46">
        <v>3000</v>
      </c>
      <c r="G28" s="46"/>
      <c r="H28" s="46"/>
      <c r="I28" s="46"/>
      <c r="J28" s="46">
        <v>6000</v>
      </c>
      <c r="K28" s="46">
        <v>6000</v>
      </c>
      <c r="L28" s="46">
        <v>6000</v>
      </c>
      <c r="M28" s="46"/>
      <c r="N28" s="46"/>
      <c r="O28" s="46"/>
      <c r="P28" s="46">
        <v>3000</v>
      </c>
      <c r="Q28" s="46">
        <v>3000</v>
      </c>
      <c r="R28" s="46"/>
      <c r="S28" s="46"/>
      <c r="T28" s="46">
        <v>6000</v>
      </c>
      <c r="U28" s="46"/>
      <c r="V28" s="46">
        <v>6000</v>
      </c>
      <c r="W28" s="46">
        <v>3000</v>
      </c>
      <c r="X28" s="46"/>
      <c r="Y28" s="46"/>
      <c r="Z28" s="43">
        <f t="shared" si="0"/>
        <v>42000</v>
      </c>
      <c r="AA28" s="43">
        <f t="shared" si="1"/>
        <v>140</v>
      </c>
      <c r="AB28" s="385"/>
    </row>
    <row r="29" spans="1:28" x14ac:dyDescent="0.2">
      <c r="A29" s="43">
        <v>22</v>
      </c>
      <c r="B29" s="44" t="s">
        <v>426</v>
      </c>
      <c r="C29" s="116" t="s">
        <v>264</v>
      </c>
      <c r="D29" s="43">
        <v>10</v>
      </c>
      <c r="E29" s="46">
        <v>230</v>
      </c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3">
        <f t="shared" si="0"/>
        <v>0</v>
      </c>
      <c r="AA29" s="43">
        <f t="shared" si="1"/>
        <v>0</v>
      </c>
      <c r="AB29" s="385"/>
    </row>
    <row r="30" spans="1:28" x14ac:dyDescent="0.2">
      <c r="A30" s="43">
        <v>23</v>
      </c>
      <c r="B30" s="44" t="s">
        <v>427</v>
      </c>
      <c r="C30" s="116" t="s">
        <v>265</v>
      </c>
      <c r="D30" s="43">
        <v>10</v>
      </c>
      <c r="E30" s="46">
        <v>160</v>
      </c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3">
        <f t="shared" si="0"/>
        <v>0</v>
      </c>
      <c r="AA30" s="43">
        <f t="shared" si="1"/>
        <v>0</v>
      </c>
      <c r="AB30" s="385"/>
    </row>
    <row r="31" spans="1:28" x14ac:dyDescent="0.2">
      <c r="A31" s="43">
        <v>24</v>
      </c>
      <c r="B31" s="117" t="s">
        <v>428</v>
      </c>
      <c r="C31" s="45" t="s">
        <v>274</v>
      </c>
      <c r="D31" s="43">
        <v>5</v>
      </c>
      <c r="E31" s="46">
        <v>85</v>
      </c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3">
        <f t="shared" si="0"/>
        <v>0</v>
      </c>
      <c r="AA31" s="43">
        <f t="shared" si="1"/>
        <v>0</v>
      </c>
      <c r="AB31" s="385"/>
    </row>
    <row r="32" spans="1:28" x14ac:dyDescent="0.2">
      <c r="A32" s="43">
        <v>25</v>
      </c>
      <c r="B32" s="117" t="s">
        <v>429</v>
      </c>
      <c r="C32" s="45" t="s">
        <v>275</v>
      </c>
      <c r="D32" s="43">
        <v>5</v>
      </c>
      <c r="E32" s="46">
        <v>75</v>
      </c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3">
        <f t="shared" si="0"/>
        <v>0</v>
      </c>
      <c r="AA32" s="43">
        <f t="shared" si="1"/>
        <v>0</v>
      </c>
      <c r="AB32" s="385"/>
    </row>
    <row r="33" spans="1:28" x14ac:dyDescent="0.2">
      <c r="A33" s="43">
        <v>26</v>
      </c>
      <c r="B33" s="117" t="s">
        <v>430</v>
      </c>
      <c r="C33" s="45" t="s">
        <v>276</v>
      </c>
      <c r="D33" s="43">
        <v>5</v>
      </c>
      <c r="E33" s="46">
        <v>45</v>
      </c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3">
        <f t="shared" si="0"/>
        <v>0</v>
      </c>
      <c r="AA33" s="43">
        <f t="shared" si="1"/>
        <v>0</v>
      </c>
      <c r="AB33" s="385"/>
    </row>
    <row r="34" spans="1:28" x14ac:dyDescent="0.2">
      <c r="A34" s="43">
        <v>27</v>
      </c>
      <c r="B34" s="117" t="s">
        <v>431</v>
      </c>
      <c r="C34" s="45" t="s">
        <v>6</v>
      </c>
      <c r="D34" s="43">
        <v>5</v>
      </c>
      <c r="E34" s="46">
        <v>2000</v>
      </c>
      <c r="F34" s="46"/>
      <c r="G34" s="46"/>
      <c r="H34" s="46"/>
      <c r="I34" s="46"/>
      <c r="J34" s="46">
        <v>26000</v>
      </c>
      <c r="K34" s="46"/>
      <c r="L34" s="46">
        <v>12000</v>
      </c>
      <c r="M34" s="46">
        <v>14000</v>
      </c>
      <c r="N34" s="46"/>
      <c r="O34" s="46"/>
      <c r="P34" s="46">
        <v>14000</v>
      </c>
      <c r="Q34" s="46">
        <v>38000</v>
      </c>
      <c r="R34" s="46"/>
      <c r="S34" s="46"/>
      <c r="T34" s="46"/>
      <c r="U34" s="46"/>
      <c r="V34" s="46"/>
      <c r="W34" s="46"/>
      <c r="X34" s="46"/>
      <c r="Y34" s="46"/>
      <c r="Z34" s="43">
        <f t="shared" si="0"/>
        <v>104000</v>
      </c>
      <c r="AA34" s="43">
        <f t="shared" si="1"/>
        <v>52</v>
      </c>
      <c r="AB34" s="385"/>
    </row>
    <row r="35" spans="1:28" x14ac:dyDescent="0.2">
      <c r="A35" s="43">
        <v>28</v>
      </c>
      <c r="B35" s="117" t="s">
        <v>432</v>
      </c>
      <c r="C35" s="45" t="s">
        <v>7</v>
      </c>
      <c r="D35" s="43">
        <v>100</v>
      </c>
      <c r="E35" s="46">
        <v>2000</v>
      </c>
      <c r="F35" s="46">
        <v>10000</v>
      </c>
      <c r="G35" s="46">
        <v>10000</v>
      </c>
      <c r="H35" s="46"/>
      <c r="I35" s="46"/>
      <c r="J35" s="46"/>
      <c r="K35" s="46">
        <v>20000</v>
      </c>
      <c r="L35" s="46">
        <v>10000</v>
      </c>
      <c r="M35" s="46">
        <v>10000</v>
      </c>
      <c r="N35" s="46"/>
      <c r="O35" s="46"/>
      <c r="P35" s="46"/>
      <c r="Q35" s="46">
        <v>10000</v>
      </c>
      <c r="R35" s="46"/>
      <c r="S35" s="46"/>
      <c r="T35" s="46"/>
      <c r="U35" s="46"/>
      <c r="V35" s="46">
        <v>4000</v>
      </c>
      <c r="W35" s="46">
        <v>4000</v>
      </c>
      <c r="X35" s="46"/>
      <c r="Y35" s="46"/>
      <c r="Z35" s="43">
        <f t="shared" si="0"/>
        <v>78000</v>
      </c>
      <c r="AA35" s="43">
        <f t="shared" si="1"/>
        <v>39</v>
      </c>
      <c r="AB35" s="385"/>
    </row>
    <row r="36" spans="1:28" x14ac:dyDescent="0.2">
      <c r="A36" s="43">
        <v>29</v>
      </c>
      <c r="B36" s="117" t="s">
        <v>433</v>
      </c>
      <c r="C36" s="45" t="s">
        <v>8</v>
      </c>
      <c r="D36" s="43">
        <v>50</v>
      </c>
      <c r="E36" s="46">
        <v>1100</v>
      </c>
      <c r="F36" s="46">
        <v>11000</v>
      </c>
      <c r="G36" s="46"/>
      <c r="H36" s="46"/>
      <c r="I36" s="46"/>
      <c r="J36" s="46"/>
      <c r="K36" s="46">
        <v>22000</v>
      </c>
      <c r="L36" s="46">
        <v>11000</v>
      </c>
      <c r="M36" s="46">
        <v>11000</v>
      </c>
      <c r="N36" s="46"/>
      <c r="O36" s="46"/>
      <c r="P36" s="46">
        <v>11000</v>
      </c>
      <c r="Q36" s="46">
        <v>11000</v>
      </c>
      <c r="R36" s="46"/>
      <c r="S36" s="46"/>
      <c r="T36" s="46">
        <v>11000</v>
      </c>
      <c r="U36" s="46"/>
      <c r="V36" s="46">
        <v>4400</v>
      </c>
      <c r="W36" s="46"/>
      <c r="X36" s="46"/>
      <c r="Y36" s="46"/>
      <c r="Z36" s="43">
        <f t="shared" si="0"/>
        <v>92400</v>
      </c>
      <c r="AA36" s="43">
        <f t="shared" si="1"/>
        <v>84</v>
      </c>
      <c r="AB36" s="385"/>
    </row>
    <row r="37" spans="1:28" x14ac:dyDescent="0.2">
      <c r="A37" s="43">
        <v>30</v>
      </c>
      <c r="B37" s="117" t="s">
        <v>434</v>
      </c>
      <c r="C37" s="45" t="s">
        <v>9</v>
      </c>
      <c r="D37" s="43">
        <v>50</v>
      </c>
      <c r="E37" s="46">
        <v>1000</v>
      </c>
      <c r="F37" s="46"/>
      <c r="G37" s="46"/>
      <c r="H37" s="46"/>
      <c r="I37" s="46"/>
      <c r="J37" s="46"/>
      <c r="K37" s="46"/>
      <c r="L37" s="166">
        <v>5000</v>
      </c>
      <c r="M37" s="46"/>
      <c r="N37" s="46"/>
      <c r="O37" s="46"/>
      <c r="P37" s="166">
        <v>6000</v>
      </c>
      <c r="Q37" s="166">
        <v>6000</v>
      </c>
      <c r="R37" s="46"/>
      <c r="S37" s="46"/>
      <c r="T37" s="166">
        <v>7000</v>
      </c>
      <c r="U37" s="46"/>
      <c r="V37" s="46">
        <v>3000</v>
      </c>
      <c r="W37" s="46">
        <v>6000</v>
      </c>
      <c r="X37" s="46"/>
      <c r="Y37" s="46"/>
      <c r="Z37" s="43">
        <f t="shared" si="0"/>
        <v>33000</v>
      </c>
      <c r="AA37" s="43">
        <f t="shared" si="1"/>
        <v>33</v>
      </c>
      <c r="AB37" s="385"/>
    </row>
    <row r="38" spans="1:28" x14ac:dyDescent="0.2">
      <c r="A38" s="249"/>
      <c r="B38" s="117" t="s">
        <v>434</v>
      </c>
      <c r="C38" s="45" t="s">
        <v>9</v>
      </c>
      <c r="D38" s="43">
        <v>50</v>
      </c>
      <c r="E38" s="46">
        <v>1000</v>
      </c>
      <c r="F38" s="46">
        <v>10000</v>
      </c>
      <c r="G38" s="46"/>
      <c r="H38" s="46"/>
      <c r="I38" s="46">
        <v>10000</v>
      </c>
      <c r="J38" s="46">
        <v>20000</v>
      </c>
      <c r="K38" s="46">
        <v>10000</v>
      </c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3">
        <f>SUM(F38:Y38)</f>
        <v>50000</v>
      </c>
      <c r="AA38" s="43">
        <f t="shared" si="1"/>
        <v>50</v>
      </c>
    </row>
    <row r="39" spans="1:28" x14ac:dyDescent="0.2">
      <c r="A39" s="43">
        <v>31</v>
      </c>
      <c r="B39" s="117" t="s">
        <v>435</v>
      </c>
      <c r="C39" s="45" t="s">
        <v>10</v>
      </c>
      <c r="D39" s="43">
        <v>50</v>
      </c>
      <c r="E39" s="46">
        <v>800</v>
      </c>
      <c r="F39" s="46"/>
      <c r="G39" s="46"/>
      <c r="H39" s="46"/>
      <c r="I39" s="46"/>
      <c r="J39" s="46"/>
      <c r="K39" s="46">
        <v>4800</v>
      </c>
      <c r="L39" s="46">
        <v>4800</v>
      </c>
      <c r="M39" s="46">
        <v>6400</v>
      </c>
      <c r="N39" s="46"/>
      <c r="O39" s="46">
        <v>3200</v>
      </c>
      <c r="P39" s="46">
        <v>800</v>
      </c>
      <c r="Q39" s="46">
        <v>4000</v>
      </c>
      <c r="R39" s="46"/>
      <c r="S39" s="46"/>
      <c r="T39" s="46">
        <v>5600</v>
      </c>
      <c r="U39" s="46"/>
      <c r="V39" s="46">
        <v>2400</v>
      </c>
      <c r="W39" s="46">
        <v>3200</v>
      </c>
      <c r="X39" s="46"/>
      <c r="Y39" s="46"/>
      <c r="Z39" s="43">
        <f t="shared" ref="Z39:Z65" si="2">SUM(F39:Y39)</f>
        <v>35200</v>
      </c>
      <c r="AA39" s="43">
        <f t="shared" ref="AA39:AA65" si="3">Z39/E39</f>
        <v>44</v>
      </c>
      <c r="AB39" s="385"/>
    </row>
    <row r="40" spans="1:28" x14ac:dyDescent="0.2">
      <c r="A40" s="43">
        <v>32</v>
      </c>
      <c r="B40" s="117" t="s">
        <v>436</v>
      </c>
      <c r="C40" s="45" t="s">
        <v>11</v>
      </c>
      <c r="D40" s="43">
        <v>50</v>
      </c>
      <c r="E40" s="46">
        <v>600</v>
      </c>
      <c r="F40" s="46">
        <v>6000</v>
      </c>
      <c r="G40" s="46"/>
      <c r="H40" s="46"/>
      <c r="I40" s="46">
        <v>3000</v>
      </c>
      <c r="J40" s="46">
        <v>4800</v>
      </c>
      <c r="K40" s="46">
        <v>15000</v>
      </c>
      <c r="L40" s="46">
        <v>1200</v>
      </c>
      <c r="M40" s="46">
        <v>6000</v>
      </c>
      <c r="N40" s="46"/>
      <c r="O40" s="46"/>
      <c r="P40" s="46">
        <v>3000</v>
      </c>
      <c r="Q40" s="46"/>
      <c r="R40" s="46"/>
      <c r="S40" s="46"/>
      <c r="T40" s="46">
        <v>6000</v>
      </c>
      <c r="U40" s="46"/>
      <c r="V40" s="46">
        <v>15000</v>
      </c>
      <c r="W40" s="46">
        <v>6000</v>
      </c>
      <c r="X40" s="46"/>
      <c r="Y40" s="46"/>
      <c r="Z40" s="43">
        <f t="shared" si="2"/>
        <v>66000</v>
      </c>
      <c r="AA40" s="43">
        <f t="shared" si="3"/>
        <v>110</v>
      </c>
      <c r="AB40" s="385"/>
    </row>
    <row r="41" spans="1:28" x14ac:dyDescent="0.2">
      <c r="A41" s="43">
        <v>33</v>
      </c>
      <c r="B41" s="394" t="s">
        <v>408</v>
      </c>
      <c r="C41" s="45" t="s">
        <v>213</v>
      </c>
      <c r="D41" s="43">
        <v>10</v>
      </c>
      <c r="E41" s="46">
        <v>600</v>
      </c>
      <c r="F41" s="46"/>
      <c r="G41" s="46"/>
      <c r="H41" s="46"/>
      <c r="I41" s="46">
        <v>4800</v>
      </c>
      <c r="J41" s="46">
        <v>4800</v>
      </c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>
        <v>1200</v>
      </c>
      <c r="W41" s="46">
        <v>1800</v>
      </c>
      <c r="X41" s="46"/>
      <c r="Y41" s="46"/>
      <c r="Z41" s="43">
        <f t="shared" si="2"/>
        <v>12600</v>
      </c>
      <c r="AA41" s="43">
        <f t="shared" si="3"/>
        <v>21</v>
      </c>
      <c r="AB41" s="385"/>
    </row>
    <row r="42" spans="1:28" x14ac:dyDescent="0.2">
      <c r="A42" s="43">
        <v>34</v>
      </c>
      <c r="B42" s="117" t="s">
        <v>437</v>
      </c>
      <c r="C42" s="45" t="s">
        <v>14</v>
      </c>
      <c r="D42" s="43">
        <v>10</v>
      </c>
      <c r="E42" s="46">
        <v>400</v>
      </c>
      <c r="F42" s="46">
        <v>2000</v>
      </c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>
        <v>400</v>
      </c>
      <c r="W42" s="46">
        <v>800</v>
      </c>
      <c r="X42" s="46"/>
      <c r="Y42" s="46"/>
      <c r="Z42" s="43">
        <f t="shared" si="2"/>
        <v>3200</v>
      </c>
      <c r="AA42" s="43">
        <f t="shared" si="3"/>
        <v>8</v>
      </c>
      <c r="AB42" s="385"/>
    </row>
    <row r="43" spans="1:28" x14ac:dyDescent="0.2">
      <c r="A43" s="43">
        <v>35</v>
      </c>
      <c r="B43" s="117" t="s">
        <v>438</v>
      </c>
      <c r="C43" s="45" t="s">
        <v>15</v>
      </c>
      <c r="D43" s="43">
        <v>10</v>
      </c>
      <c r="E43" s="43">
        <v>400</v>
      </c>
      <c r="F43" s="46">
        <v>4000</v>
      </c>
      <c r="G43" s="46"/>
      <c r="H43" s="46"/>
      <c r="I43" s="46"/>
      <c r="J43" s="46"/>
      <c r="K43" s="46">
        <v>12000</v>
      </c>
      <c r="L43" s="46">
        <v>6000</v>
      </c>
      <c r="M43" s="46">
        <v>6000</v>
      </c>
      <c r="N43" s="46"/>
      <c r="O43" s="46"/>
      <c r="P43" s="46"/>
      <c r="Q43" s="46">
        <v>6000</v>
      </c>
      <c r="R43" s="46"/>
      <c r="S43" s="46"/>
      <c r="T43" s="46">
        <v>12000</v>
      </c>
      <c r="U43" s="46"/>
      <c r="V43" s="46">
        <v>4000</v>
      </c>
      <c r="W43" s="46">
        <v>4000</v>
      </c>
      <c r="X43" s="46"/>
      <c r="Y43" s="46"/>
      <c r="Z43" s="43">
        <f t="shared" si="2"/>
        <v>54000</v>
      </c>
      <c r="AA43" s="43">
        <f t="shared" si="3"/>
        <v>135</v>
      </c>
      <c r="AB43" s="385"/>
    </row>
    <row r="44" spans="1:28" x14ac:dyDescent="0.2">
      <c r="A44" s="43">
        <v>36</v>
      </c>
      <c r="B44" s="117" t="s">
        <v>439</v>
      </c>
      <c r="C44" s="45" t="s">
        <v>16</v>
      </c>
      <c r="D44" s="43">
        <v>10</v>
      </c>
      <c r="E44" s="43">
        <v>300</v>
      </c>
      <c r="F44" s="46">
        <v>6000</v>
      </c>
      <c r="G44" s="46"/>
      <c r="H44" s="46"/>
      <c r="I44" s="46">
        <v>9000</v>
      </c>
      <c r="J44" s="46">
        <v>6000</v>
      </c>
      <c r="K44" s="46">
        <v>6000</v>
      </c>
      <c r="L44" s="46">
        <v>6000</v>
      </c>
      <c r="M44" s="46">
        <v>9000</v>
      </c>
      <c r="N44" s="46"/>
      <c r="O44" s="46"/>
      <c r="P44" s="46"/>
      <c r="Q44" s="46"/>
      <c r="R44" s="46"/>
      <c r="S44" s="46"/>
      <c r="T44" s="46"/>
      <c r="U44" s="46"/>
      <c r="V44" s="46">
        <v>4500</v>
      </c>
      <c r="W44" s="46">
        <v>4500</v>
      </c>
      <c r="X44" s="46"/>
      <c r="Y44" s="46"/>
      <c r="Z44" s="43">
        <f t="shared" si="2"/>
        <v>51000</v>
      </c>
      <c r="AA44" s="43">
        <f t="shared" si="3"/>
        <v>170</v>
      </c>
      <c r="AB44" s="385"/>
    </row>
    <row r="45" spans="1:28" x14ac:dyDescent="0.2">
      <c r="A45" s="43">
        <v>37</v>
      </c>
      <c r="B45" s="44" t="s">
        <v>403</v>
      </c>
      <c r="C45" s="45" t="s">
        <v>179</v>
      </c>
      <c r="D45" s="43">
        <v>10</v>
      </c>
      <c r="E45" s="43">
        <v>300</v>
      </c>
      <c r="F45" s="46"/>
      <c r="G45" s="46"/>
      <c r="H45" s="46">
        <v>1200</v>
      </c>
      <c r="I45" s="46">
        <v>6000</v>
      </c>
      <c r="J45" s="46">
        <v>9000</v>
      </c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3">
        <f t="shared" si="2"/>
        <v>16200</v>
      </c>
      <c r="AA45" s="43">
        <f t="shared" si="3"/>
        <v>54</v>
      </c>
      <c r="AB45" s="385"/>
    </row>
    <row r="46" spans="1:28" x14ac:dyDescent="0.2">
      <c r="A46" s="43">
        <v>38</v>
      </c>
      <c r="B46" s="117" t="s">
        <v>442</v>
      </c>
      <c r="C46" s="45" t="s">
        <v>197</v>
      </c>
      <c r="D46" s="43">
        <v>10</v>
      </c>
      <c r="E46" s="43">
        <v>1300</v>
      </c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3">
        <f t="shared" si="2"/>
        <v>0</v>
      </c>
      <c r="AA46" s="43">
        <f t="shared" si="3"/>
        <v>0</v>
      </c>
      <c r="AB46" s="385"/>
    </row>
    <row r="47" spans="1:28" x14ac:dyDescent="0.2">
      <c r="A47" s="43">
        <v>39</v>
      </c>
      <c r="B47" s="117" t="s">
        <v>443</v>
      </c>
      <c r="C47" s="45" t="s">
        <v>198</v>
      </c>
      <c r="D47" s="43">
        <v>10</v>
      </c>
      <c r="E47" s="43">
        <v>800</v>
      </c>
      <c r="F47" s="46"/>
      <c r="G47" s="46"/>
      <c r="H47" s="46"/>
      <c r="I47" s="46"/>
      <c r="J47" s="46">
        <v>2400</v>
      </c>
      <c r="K47" s="46"/>
      <c r="L47" s="46">
        <v>1600</v>
      </c>
      <c r="M47" s="46">
        <v>1600</v>
      </c>
      <c r="N47" s="46"/>
      <c r="O47" s="46"/>
      <c r="P47" s="46"/>
      <c r="Q47" s="46"/>
      <c r="R47" s="46"/>
      <c r="S47" s="46"/>
      <c r="T47" s="46"/>
      <c r="U47" s="46"/>
      <c r="V47" s="46">
        <v>800</v>
      </c>
      <c r="W47" s="46"/>
      <c r="X47" s="46"/>
      <c r="Y47" s="46"/>
      <c r="Z47" s="43">
        <f t="shared" si="2"/>
        <v>6400</v>
      </c>
      <c r="AA47" s="43">
        <f t="shared" si="3"/>
        <v>8</v>
      </c>
      <c r="AB47" s="385"/>
    </row>
    <row r="48" spans="1:28" x14ac:dyDescent="0.2">
      <c r="A48" s="43">
        <v>40</v>
      </c>
      <c r="B48" s="117" t="s">
        <v>444</v>
      </c>
      <c r="C48" s="45" t="s">
        <v>207</v>
      </c>
      <c r="D48" s="43">
        <v>10</v>
      </c>
      <c r="E48" s="43">
        <v>450</v>
      </c>
      <c r="F48" s="46">
        <v>1800</v>
      </c>
      <c r="G48" s="46"/>
      <c r="H48" s="46"/>
      <c r="I48" s="46">
        <v>1800</v>
      </c>
      <c r="J48" s="46">
        <v>4500</v>
      </c>
      <c r="K48" s="46"/>
      <c r="L48" s="46">
        <v>1800</v>
      </c>
      <c r="M48" s="46">
        <v>1800</v>
      </c>
      <c r="N48" s="46"/>
      <c r="O48" s="46"/>
      <c r="P48" s="46">
        <v>2250</v>
      </c>
      <c r="Q48" s="46">
        <v>2250</v>
      </c>
      <c r="R48" s="46"/>
      <c r="S48" s="46"/>
      <c r="T48" s="46"/>
      <c r="U48" s="46"/>
      <c r="V48" s="46">
        <v>1350</v>
      </c>
      <c r="W48" s="46">
        <v>900</v>
      </c>
      <c r="X48" s="46"/>
      <c r="Y48" s="46"/>
      <c r="Z48" s="43">
        <f t="shared" si="2"/>
        <v>18450</v>
      </c>
      <c r="AA48" s="43">
        <f t="shared" si="3"/>
        <v>41</v>
      </c>
      <c r="AB48" s="385"/>
    </row>
    <row r="49" spans="1:28" x14ac:dyDescent="0.2">
      <c r="A49" s="43">
        <v>41</v>
      </c>
      <c r="B49" s="44" t="s">
        <v>404</v>
      </c>
      <c r="C49" s="45" t="s">
        <v>238</v>
      </c>
      <c r="D49" s="43">
        <v>10</v>
      </c>
      <c r="E49" s="43">
        <v>450</v>
      </c>
      <c r="F49" s="46"/>
      <c r="G49" s="46"/>
      <c r="H49" s="46"/>
      <c r="I49" s="46">
        <v>1350</v>
      </c>
      <c r="J49" s="46">
        <v>1350</v>
      </c>
      <c r="K49" s="46"/>
      <c r="L49" s="46"/>
      <c r="M49" s="46">
        <v>450</v>
      </c>
      <c r="N49" s="46"/>
      <c r="O49" s="46"/>
      <c r="P49" s="46">
        <v>450</v>
      </c>
      <c r="Q49" s="46">
        <v>450</v>
      </c>
      <c r="R49" s="46"/>
      <c r="S49" s="46"/>
      <c r="T49" s="46"/>
      <c r="U49" s="46"/>
      <c r="V49" s="46">
        <v>450</v>
      </c>
      <c r="W49" s="46"/>
      <c r="X49" s="46"/>
      <c r="Y49" s="46"/>
      <c r="Z49" s="43">
        <f t="shared" si="2"/>
        <v>4500</v>
      </c>
      <c r="AA49" s="43">
        <f t="shared" si="3"/>
        <v>10</v>
      </c>
      <c r="AB49" s="385"/>
    </row>
    <row r="50" spans="1:28" x14ac:dyDescent="0.2">
      <c r="A50" s="43">
        <v>42</v>
      </c>
      <c r="B50" s="117" t="s">
        <v>440</v>
      </c>
      <c r="C50" s="45" t="s">
        <v>26</v>
      </c>
      <c r="D50" s="43">
        <v>10</v>
      </c>
      <c r="E50" s="46">
        <v>330</v>
      </c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3">
        <f t="shared" si="2"/>
        <v>0</v>
      </c>
      <c r="AA50" s="43">
        <f t="shared" si="3"/>
        <v>0</v>
      </c>
      <c r="AB50" s="385"/>
    </row>
    <row r="51" spans="1:28" x14ac:dyDescent="0.2">
      <c r="A51" s="43">
        <v>43</v>
      </c>
      <c r="B51" s="117" t="s">
        <v>440</v>
      </c>
      <c r="C51" s="45" t="s">
        <v>26</v>
      </c>
      <c r="D51" s="43">
        <v>10</v>
      </c>
      <c r="E51" s="46">
        <v>320</v>
      </c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>
        <v>640</v>
      </c>
      <c r="Q51" s="46">
        <v>640</v>
      </c>
      <c r="R51" s="46"/>
      <c r="S51" s="46"/>
      <c r="T51" s="46"/>
      <c r="U51" s="46"/>
      <c r="V51" s="46">
        <v>320</v>
      </c>
      <c r="W51" s="46"/>
      <c r="X51" s="46"/>
      <c r="Y51" s="46"/>
      <c r="Z51" s="43">
        <f t="shared" si="2"/>
        <v>1600</v>
      </c>
      <c r="AA51" s="43">
        <f t="shared" si="3"/>
        <v>5</v>
      </c>
      <c r="AB51" s="385"/>
    </row>
    <row r="52" spans="1:28" x14ac:dyDescent="0.2">
      <c r="A52" s="43">
        <v>44</v>
      </c>
      <c r="B52" s="117" t="s">
        <v>441</v>
      </c>
      <c r="C52" s="45" t="s">
        <v>31</v>
      </c>
      <c r="D52" s="43">
        <v>10</v>
      </c>
      <c r="E52" s="46">
        <v>230</v>
      </c>
      <c r="F52" s="46">
        <v>1150</v>
      </c>
      <c r="G52" s="46"/>
      <c r="H52" s="46"/>
      <c r="I52" s="46">
        <v>1380</v>
      </c>
      <c r="J52" s="46">
        <v>2760</v>
      </c>
      <c r="K52" s="46"/>
      <c r="L52" s="46">
        <v>2300</v>
      </c>
      <c r="M52" s="46">
        <v>1840</v>
      </c>
      <c r="N52" s="46"/>
      <c r="O52" s="46"/>
      <c r="P52" s="46"/>
      <c r="Q52" s="46">
        <v>1150</v>
      </c>
      <c r="R52" s="46"/>
      <c r="S52" s="46"/>
      <c r="T52" s="46"/>
      <c r="U52" s="46"/>
      <c r="V52" s="46">
        <v>690</v>
      </c>
      <c r="W52" s="46">
        <v>690</v>
      </c>
      <c r="X52" s="46"/>
      <c r="Y52" s="46"/>
      <c r="Z52" s="43">
        <f t="shared" si="2"/>
        <v>11960</v>
      </c>
      <c r="AA52" s="43">
        <f t="shared" si="3"/>
        <v>52</v>
      </c>
      <c r="AB52" s="385"/>
    </row>
    <row r="53" spans="1:28" x14ac:dyDescent="0.2">
      <c r="A53" s="43">
        <v>45</v>
      </c>
      <c r="B53" s="44" t="s">
        <v>405</v>
      </c>
      <c r="C53" s="45" t="s">
        <v>173</v>
      </c>
      <c r="D53" s="43">
        <v>10</v>
      </c>
      <c r="E53" s="46">
        <v>230</v>
      </c>
      <c r="F53" s="46"/>
      <c r="G53" s="46"/>
      <c r="H53" s="46"/>
      <c r="I53" s="46"/>
      <c r="J53" s="46">
        <v>2300</v>
      </c>
      <c r="K53" s="46"/>
      <c r="L53" s="46"/>
      <c r="M53" s="46">
        <v>1150</v>
      </c>
      <c r="N53" s="46"/>
      <c r="O53" s="46"/>
      <c r="P53" s="46"/>
      <c r="Q53" s="46"/>
      <c r="R53" s="46"/>
      <c r="S53" s="46"/>
      <c r="T53" s="46"/>
      <c r="U53" s="46"/>
      <c r="V53" s="46">
        <v>690</v>
      </c>
      <c r="W53" s="46">
        <v>460</v>
      </c>
      <c r="X53" s="46"/>
      <c r="Y53" s="46"/>
      <c r="Z53" s="43">
        <f t="shared" si="2"/>
        <v>4600</v>
      </c>
      <c r="AA53" s="43">
        <f t="shared" si="3"/>
        <v>20</v>
      </c>
      <c r="AB53" s="385"/>
    </row>
    <row r="54" spans="1:28" x14ac:dyDescent="0.2">
      <c r="A54" s="43">
        <v>46</v>
      </c>
      <c r="B54" s="44" t="s">
        <v>445</v>
      </c>
      <c r="C54" s="45" t="s">
        <v>209</v>
      </c>
      <c r="D54" s="43">
        <v>10</v>
      </c>
      <c r="E54" s="46">
        <v>400</v>
      </c>
      <c r="F54" s="46"/>
      <c r="G54" s="46"/>
      <c r="H54" s="46"/>
      <c r="I54" s="46"/>
      <c r="J54" s="46"/>
      <c r="K54" s="46"/>
      <c r="L54" s="46">
        <v>400</v>
      </c>
      <c r="M54" s="46"/>
      <c r="N54" s="46"/>
      <c r="O54" s="46"/>
      <c r="P54" s="46"/>
      <c r="Q54" s="46"/>
      <c r="R54" s="46"/>
      <c r="S54" s="46"/>
      <c r="T54" s="46"/>
      <c r="U54" s="46"/>
      <c r="V54" s="46">
        <v>400</v>
      </c>
      <c r="W54" s="46"/>
      <c r="X54" s="46"/>
      <c r="Y54" s="46"/>
      <c r="Z54" s="43">
        <f t="shared" si="2"/>
        <v>800</v>
      </c>
      <c r="AA54" s="43">
        <f t="shared" si="3"/>
        <v>2</v>
      </c>
      <c r="AB54" s="385"/>
    </row>
    <row r="55" spans="1:28" x14ac:dyDescent="0.2">
      <c r="A55" s="43">
        <v>47</v>
      </c>
      <c r="B55" s="98" t="s">
        <v>409</v>
      </c>
      <c r="C55" s="45" t="s">
        <v>296</v>
      </c>
      <c r="D55" s="43">
        <v>10</v>
      </c>
      <c r="E55" s="46">
        <v>400</v>
      </c>
      <c r="F55" s="46"/>
      <c r="G55" s="46"/>
      <c r="H55" s="46"/>
      <c r="I55" s="46">
        <v>1200</v>
      </c>
      <c r="J55" s="46">
        <v>1200</v>
      </c>
      <c r="K55" s="46"/>
      <c r="L55" s="46">
        <v>400</v>
      </c>
      <c r="M55" s="46">
        <v>400</v>
      </c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3">
        <f t="shared" si="2"/>
        <v>3200</v>
      </c>
      <c r="AA55" s="43">
        <f t="shared" si="3"/>
        <v>8</v>
      </c>
      <c r="AB55" s="385"/>
    </row>
    <row r="56" spans="1:28" x14ac:dyDescent="0.2">
      <c r="A56" s="43">
        <v>48</v>
      </c>
      <c r="B56" s="44" t="s">
        <v>446</v>
      </c>
      <c r="C56" s="45" t="s">
        <v>211</v>
      </c>
      <c r="D56" s="43">
        <v>10</v>
      </c>
      <c r="E56" s="46">
        <v>300</v>
      </c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>
        <v>300</v>
      </c>
      <c r="W56" s="46">
        <v>300</v>
      </c>
      <c r="X56" s="46"/>
      <c r="Y56" s="46"/>
      <c r="Z56" s="43">
        <f t="shared" si="2"/>
        <v>600</v>
      </c>
      <c r="AA56" s="43">
        <f t="shared" si="3"/>
        <v>2</v>
      </c>
      <c r="AB56" s="385"/>
    </row>
    <row r="57" spans="1:28" x14ac:dyDescent="0.2">
      <c r="A57" s="43">
        <v>49</v>
      </c>
      <c r="B57" s="44" t="s">
        <v>406</v>
      </c>
      <c r="C57" s="45" t="s">
        <v>237</v>
      </c>
      <c r="D57" s="43">
        <v>10</v>
      </c>
      <c r="E57" s="46">
        <v>300</v>
      </c>
      <c r="F57" s="46"/>
      <c r="G57" s="46"/>
      <c r="H57" s="46"/>
      <c r="I57" s="46">
        <v>4200</v>
      </c>
      <c r="J57" s="46">
        <v>1800</v>
      </c>
      <c r="K57" s="46"/>
      <c r="L57" s="46">
        <v>1200</v>
      </c>
      <c r="M57" s="46">
        <v>1200</v>
      </c>
      <c r="N57" s="46"/>
      <c r="O57" s="46"/>
      <c r="P57" s="46">
        <v>1200</v>
      </c>
      <c r="Q57" s="46">
        <v>1200</v>
      </c>
      <c r="R57" s="46"/>
      <c r="S57" s="46"/>
      <c r="T57" s="46"/>
      <c r="U57" s="46"/>
      <c r="V57" s="46">
        <v>600</v>
      </c>
      <c r="W57" s="46">
        <v>600</v>
      </c>
      <c r="X57" s="46"/>
      <c r="Y57" s="46"/>
      <c r="Z57" s="43">
        <f t="shared" si="2"/>
        <v>12000</v>
      </c>
      <c r="AA57" s="43">
        <f t="shared" si="3"/>
        <v>40</v>
      </c>
      <c r="AB57" s="385"/>
    </row>
    <row r="58" spans="1:28" x14ac:dyDescent="0.2">
      <c r="A58" s="43">
        <v>50</v>
      </c>
      <c r="B58" s="44" t="s">
        <v>447</v>
      </c>
      <c r="C58" s="45" t="s">
        <v>160</v>
      </c>
      <c r="D58" s="43">
        <v>10</v>
      </c>
      <c r="E58" s="46">
        <v>160</v>
      </c>
      <c r="F58" s="46">
        <v>800</v>
      </c>
      <c r="G58" s="46"/>
      <c r="H58" s="46"/>
      <c r="I58" s="46">
        <v>1600</v>
      </c>
      <c r="J58" s="46">
        <v>1600</v>
      </c>
      <c r="K58" s="46"/>
      <c r="L58" s="46">
        <v>1600</v>
      </c>
      <c r="M58" s="46">
        <v>1600</v>
      </c>
      <c r="N58" s="46"/>
      <c r="O58" s="46"/>
      <c r="P58" s="46"/>
      <c r="Q58" s="46"/>
      <c r="R58" s="46"/>
      <c r="S58" s="46"/>
      <c r="T58" s="46"/>
      <c r="U58" s="46"/>
      <c r="V58" s="46">
        <v>800</v>
      </c>
      <c r="W58" s="46">
        <v>320</v>
      </c>
      <c r="X58" s="46"/>
      <c r="Y58" s="46"/>
      <c r="Z58" s="43">
        <f t="shared" si="2"/>
        <v>8320</v>
      </c>
      <c r="AA58" s="43">
        <f t="shared" si="3"/>
        <v>52</v>
      </c>
      <c r="AB58" s="385"/>
    </row>
    <row r="59" spans="1:28" x14ac:dyDescent="0.2">
      <c r="A59" s="43">
        <v>51</v>
      </c>
      <c r="B59" s="247" t="s">
        <v>407</v>
      </c>
      <c r="C59" s="45" t="s">
        <v>172</v>
      </c>
      <c r="D59" s="43">
        <v>10</v>
      </c>
      <c r="E59" s="43">
        <v>160</v>
      </c>
      <c r="F59" s="46">
        <v>800</v>
      </c>
      <c r="G59" s="46"/>
      <c r="H59" s="46"/>
      <c r="I59" s="46">
        <v>1600</v>
      </c>
      <c r="J59" s="46">
        <v>3200</v>
      </c>
      <c r="K59" s="46"/>
      <c r="L59" s="46">
        <v>1600</v>
      </c>
      <c r="M59" s="46">
        <v>1600</v>
      </c>
      <c r="N59" s="46"/>
      <c r="O59" s="46"/>
      <c r="P59" s="46"/>
      <c r="Q59" s="46">
        <v>1600</v>
      </c>
      <c r="R59" s="46"/>
      <c r="S59" s="46"/>
      <c r="T59" s="46"/>
      <c r="U59" s="46"/>
      <c r="V59" s="46">
        <v>800</v>
      </c>
      <c r="W59" s="46">
        <v>800</v>
      </c>
      <c r="X59" s="46"/>
      <c r="Y59" s="46"/>
      <c r="Z59" s="43">
        <f t="shared" si="2"/>
        <v>12000</v>
      </c>
      <c r="AA59" s="43">
        <f t="shared" si="3"/>
        <v>75</v>
      </c>
      <c r="AB59" s="385"/>
    </row>
    <row r="60" spans="1:28" x14ac:dyDescent="0.2">
      <c r="A60" s="43">
        <v>52</v>
      </c>
      <c r="B60" s="246" t="s">
        <v>448</v>
      </c>
      <c r="C60" s="45" t="s">
        <v>19</v>
      </c>
      <c r="D60" s="239">
        <v>10</v>
      </c>
      <c r="E60" s="43">
        <v>130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3">
        <f t="shared" si="2"/>
        <v>0</v>
      </c>
      <c r="AA60" s="43">
        <f t="shared" si="3"/>
        <v>0</v>
      </c>
      <c r="AB60" s="385"/>
    </row>
    <row r="61" spans="1:28" x14ac:dyDescent="0.2">
      <c r="A61" s="43">
        <v>53</v>
      </c>
      <c r="B61" s="117" t="s">
        <v>449</v>
      </c>
      <c r="C61" s="45" t="s">
        <v>287</v>
      </c>
      <c r="D61" s="239">
        <v>10</v>
      </c>
      <c r="E61" s="46">
        <v>110</v>
      </c>
      <c r="F61" s="46">
        <v>550</v>
      </c>
      <c r="G61" s="46"/>
      <c r="H61" s="46"/>
      <c r="I61" s="46"/>
      <c r="J61" s="46"/>
      <c r="K61" s="46"/>
      <c r="L61" s="46">
        <v>550</v>
      </c>
      <c r="M61" s="46">
        <v>550</v>
      </c>
      <c r="N61" s="46"/>
      <c r="O61" s="46"/>
      <c r="P61" s="46">
        <v>1100</v>
      </c>
      <c r="Q61" s="46">
        <v>1100</v>
      </c>
      <c r="R61" s="46"/>
      <c r="S61" s="46"/>
      <c r="T61" s="46"/>
      <c r="U61" s="46"/>
      <c r="V61" s="46">
        <v>550</v>
      </c>
      <c r="W61" s="46"/>
      <c r="X61" s="46"/>
      <c r="Y61" s="46"/>
      <c r="Z61" s="43">
        <f t="shared" si="2"/>
        <v>4400</v>
      </c>
      <c r="AA61" s="43">
        <f t="shared" si="3"/>
        <v>40</v>
      </c>
      <c r="AB61" s="385"/>
    </row>
    <row r="62" spans="1:28" x14ac:dyDescent="0.2">
      <c r="A62" s="43">
        <v>54</v>
      </c>
      <c r="B62" s="117" t="s">
        <v>450</v>
      </c>
      <c r="C62" s="45" t="s">
        <v>21</v>
      </c>
      <c r="D62" s="43">
        <v>10</v>
      </c>
      <c r="E62" s="46">
        <v>80</v>
      </c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>
        <v>480</v>
      </c>
      <c r="Q62" s="46"/>
      <c r="R62" s="46"/>
      <c r="S62" s="46"/>
      <c r="T62" s="46"/>
      <c r="U62" s="46"/>
      <c r="V62" s="46">
        <v>240</v>
      </c>
      <c r="W62" s="46"/>
      <c r="X62" s="46"/>
      <c r="Y62" s="46"/>
      <c r="Z62" s="43">
        <f t="shared" si="2"/>
        <v>720</v>
      </c>
      <c r="AA62" s="43">
        <f t="shared" si="3"/>
        <v>9</v>
      </c>
      <c r="AB62" s="385"/>
    </row>
    <row r="63" spans="1:28" x14ac:dyDescent="0.2">
      <c r="A63" s="43">
        <v>55</v>
      </c>
      <c r="B63" s="117" t="s">
        <v>451</v>
      </c>
      <c r="C63" s="116" t="s">
        <v>304</v>
      </c>
      <c r="D63" s="43">
        <v>5</v>
      </c>
      <c r="E63" s="46">
        <v>75</v>
      </c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>
        <v>450</v>
      </c>
      <c r="Q63" s="46"/>
      <c r="R63" s="46"/>
      <c r="S63" s="46"/>
      <c r="T63" s="46"/>
      <c r="U63" s="46"/>
      <c r="V63" s="46"/>
      <c r="W63" s="46"/>
      <c r="X63" s="46"/>
      <c r="Y63" s="46"/>
      <c r="Z63" s="43">
        <f t="shared" si="2"/>
        <v>450</v>
      </c>
      <c r="AA63" s="43">
        <f t="shared" si="3"/>
        <v>6</v>
      </c>
      <c r="AB63" s="385"/>
    </row>
    <row r="64" spans="1:28" x14ac:dyDescent="0.2">
      <c r="A64" s="43">
        <v>56</v>
      </c>
      <c r="B64" s="117" t="s">
        <v>452</v>
      </c>
      <c r="C64" s="116" t="s">
        <v>36</v>
      </c>
      <c r="D64" s="43">
        <v>5</v>
      </c>
      <c r="E64" s="46">
        <v>50</v>
      </c>
      <c r="F64" s="46"/>
      <c r="G64" s="46">
        <v>100</v>
      </c>
      <c r="H64" s="46"/>
      <c r="I64" s="46">
        <v>400</v>
      </c>
      <c r="J64" s="46">
        <v>850</v>
      </c>
      <c r="K64" s="46">
        <v>650</v>
      </c>
      <c r="L64" s="46"/>
      <c r="M64" s="46"/>
      <c r="N64" s="46"/>
      <c r="O64" s="46"/>
      <c r="P64" s="46">
        <v>1000</v>
      </c>
      <c r="Q64" s="46">
        <v>1000</v>
      </c>
      <c r="R64" s="46"/>
      <c r="S64" s="46"/>
      <c r="T64" s="46">
        <v>500</v>
      </c>
      <c r="U64" s="46"/>
      <c r="V64" s="46">
        <v>1250</v>
      </c>
      <c r="W64" s="46"/>
      <c r="X64" s="46"/>
      <c r="Y64" s="46"/>
      <c r="Z64" s="43">
        <f t="shared" si="2"/>
        <v>5750</v>
      </c>
      <c r="AA64" s="43">
        <f t="shared" si="3"/>
        <v>115</v>
      </c>
      <c r="AB64" s="385"/>
    </row>
    <row r="65" spans="1:27" x14ac:dyDescent="0.2">
      <c r="A65" s="43">
        <v>57</v>
      </c>
      <c r="B65" s="44" t="s">
        <v>453</v>
      </c>
      <c r="C65" s="116" t="s">
        <v>260</v>
      </c>
      <c r="D65" s="43">
        <v>5</v>
      </c>
      <c r="E65" s="46">
        <v>35</v>
      </c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3">
        <f t="shared" si="2"/>
        <v>0</v>
      </c>
      <c r="AA65" s="43">
        <f t="shared" si="3"/>
        <v>0</v>
      </c>
    </row>
    <row r="66" spans="1:27" x14ac:dyDescent="0.2">
      <c r="A66" s="43"/>
      <c r="B66" s="117"/>
      <c r="C66" s="45"/>
      <c r="D66" s="43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3"/>
      <c r="AA66" s="43"/>
    </row>
    <row r="67" spans="1:27" x14ac:dyDescent="0.2">
      <c r="A67" s="428" t="s">
        <v>135</v>
      </c>
      <c r="B67" s="429"/>
      <c r="C67" s="429"/>
      <c r="D67" s="429"/>
      <c r="E67" s="430"/>
      <c r="F67" s="18">
        <f t="shared" ref="F67:Z67" si="4">SUM(F7:F66)</f>
        <v>127710</v>
      </c>
      <c r="G67" s="18">
        <f t="shared" si="4"/>
        <v>42720</v>
      </c>
      <c r="H67" s="18">
        <f t="shared" si="4"/>
        <v>1200</v>
      </c>
      <c r="I67" s="18">
        <f t="shared" si="4"/>
        <v>80330</v>
      </c>
      <c r="J67" s="18">
        <f t="shared" si="4"/>
        <v>139560</v>
      </c>
      <c r="K67" s="18">
        <f t="shared" si="4"/>
        <v>181550</v>
      </c>
      <c r="L67" s="18">
        <f t="shared" si="4"/>
        <v>130810</v>
      </c>
      <c r="M67" s="18">
        <f t="shared" si="4"/>
        <v>155440</v>
      </c>
      <c r="N67" s="18">
        <f t="shared" si="4"/>
        <v>4700</v>
      </c>
      <c r="O67" s="18">
        <f t="shared" si="4"/>
        <v>3200</v>
      </c>
      <c r="P67" s="18">
        <f t="shared" si="4"/>
        <v>161730</v>
      </c>
      <c r="Q67" s="18">
        <f t="shared" si="4"/>
        <v>146250</v>
      </c>
      <c r="R67" s="18">
        <f t="shared" si="4"/>
        <v>12000</v>
      </c>
      <c r="S67" s="18">
        <f t="shared" si="4"/>
        <v>36500</v>
      </c>
      <c r="T67" s="18">
        <f t="shared" si="4"/>
        <v>121790</v>
      </c>
      <c r="U67" s="18">
        <f t="shared" si="4"/>
        <v>36500</v>
      </c>
      <c r="V67" s="18">
        <f t="shared" si="4"/>
        <v>141860</v>
      </c>
      <c r="W67" s="18">
        <f t="shared" si="4"/>
        <v>121090</v>
      </c>
      <c r="X67" s="18">
        <f t="shared" si="4"/>
        <v>0</v>
      </c>
      <c r="Y67" s="18">
        <f t="shared" si="4"/>
        <v>0</v>
      </c>
      <c r="Z67" s="18">
        <f t="shared" si="4"/>
        <v>1644940</v>
      </c>
      <c r="AA67" s="15"/>
    </row>
    <row r="68" spans="1:27" x14ac:dyDescent="0.2">
      <c r="A68" s="424" t="s">
        <v>184</v>
      </c>
      <c r="B68" s="424"/>
      <c r="C68" s="424"/>
      <c r="D68" s="424"/>
      <c r="E68" s="424"/>
      <c r="AA68" s="242">
        <f>SUM(AA7:AA66)</f>
        <v>2210</v>
      </c>
    </row>
    <row r="69" spans="1:27" x14ac:dyDescent="0.2">
      <c r="AA69" s="241">
        <f>SUM(F3:Y3)</f>
        <v>2210</v>
      </c>
    </row>
  </sheetData>
  <sortState ref="B7:T63">
    <sortCondition ref="B7"/>
  </sortState>
  <mergeCells count="7">
    <mergeCell ref="A68:E68"/>
    <mergeCell ref="A1:E1"/>
    <mergeCell ref="Z1:AA1"/>
    <mergeCell ref="A2:E2"/>
    <mergeCell ref="D3:E3"/>
    <mergeCell ref="D4:E4"/>
    <mergeCell ref="A67:E67"/>
  </mergeCells>
  <pageMargins left="0.51181102362204722" right="0.51181102362204722" top="0.51181102362204722" bottom="0.51181102362204722" header="0" footer="0"/>
  <pageSetup paperSize="9" fitToWidth="0" fitToHeight="0" orientation="landscape" blackAndWhite="1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8"/>
  <sheetViews>
    <sheetView zoomScaleNormal="100" workbookViewId="0">
      <pane xSplit="5" ySplit="5" topLeftCell="P51" activePane="bottomRight" state="frozenSplit"/>
      <selection pane="topRight" activeCell="G1" sqref="G1"/>
      <selection pane="bottomLeft" activeCell="A17" sqref="A17"/>
      <selection pane="bottomRight" activeCell="A2" sqref="A2:E2"/>
    </sheetView>
  </sheetViews>
  <sheetFormatPr defaultRowHeight="12.75" x14ac:dyDescent="0.2"/>
  <cols>
    <col min="1" max="1" width="4.28515625" style="47" bestFit="1" customWidth="1"/>
    <col min="2" max="2" width="10.85546875" style="47" bestFit="1" customWidth="1"/>
    <col min="3" max="3" width="34.5703125" style="47" bestFit="1" customWidth="1"/>
    <col min="4" max="4" width="5.85546875" style="47" bestFit="1" customWidth="1"/>
    <col min="5" max="5" width="5" style="47" bestFit="1" customWidth="1"/>
    <col min="6" max="13" width="10.140625" style="47" customWidth="1"/>
    <col min="14" max="15" width="8.140625" style="47" customWidth="1"/>
    <col min="16" max="16" width="10.5703125" style="241" bestFit="1" customWidth="1"/>
    <col min="17" max="17" width="9.28515625" style="241" bestFit="1" customWidth="1"/>
    <col min="18" max="16384" width="9.140625" style="47"/>
  </cols>
  <sheetData>
    <row r="1" spans="1:18" x14ac:dyDescent="0.2">
      <c r="A1" s="425" t="s">
        <v>580</v>
      </c>
      <c r="B1" s="426"/>
      <c r="C1" s="426"/>
      <c r="D1" s="426"/>
      <c r="E1" s="427"/>
      <c r="F1" s="262">
        <v>3024</v>
      </c>
      <c r="G1" s="262">
        <v>3026</v>
      </c>
      <c r="H1" s="262">
        <v>3028</v>
      </c>
      <c r="I1" s="264">
        <v>3030</v>
      </c>
      <c r="J1" s="266">
        <v>4001</v>
      </c>
      <c r="K1" s="268">
        <v>4003</v>
      </c>
      <c r="L1" s="270">
        <v>4005</v>
      </c>
      <c r="M1" s="272">
        <v>4007</v>
      </c>
      <c r="N1" s="262"/>
      <c r="O1" s="262" t="s">
        <v>318</v>
      </c>
      <c r="P1" s="412" t="s">
        <v>138</v>
      </c>
      <c r="Q1" s="412"/>
    </row>
    <row r="2" spans="1:18" x14ac:dyDescent="0.2">
      <c r="A2" s="428" t="s">
        <v>42</v>
      </c>
      <c r="B2" s="426"/>
      <c r="C2" s="426"/>
      <c r="D2" s="426"/>
      <c r="E2" s="427"/>
      <c r="F2" s="263" t="s">
        <v>471</v>
      </c>
      <c r="G2" s="263" t="s">
        <v>472</v>
      </c>
      <c r="H2" s="263" t="s">
        <v>473</v>
      </c>
      <c r="I2" s="265" t="s">
        <v>474</v>
      </c>
      <c r="J2" s="267" t="s">
        <v>475</v>
      </c>
      <c r="K2" s="269" t="s">
        <v>476</v>
      </c>
      <c r="L2" s="271" t="s">
        <v>477</v>
      </c>
      <c r="M2" s="273" t="s">
        <v>478</v>
      </c>
      <c r="N2" s="263"/>
      <c r="O2" s="263" t="s">
        <v>319</v>
      </c>
      <c r="P2" s="18" t="s">
        <v>116</v>
      </c>
      <c r="Q2" s="18" t="s">
        <v>5</v>
      </c>
    </row>
    <row r="3" spans="1:18" x14ac:dyDescent="0.2">
      <c r="A3" s="232"/>
      <c r="B3" s="232"/>
      <c r="C3" s="232"/>
      <c r="D3" s="428" t="s">
        <v>140</v>
      </c>
      <c r="E3" s="429"/>
      <c r="F3" s="263">
        <v>217</v>
      </c>
      <c r="G3" s="263">
        <v>212</v>
      </c>
      <c r="H3" s="263">
        <v>245</v>
      </c>
      <c r="I3" s="265">
        <v>217</v>
      </c>
      <c r="J3" s="267">
        <v>197</v>
      </c>
      <c r="K3" s="269">
        <v>241</v>
      </c>
      <c r="L3" s="271">
        <v>331</v>
      </c>
      <c r="M3" s="273">
        <v>147</v>
      </c>
      <c r="N3" s="263"/>
      <c r="O3" s="263" t="s">
        <v>320</v>
      </c>
      <c r="P3" s="15"/>
      <c r="Q3" s="15"/>
    </row>
    <row r="4" spans="1:18" ht="25.5" x14ac:dyDescent="0.2">
      <c r="A4" s="233" t="s">
        <v>1</v>
      </c>
      <c r="B4" s="234" t="s">
        <v>2</v>
      </c>
      <c r="C4" s="234" t="s">
        <v>0</v>
      </c>
      <c r="D4" s="412" t="s">
        <v>3</v>
      </c>
      <c r="E4" s="425"/>
      <c r="F4" s="263" t="s">
        <v>116</v>
      </c>
      <c r="G4" s="263" t="s">
        <v>116</v>
      </c>
      <c r="H4" s="263" t="s">
        <v>116</v>
      </c>
      <c r="I4" s="265" t="s">
        <v>116</v>
      </c>
      <c r="J4" s="267" t="s">
        <v>116</v>
      </c>
      <c r="K4" s="269" t="s">
        <v>116</v>
      </c>
      <c r="L4" s="271" t="s">
        <v>116</v>
      </c>
      <c r="M4" s="273" t="s">
        <v>116</v>
      </c>
      <c r="N4" s="263" t="s">
        <v>116</v>
      </c>
      <c r="O4" s="263" t="s">
        <v>116</v>
      </c>
      <c r="P4" s="15"/>
      <c r="Q4" s="15"/>
    </row>
    <row r="5" spans="1:18" x14ac:dyDescent="0.2">
      <c r="A5" s="15"/>
      <c r="B5" s="3"/>
      <c r="C5" s="3"/>
      <c r="D5" s="18" t="s">
        <v>4</v>
      </c>
      <c r="E5" s="235" t="s">
        <v>5</v>
      </c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15"/>
      <c r="Q5" s="15"/>
    </row>
    <row r="6" spans="1:18" x14ac:dyDescent="0.2">
      <c r="A6" s="236"/>
      <c r="B6" s="237"/>
      <c r="C6" s="237"/>
      <c r="D6" s="236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6"/>
      <c r="Q6" s="236"/>
    </row>
    <row r="7" spans="1:18" x14ac:dyDescent="0.2">
      <c r="A7" s="43">
        <v>1</v>
      </c>
      <c r="B7" s="117" t="s">
        <v>410</v>
      </c>
      <c r="C7" s="45" t="s">
        <v>24</v>
      </c>
      <c r="D7" s="43">
        <v>50</v>
      </c>
      <c r="E7" s="46">
        <v>2800</v>
      </c>
      <c r="F7" s="46"/>
      <c r="G7" s="46"/>
      <c r="H7" s="46"/>
      <c r="I7" s="46">
        <v>5600</v>
      </c>
      <c r="J7" s="46"/>
      <c r="K7" s="46"/>
      <c r="L7" s="46"/>
      <c r="M7" s="46">
        <v>2800</v>
      </c>
      <c r="N7" s="46"/>
      <c r="O7" s="46"/>
      <c r="P7" s="43">
        <f t="shared" ref="P7:P37" si="0">SUM(F7:O7)</f>
        <v>8400</v>
      </c>
      <c r="Q7" s="43">
        <f t="shared" ref="Q7:Q37" si="1">P7/E7</f>
        <v>3</v>
      </c>
      <c r="R7" s="385"/>
    </row>
    <row r="8" spans="1:18" x14ac:dyDescent="0.2">
      <c r="A8" s="43">
        <v>2</v>
      </c>
      <c r="B8" s="117" t="s">
        <v>142</v>
      </c>
      <c r="C8" s="45" t="s">
        <v>143</v>
      </c>
      <c r="D8" s="43">
        <v>50</v>
      </c>
      <c r="E8" s="46">
        <v>550</v>
      </c>
      <c r="F8" s="46">
        <v>4400</v>
      </c>
      <c r="G8" s="46">
        <v>6600</v>
      </c>
      <c r="H8" s="46"/>
      <c r="I8" s="46">
        <v>4400</v>
      </c>
      <c r="J8" s="46">
        <v>5500</v>
      </c>
      <c r="K8" s="46"/>
      <c r="L8" s="46">
        <v>5500</v>
      </c>
      <c r="M8" s="46"/>
      <c r="N8" s="46"/>
      <c r="O8" s="46"/>
      <c r="P8" s="43">
        <f t="shared" si="0"/>
        <v>26400</v>
      </c>
      <c r="Q8" s="43">
        <f t="shared" si="1"/>
        <v>48</v>
      </c>
      <c r="R8" s="385"/>
    </row>
    <row r="9" spans="1:18" x14ac:dyDescent="0.2">
      <c r="A9" s="43">
        <v>3</v>
      </c>
      <c r="B9" s="117" t="s">
        <v>411</v>
      </c>
      <c r="C9" s="45" t="s">
        <v>171</v>
      </c>
      <c r="D9" s="43">
        <v>10</v>
      </c>
      <c r="E9" s="46">
        <v>1200</v>
      </c>
      <c r="F9" s="46">
        <v>6000</v>
      </c>
      <c r="G9" s="46">
        <v>13200</v>
      </c>
      <c r="H9" s="46"/>
      <c r="I9" s="46"/>
      <c r="J9" s="46">
        <v>8400</v>
      </c>
      <c r="K9" s="46"/>
      <c r="L9" s="46">
        <v>26400</v>
      </c>
      <c r="M9" s="46">
        <v>2400</v>
      </c>
      <c r="N9" s="46"/>
      <c r="O9" s="46"/>
      <c r="P9" s="43">
        <f t="shared" si="0"/>
        <v>56400</v>
      </c>
      <c r="Q9" s="43">
        <f t="shared" si="1"/>
        <v>47</v>
      </c>
      <c r="R9" s="385"/>
    </row>
    <row r="10" spans="1:18" x14ac:dyDescent="0.2">
      <c r="A10" s="43">
        <v>4</v>
      </c>
      <c r="B10" s="117" t="s">
        <v>412</v>
      </c>
      <c r="C10" s="45" t="s">
        <v>25</v>
      </c>
      <c r="D10" s="43">
        <v>50</v>
      </c>
      <c r="E10" s="46">
        <v>550</v>
      </c>
      <c r="F10" s="46">
        <v>3300</v>
      </c>
      <c r="G10" s="46">
        <v>1650</v>
      </c>
      <c r="H10" s="46"/>
      <c r="I10" s="46">
        <v>4950</v>
      </c>
      <c r="J10" s="46"/>
      <c r="K10" s="46"/>
      <c r="L10" s="46"/>
      <c r="M10" s="46"/>
      <c r="N10" s="46"/>
      <c r="O10" s="46"/>
      <c r="P10" s="43">
        <f t="shared" si="0"/>
        <v>9900</v>
      </c>
      <c r="Q10" s="43">
        <f t="shared" si="1"/>
        <v>18</v>
      </c>
      <c r="R10" s="385"/>
    </row>
    <row r="11" spans="1:18" x14ac:dyDescent="0.2">
      <c r="A11" s="43">
        <v>5</v>
      </c>
      <c r="B11" s="117" t="s">
        <v>413</v>
      </c>
      <c r="C11" s="45" t="s">
        <v>22</v>
      </c>
      <c r="D11" s="43">
        <v>100</v>
      </c>
      <c r="E11" s="46">
        <v>1200</v>
      </c>
      <c r="F11" s="46">
        <v>8400</v>
      </c>
      <c r="G11" s="46">
        <v>15600</v>
      </c>
      <c r="H11" s="46">
        <v>14400</v>
      </c>
      <c r="I11" s="46">
        <v>12000</v>
      </c>
      <c r="J11" s="46"/>
      <c r="K11" s="46">
        <v>18000</v>
      </c>
      <c r="L11" s="46">
        <v>12000</v>
      </c>
      <c r="M11" s="46"/>
      <c r="N11" s="46"/>
      <c r="O11" s="46"/>
      <c r="P11" s="43">
        <f t="shared" si="0"/>
        <v>80400</v>
      </c>
      <c r="Q11" s="43">
        <f t="shared" si="1"/>
        <v>67</v>
      </c>
      <c r="R11" s="385"/>
    </row>
    <row r="12" spans="1:18" x14ac:dyDescent="0.2">
      <c r="A12" s="43">
        <v>6</v>
      </c>
      <c r="B12" s="44" t="s">
        <v>200</v>
      </c>
      <c r="C12" s="45" t="s">
        <v>201</v>
      </c>
      <c r="D12" s="43">
        <v>10</v>
      </c>
      <c r="E12" s="46">
        <v>800</v>
      </c>
      <c r="F12" s="46">
        <v>3200</v>
      </c>
      <c r="G12" s="46">
        <v>2400</v>
      </c>
      <c r="H12" s="46"/>
      <c r="I12" s="46"/>
      <c r="J12" s="46">
        <v>3200</v>
      </c>
      <c r="K12" s="46"/>
      <c r="L12" s="46">
        <v>2400</v>
      </c>
      <c r="M12" s="46"/>
      <c r="N12" s="46"/>
      <c r="O12" s="46"/>
      <c r="P12" s="43">
        <f t="shared" si="0"/>
        <v>11200</v>
      </c>
      <c r="Q12" s="43">
        <f t="shared" si="1"/>
        <v>14</v>
      </c>
      <c r="R12" s="385"/>
    </row>
    <row r="13" spans="1:18" x14ac:dyDescent="0.2">
      <c r="A13" s="43">
        <v>7</v>
      </c>
      <c r="B13" s="117" t="s">
        <v>349</v>
      </c>
      <c r="C13" s="240" t="s">
        <v>350</v>
      </c>
      <c r="D13" s="43">
        <v>10</v>
      </c>
      <c r="E13" s="46">
        <v>520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3">
        <f t="shared" si="0"/>
        <v>0</v>
      </c>
      <c r="Q13" s="43">
        <f t="shared" si="1"/>
        <v>0</v>
      </c>
      <c r="R13" s="385"/>
    </row>
    <row r="14" spans="1:18" x14ac:dyDescent="0.2">
      <c r="A14" s="249" t="s">
        <v>454</v>
      </c>
      <c r="B14" s="117" t="s">
        <v>349</v>
      </c>
      <c r="C14" s="240" t="s">
        <v>350</v>
      </c>
      <c r="D14" s="43">
        <v>10</v>
      </c>
      <c r="E14" s="46">
        <v>450</v>
      </c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3">
        <f t="shared" si="0"/>
        <v>0</v>
      </c>
      <c r="Q14" s="43">
        <f t="shared" si="1"/>
        <v>0</v>
      </c>
      <c r="R14" s="385"/>
    </row>
    <row r="15" spans="1:18" x14ac:dyDescent="0.2">
      <c r="A15" s="43">
        <v>8</v>
      </c>
      <c r="B15" s="245" t="s">
        <v>414</v>
      </c>
      <c r="C15" s="243" t="s">
        <v>397</v>
      </c>
      <c r="D15" s="244">
        <v>10</v>
      </c>
      <c r="E15" s="248">
        <v>2500</v>
      </c>
      <c r="F15" s="46">
        <v>22500</v>
      </c>
      <c r="G15" s="46">
        <v>7500</v>
      </c>
      <c r="H15" s="46">
        <v>7500</v>
      </c>
      <c r="I15" s="46">
        <v>7500</v>
      </c>
      <c r="J15" s="46">
        <v>2500</v>
      </c>
      <c r="K15" s="46">
        <v>7500</v>
      </c>
      <c r="L15" s="46">
        <v>7500</v>
      </c>
      <c r="M15" s="46"/>
      <c r="N15" s="46"/>
      <c r="O15" s="46"/>
      <c r="P15" s="43">
        <f t="shared" si="0"/>
        <v>62500</v>
      </c>
      <c r="Q15" s="43">
        <f t="shared" si="1"/>
        <v>25</v>
      </c>
      <c r="R15" s="385"/>
    </row>
    <row r="16" spans="1:18" x14ac:dyDescent="0.2">
      <c r="A16" s="43">
        <v>9</v>
      </c>
      <c r="B16" s="245" t="s">
        <v>415</v>
      </c>
      <c r="C16" s="243" t="s">
        <v>398</v>
      </c>
      <c r="D16" s="244">
        <v>10</v>
      </c>
      <c r="E16" s="248">
        <v>1500</v>
      </c>
      <c r="F16" s="46">
        <v>1500</v>
      </c>
      <c r="G16" s="46">
        <v>1500</v>
      </c>
      <c r="H16" s="46">
        <v>1500</v>
      </c>
      <c r="I16" s="46"/>
      <c r="J16" s="46">
        <v>3000</v>
      </c>
      <c r="K16" s="46">
        <v>3000</v>
      </c>
      <c r="L16" s="46"/>
      <c r="M16" s="46"/>
      <c r="N16" s="46"/>
      <c r="O16" s="46"/>
      <c r="P16" s="43">
        <f t="shared" si="0"/>
        <v>10500</v>
      </c>
      <c r="Q16" s="43">
        <f t="shared" si="1"/>
        <v>7</v>
      </c>
      <c r="R16" s="385"/>
    </row>
    <row r="17" spans="1:18" x14ac:dyDescent="0.2">
      <c r="A17" s="43">
        <v>10</v>
      </c>
      <c r="B17" s="117" t="s">
        <v>416</v>
      </c>
      <c r="C17" s="45" t="s">
        <v>400</v>
      </c>
      <c r="D17" s="43">
        <v>10</v>
      </c>
      <c r="E17" s="46">
        <v>900</v>
      </c>
      <c r="F17" s="46">
        <v>900</v>
      </c>
      <c r="G17" s="46">
        <v>900</v>
      </c>
      <c r="H17" s="46">
        <v>900</v>
      </c>
      <c r="I17" s="46"/>
      <c r="J17" s="46">
        <v>1800</v>
      </c>
      <c r="K17" s="46">
        <v>1800</v>
      </c>
      <c r="L17" s="46"/>
      <c r="M17" s="46"/>
      <c r="N17" s="46"/>
      <c r="O17" s="46"/>
      <c r="P17" s="43">
        <f t="shared" si="0"/>
        <v>6300</v>
      </c>
      <c r="Q17" s="43">
        <f t="shared" si="1"/>
        <v>7</v>
      </c>
      <c r="R17" s="385"/>
    </row>
    <row r="18" spans="1:18" x14ac:dyDescent="0.2">
      <c r="A18" s="43">
        <v>11</v>
      </c>
      <c r="B18" s="117" t="s">
        <v>417</v>
      </c>
      <c r="C18" s="45" t="s">
        <v>368</v>
      </c>
      <c r="D18" s="43">
        <v>10</v>
      </c>
      <c r="E18" s="46">
        <v>1900</v>
      </c>
      <c r="F18" s="46">
        <v>15200</v>
      </c>
      <c r="G18" s="46">
        <v>9500</v>
      </c>
      <c r="H18" s="46">
        <v>11400</v>
      </c>
      <c r="I18" s="46"/>
      <c r="J18" s="46">
        <v>5700</v>
      </c>
      <c r="K18" s="46">
        <v>3800</v>
      </c>
      <c r="L18" s="46">
        <v>11400</v>
      </c>
      <c r="M18" s="46">
        <v>9500</v>
      </c>
      <c r="N18" s="46"/>
      <c r="O18" s="46"/>
      <c r="P18" s="43">
        <f t="shared" si="0"/>
        <v>66500</v>
      </c>
      <c r="Q18" s="43">
        <f t="shared" si="1"/>
        <v>35</v>
      </c>
      <c r="R18" s="385"/>
    </row>
    <row r="19" spans="1:18" x14ac:dyDescent="0.2">
      <c r="A19" s="43">
        <v>12</v>
      </c>
      <c r="B19" s="117" t="s">
        <v>418</v>
      </c>
      <c r="C19" s="45" t="s">
        <v>370</v>
      </c>
      <c r="D19" s="43">
        <v>10</v>
      </c>
      <c r="E19" s="46">
        <v>890</v>
      </c>
      <c r="F19" s="46">
        <v>2670</v>
      </c>
      <c r="G19" s="46">
        <v>2670</v>
      </c>
      <c r="H19" s="46">
        <v>5340</v>
      </c>
      <c r="I19" s="46"/>
      <c r="J19" s="46">
        <v>4450</v>
      </c>
      <c r="K19" s="46">
        <v>5340</v>
      </c>
      <c r="L19" s="46">
        <v>1780</v>
      </c>
      <c r="M19" s="46"/>
      <c r="N19" s="46"/>
      <c r="O19" s="46"/>
      <c r="P19" s="43">
        <f t="shared" si="0"/>
        <v>22250</v>
      </c>
      <c r="Q19" s="43">
        <f t="shared" si="1"/>
        <v>25</v>
      </c>
      <c r="R19" s="385"/>
    </row>
    <row r="20" spans="1:18" x14ac:dyDescent="0.2">
      <c r="A20" s="43">
        <v>13</v>
      </c>
      <c r="B20" s="117" t="s">
        <v>419</v>
      </c>
      <c r="C20" s="45" t="s">
        <v>372</v>
      </c>
      <c r="D20" s="43">
        <v>10</v>
      </c>
      <c r="E20" s="46">
        <v>600</v>
      </c>
      <c r="F20" s="46">
        <v>3000</v>
      </c>
      <c r="G20" s="46">
        <v>4200</v>
      </c>
      <c r="H20" s="46">
        <v>5400</v>
      </c>
      <c r="I20" s="46">
        <v>2400</v>
      </c>
      <c r="J20" s="46">
        <v>2400</v>
      </c>
      <c r="K20" s="46">
        <v>1800</v>
      </c>
      <c r="L20" s="46">
        <v>1200</v>
      </c>
      <c r="M20" s="46"/>
      <c r="N20" s="46"/>
      <c r="O20" s="46"/>
      <c r="P20" s="43">
        <f t="shared" si="0"/>
        <v>20400</v>
      </c>
      <c r="Q20" s="43">
        <f t="shared" si="1"/>
        <v>34</v>
      </c>
      <c r="R20" s="385"/>
    </row>
    <row r="21" spans="1:18" x14ac:dyDescent="0.2">
      <c r="A21" s="43"/>
      <c r="B21" s="117" t="s">
        <v>457</v>
      </c>
      <c r="C21" s="45" t="s">
        <v>458</v>
      </c>
      <c r="D21" s="43">
        <v>10</v>
      </c>
      <c r="E21" s="46">
        <v>2900</v>
      </c>
      <c r="F21" s="46">
        <v>8700</v>
      </c>
      <c r="G21" s="46">
        <v>11600</v>
      </c>
      <c r="H21" s="46">
        <v>8700</v>
      </c>
      <c r="I21" s="46"/>
      <c r="J21" s="46">
        <v>8700</v>
      </c>
      <c r="K21" s="46">
        <v>8700</v>
      </c>
      <c r="L21" s="46"/>
      <c r="M21" s="46"/>
      <c r="N21" s="46"/>
      <c r="O21" s="46"/>
      <c r="P21" s="43">
        <f t="shared" si="0"/>
        <v>46400</v>
      </c>
      <c r="Q21" s="43">
        <f t="shared" si="1"/>
        <v>16</v>
      </c>
      <c r="R21" s="385"/>
    </row>
    <row r="22" spans="1:18" x14ac:dyDescent="0.2">
      <c r="A22" s="43"/>
      <c r="B22" s="117" t="s">
        <v>462</v>
      </c>
      <c r="C22" s="45" t="s">
        <v>463</v>
      </c>
      <c r="D22" s="43">
        <v>10</v>
      </c>
      <c r="E22" s="46">
        <v>1700</v>
      </c>
      <c r="F22" s="46">
        <v>1700</v>
      </c>
      <c r="G22" s="46">
        <v>3400</v>
      </c>
      <c r="H22" s="46"/>
      <c r="I22" s="46"/>
      <c r="J22" s="46">
        <v>3400</v>
      </c>
      <c r="K22" s="46">
        <v>3400</v>
      </c>
      <c r="L22" s="46"/>
      <c r="M22" s="46"/>
      <c r="N22" s="46"/>
      <c r="O22" s="46"/>
      <c r="P22" s="43">
        <f t="shared" si="0"/>
        <v>11900</v>
      </c>
      <c r="Q22" s="43">
        <f t="shared" si="1"/>
        <v>7</v>
      </c>
      <c r="R22" s="385"/>
    </row>
    <row r="23" spans="1:18" x14ac:dyDescent="0.2">
      <c r="A23" s="43">
        <v>14</v>
      </c>
      <c r="B23" s="117" t="s">
        <v>420</v>
      </c>
      <c r="C23" s="45" t="s">
        <v>401</v>
      </c>
      <c r="D23" s="43">
        <v>10</v>
      </c>
      <c r="E23" s="46">
        <v>1000</v>
      </c>
      <c r="F23" s="46">
        <v>1000</v>
      </c>
      <c r="G23" s="46">
        <v>2000</v>
      </c>
      <c r="H23" s="46"/>
      <c r="I23" s="46"/>
      <c r="J23" s="46">
        <v>2000</v>
      </c>
      <c r="K23" s="46">
        <v>1000</v>
      </c>
      <c r="L23" s="46"/>
      <c r="M23" s="46"/>
      <c r="N23" s="46"/>
      <c r="O23" s="46"/>
      <c r="P23" s="43">
        <f t="shared" si="0"/>
        <v>6000</v>
      </c>
      <c r="Q23" s="43">
        <f t="shared" si="1"/>
        <v>6</v>
      </c>
      <c r="R23" s="385"/>
    </row>
    <row r="24" spans="1:18" x14ac:dyDescent="0.2">
      <c r="A24" s="43">
        <v>15</v>
      </c>
      <c r="B24" s="117" t="s">
        <v>421</v>
      </c>
      <c r="C24" s="45" t="s">
        <v>40</v>
      </c>
      <c r="D24" s="43">
        <v>50</v>
      </c>
      <c r="E24" s="46">
        <v>1750</v>
      </c>
      <c r="F24" s="46">
        <v>17500</v>
      </c>
      <c r="G24" s="46">
        <v>5250</v>
      </c>
      <c r="H24" s="46">
        <v>12250</v>
      </c>
      <c r="I24" s="46"/>
      <c r="J24" s="46"/>
      <c r="K24" s="46"/>
      <c r="L24" s="46">
        <v>8750</v>
      </c>
      <c r="M24" s="46">
        <v>8750</v>
      </c>
      <c r="N24" s="46"/>
      <c r="O24" s="46"/>
      <c r="P24" s="43">
        <f t="shared" si="0"/>
        <v>52500</v>
      </c>
      <c r="Q24" s="43">
        <f t="shared" si="1"/>
        <v>30</v>
      </c>
      <c r="R24" s="385"/>
    </row>
    <row r="25" spans="1:18" x14ac:dyDescent="0.2">
      <c r="A25" s="43">
        <v>16</v>
      </c>
      <c r="B25" s="117" t="s">
        <v>422</v>
      </c>
      <c r="C25" s="45" t="s">
        <v>23</v>
      </c>
      <c r="D25" s="43">
        <v>100</v>
      </c>
      <c r="E25" s="46">
        <v>1000</v>
      </c>
      <c r="F25" s="46">
        <v>5000</v>
      </c>
      <c r="G25" s="46">
        <v>9000</v>
      </c>
      <c r="H25" s="46"/>
      <c r="I25" s="46"/>
      <c r="J25" s="46">
        <v>5000</v>
      </c>
      <c r="K25" s="46"/>
      <c r="L25" s="46">
        <v>3000</v>
      </c>
      <c r="M25" s="46">
        <v>8000</v>
      </c>
      <c r="N25" s="46"/>
      <c r="O25" s="46"/>
      <c r="P25" s="43">
        <f t="shared" si="0"/>
        <v>30000</v>
      </c>
      <c r="Q25" s="43">
        <f t="shared" si="1"/>
        <v>30</v>
      </c>
      <c r="R25" s="385"/>
    </row>
    <row r="26" spans="1:18" x14ac:dyDescent="0.2">
      <c r="A26" s="43">
        <v>17</v>
      </c>
      <c r="B26" s="117" t="s">
        <v>423</v>
      </c>
      <c r="C26" s="45" t="s">
        <v>37</v>
      </c>
      <c r="D26" s="43">
        <v>50</v>
      </c>
      <c r="E26" s="46">
        <v>600</v>
      </c>
      <c r="F26" s="46"/>
      <c r="G26" s="46">
        <v>1200</v>
      </c>
      <c r="H26" s="46"/>
      <c r="I26" s="46">
        <v>600</v>
      </c>
      <c r="J26" s="46"/>
      <c r="K26" s="46"/>
      <c r="L26" s="46">
        <v>1800</v>
      </c>
      <c r="M26" s="46">
        <v>600</v>
      </c>
      <c r="N26" s="46"/>
      <c r="O26" s="46"/>
      <c r="P26" s="43">
        <f t="shared" si="0"/>
        <v>4200</v>
      </c>
      <c r="Q26" s="43">
        <f t="shared" si="1"/>
        <v>7</v>
      </c>
      <c r="R26" s="385"/>
    </row>
    <row r="27" spans="1:18" x14ac:dyDescent="0.2">
      <c r="A27" s="43">
        <v>18</v>
      </c>
      <c r="B27" s="117" t="s">
        <v>424</v>
      </c>
      <c r="C27" s="45" t="s">
        <v>162</v>
      </c>
      <c r="D27" s="43">
        <v>50</v>
      </c>
      <c r="E27" s="46">
        <v>350</v>
      </c>
      <c r="F27" s="46">
        <v>350</v>
      </c>
      <c r="G27" s="46"/>
      <c r="H27" s="46"/>
      <c r="I27" s="46">
        <v>350</v>
      </c>
      <c r="J27" s="46"/>
      <c r="K27" s="46"/>
      <c r="L27" s="46">
        <v>350</v>
      </c>
      <c r="M27" s="46"/>
      <c r="N27" s="46"/>
      <c r="O27" s="46"/>
      <c r="P27" s="43">
        <f t="shared" si="0"/>
        <v>1050</v>
      </c>
      <c r="Q27" s="43">
        <f t="shared" si="1"/>
        <v>3</v>
      </c>
      <c r="R27" s="385"/>
    </row>
    <row r="28" spans="1:18" x14ac:dyDescent="0.2">
      <c r="A28" s="43">
        <v>19</v>
      </c>
      <c r="B28" s="117" t="s">
        <v>425</v>
      </c>
      <c r="C28" s="116" t="s">
        <v>169</v>
      </c>
      <c r="D28" s="43">
        <v>10</v>
      </c>
      <c r="E28" s="46">
        <v>300</v>
      </c>
      <c r="F28" s="46">
        <v>3000</v>
      </c>
      <c r="G28" s="46">
        <v>3000</v>
      </c>
      <c r="H28" s="46"/>
      <c r="I28" s="46">
        <v>3000</v>
      </c>
      <c r="J28" s="46"/>
      <c r="K28" s="46">
        <v>3000</v>
      </c>
      <c r="L28" s="46"/>
      <c r="M28" s="46"/>
      <c r="N28" s="46"/>
      <c r="O28" s="46"/>
      <c r="P28" s="43">
        <f t="shared" si="0"/>
        <v>12000</v>
      </c>
      <c r="Q28" s="43">
        <f t="shared" si="1"/>
        <v>40</v>
      </c>
    </row>
    <row r="29" spans="1:18" x14ac:dyDescent="0.2">
      <c r="A29" s="43">
        <v>20</v>
      </c>
      <c r="B29" s="44" t="s">
        <v>426</v>
      </c>
      <c r="C29" s="116" t="s">
        <v>264</v>
      </c>
      <c r="D29" s="43">
        <v>10</v>
      </c>
      <c r="E29" s="46">
        <v>230</v>
      </c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3">
        <f t="shared" si="0"/>
        <v>0</v>
      </c>
      <c r="Q29" s="43">
        <f t="shared" si="1"/>
        <v>0</v>
      </c>
      <c r="R29" s="385"/>
    </row>
    <row r="30" spans="1:18" x14ac:dyDescent="0.2">
      <c r="A30" s="43">
        <v>21</v>
      </c>
      <c r="B30" s="44" t="s">
        <v>427</v>
      </c>
      <c r="C30" s="116" t="s">
        <v>265</v>
      </c>
      <c r="D30" s="43">
        <v>10</v>
      </c>
      <c r="E30" s="46">
        <v>160</v>
      </c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3">
        <f t="shared" si="0"/>
        <v>0</v>
      </c>
      <c r="Q30" s="43">
        <f t="shared" si="1"/>
        <v>0</v>
      </c>
      <c r="R30" s="385"/>
    </row>
    <row r="31" spans="1:18" x14ac:dyDescent="0.2">
      <c r="A31" s="43">
        <v>22</v>
      </c>
      <c r="B31" s="117" t="s">
        <v>428</v>
      </c>
      <c r="C31" s="45" t="s">
        <v>274</v>
      </c>
      <c r="D31" s="43">
        <v>5</v>
      </c>
      <c r="E31" s="46">
        <v>85</v>
      </c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3">
        <f t="shared" si="0"/>
        <v>0</v>
      </c>
      <c r="Q31" s="43">
        <f t="shared" si="1"/>
        <v>0</v>
      </c>
      <c r="R31" s="385"/>
    </row>
    <row r="32" spans="1:18" x14ac:dyDescent="0.2">
      <c r="A32" s="43">
        <v>23</v>
      </c>
      <c r="B32" s="117" t="s">
        <v>429</v>
      </c>
      <c r="C32" s="45" t="s">
        <v>275</v>
      </c>
      <c r="D32" s="43">
        <v>5</v>
      </c>
      <c r="E32" s="46">
        <v>75</v>
      </c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3">
        <f t="shared" si="0"/>
        <v>0</v>
      </c>
      <c r="Q32" s="43">
        <f t="shared" si="1"/>
        <v>0</v>
      </c>
      <c r="R32" s="385"/>
    </row>
    <row r="33" spans="1:18" x14ac:dyDescent="0.2">
      <c r="A33" s="43">
        <v>24</v>
      </c>
      <c r="B33" s="117" t="s">
        <v>430</v>
      </c>
      <c r="C33" s="45" t="s">
        <v>276</v>
      </c>
      <c r="D33" s="43">
        <v>5</v>
      </c>
      <c r="E33" s="46">
        <v>45</v>
      </c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3">
        <f t="shared" si="0"/>
        <v>0</v>
      </c>
      <c r="Q33" s="43">
        <f t="shared" si="1"/>
        <v>0</v>
      </c>
      <c r="R33" s="385"/>
    </row>
    <row r="34" spans="1:18" x14ac:dyDescent="0.2">
      <c r="A34" s="43">
        <v>25</v>
      </c>
      <c r="B34" s="117" t="s">
        <v>431</v>
      </c>
      <c r="C34" s="45" t="s">
        <v>6</v>
      </c>
      <c r="D34" s="43">
        <v>5</v>
      </c>
      <c r="E34" s="46">
        <v>2000</v>
      </c>
      <c r="F34" s="46">
        <v>20000</v>
      </c>
      <c r="G34" s="46"/>
      <c r="H34" s="46">
        <v>26000</v>
      </c>
      <c r="I34" s="46">
        <v>20000</v>
      </c>
      <c r="J34" s="46"/>
      <c r="K34" s="46"/>
      <c r="L34" s="46">
        <v>30000</v>
      </c>
      <c r="M34" s="46"/>
      <c r="N34" s="46"/>
      <c r="O34" s="46"/>
      <c r="P34" s="43">
        <f t="shared" si="0"/>
        <v>96000</v>
      </c>
      <c r="Q34" s="43">
        <f t="shared" si="1"/>
        <v>48</v>
      </c>
    </row>
    <row r="35" spans="1:18" x14ac:dyDescent="0.2">
      <c r="A35" s="43">
        <v>26</v>
      </c>
      <c r="B35" s="117" t="s">
        <v>432</v>
      </c>
      <c r="C35" s="45" t="s">
        <v>7</v>
      </c>
      <c r="D35" s="43">
        <v>100</v>
      </c>
      <c r="E35" s="46">
        <v>2000</v>
      </c>
      <c r="F35" s="46">
        <v>14000</v>
      </c>
      <c r="G35" s="46">
        <v>8000</v>
      </c>
      <c r="H35" s="46"/>
      <c r="I35" s="46">
        <v>4000</v>
      </c>
      <c r="J35" s="46"/>
      <c r="K35" s="46">
        <v>16000</v>
      </c>
      <c r="L35" s="46">
        <v>10000</v>
      </c>
      <c r="M35" s="46">
        <v>12000</v>
      </c>
      <c r="N35" s="46"/>
      <c r="O35" s="46"/>
      <c r="P35" s="43">
        <f t="shared" si="0"/>
        <v>64000</v>
      </c>
      <c r="Q35" s="43">
        <f t="shared" si="1"/>
        <v>32</v>
      </c>
      <c r="R35" s="385"/>
    </row>
    <row r="36" spans="1:18" x14ac:dyDescent="0.2">
      <c r="A36" s="43">
        <v>27</v>
      </c>
      <c r="B36" s="117" t="s">
        <v>433</v>
      </c>
      <c r="C36" s="45" t="s">
        <v>8</v>
      </c>
      <c r="D36" s="43">
        <v>50</v>
      </c>
      <c r="E36" s="46">
        <v>1100</v>
      </c>
      <c r="F36" s="46">
        <v>8800</v>
      </c>
      <c r="G36" s="46">
        <v>7700</v>
      </c>
      <c r="H36" s="46">
        <v>7700</v>
      </c>
      <c r="I36" s="46"/>
      <c r="J36" s="46">
        <v>8800</v>
      </c>
      <c r="K36" s="46">
        <v>13200</v>
      </c>
      <c r="L36" s="46">
        <v>5500</v>
      </c>
      <c r="M36" s="46">
        <v>1100</v>
      </c>
      <c r="N36" s="46"/>
      <c r="O36" s="46"/>
      <c r="P36" s="43">
        <f t="shared" si="0"/>
        <v>52800</v>
      </c>
      <c r="Q36" s="43">
        <f t="shared" si="1"/>
        <v>48</v>
      </c>
      <c r="R36" s="385"/>
    </row>
    <row r="37" spans="1:18" x14ac:dyDescent="0.2">
      <c r="A37" s="43">
        <v>28</v>
      </c>
      <c r="B37" s="117" t="s">
        <v>434</v>
      </c>
      <c r="C37" s="45" t="s">
        <v>9</v>
      </c>
      <c r="D37" s="43">
        <v>50</v>
      </c>
      <c r="E37" s="46">
        <v>1000</v>
      </c>
      <c r="F37" s="46">
        <v>2000</v>
      </c>
      <c r="G37" s="46">
        <v>5000</v>
      </c>
      <c r="H37" s="46">
        <v>5000</v>
      </c>
      <c r="I37" s="46">
        <v>4000</v>
      </c>
      <c r="J37" s="395">
        <v>6000</v>
      </c>
      <c r="K37" s="46">
        <v>10000</v>
      </c>
      <c r="L37" s="46">
        <v>24000</v>
      </c>
      <c r="M37" s="46"/>
      <c r="N37" s="46"/>
      <c r="O37" s="46"/>
      <c r="P37" s="43">
        <f t="shared" si="0"/>
        <v>56000</v>
      </c>
      <c r="Q37" s="43">
        <f t="shared" si="1"/>
        <v>56</v>
      </c>
      <c r="R37" s="385"/>
    </row>
    <row r="38" spans="1:18" x14ac:dyDescent="0.2">
      <c r="A38" s="43">
        <v>29</v>
      </c>
      <c r="B38" s="117" t="s">
        <v>435</v>
      </c>
      <c r="C38" s="45" t="s">
        <v>10</v>
      </c>
      <c r="D38" s="43">
        <v>50</v>
      </c>
      <c r="E38" s="46">
        <v>800</v>
      </c>
      <c r="F38" s="46">
        <v>6400</v>
      </c>
      <c r="G38" s="46">
        <v>2400</v>
      </c>
      <c r="H38" s="46">
        <v>8000</v>
      </c>
      <c r="I38" s="46">
        <v>6400</v>
      </c>
      <c r="J38" s="46"/>
      <c r="K38" s="46"/>
      <c r="L38" s="46">
        <v>6400</v>
      </c>
      <c r="M38" s="46"/>
      <c r="N38" s="46"/>
      <c r="O38" s="46"/>
      <c r="P38" s="43">
        <f t="shared" ref="P38:P64" si="2">SUM(F38:O38)</f>
        <v>29600</v>
      </c>
      <c r="Q38" s="43">
        <f t="shared" ref="Q38:Q64" si="3">P38/E38</f>
        <v>37</v>
      </c>
      <c r="R38" s="385"/>
    </row>
    <row r="39" spans="1:18" x14ac:dyDescent="0.2">
      <c r="A39" s="43">
        <v>30</v>
      </c>
      <c r="B39" s="117" t="s">
        <v>436</v>
      </c>
      <c r="C39" s="45" t="s">
        <v>11</v>
      </c>
      <c r="D39" s="43">
        <v>50</v>
      </c>
      <c r="E39" s="46">
        <v>600</v>
      </c>
      <c r="F39" s="46">
        <v>9000</v>
      </c>
      <c r="G39" s="46">
        <v>6000</v>
      </c>
      <c r="H39" s="46">
        <v>6000</v>
      </c>
      <c r="I39" s="46">
        <v>6000</v>
      </c>
      <c r="J39" s="395">
        <v>7800</v>
      </c>
      <c r="K39" s="46">
        <v>8400</v>
      </c>
      <c r="L39" s="46">
        <v>18000</v>
      </c>
      <c r="M39" s="46"/>
      <c r="N39" s="46"/>
      <c r="O39" s="46"/>
      <c r="P39" s="43">
        <f t="shared" si="2"/>
        <v>61200</v>
      </c>
      <c r="Q39" s="43">
        <f t="shared" si="3"/>
        <v>102</v>
      </c>
      <c r="R39" s="385"/>
    </row>
    <row r="40" spans="1:18" x14ac:dyDescent="0.2">
      <c r="A40" s="43">
        <v>31</v>
      </c>
      <c r="B40" s="394" t="s">
        <v>408</v>
      </c>
      <c r="C40" s="45" t="s">
        <v>213</v>
      </c>
      <c r="D40" s="43">
        <v>10</v>
      </c>
      <c r="E40" s="46">
        <v>600</v>
      </c>
      <c r="F40" s="46"/>
      <c r="G40" s="46">
        <v>1200</v>
      </c>
      <c r="H40" s="46">
        <v>1200</v>
      </c>
      <c r="I40" s="46">
        <v>1800</v>
      </c>
      <c r="J40" s="46"/>
      <c r="K40" s="46">
        <v>1200</v>
      </c>
      <c r="L40" s="46">
        <v>3000</v>
      </c>
      <c r="M40" s="46"/>
      <c r="N40" s="46"/>
      <c r="O40" s="46"/>
      <c r="P40" s="43">
        <f t="shared" si="2"/>
        <v>8400</v>
      </c>
      <c r="Q40" s="43">
        <f t="shared" si="3"/>
        <v>14</v>
      </c>
    </row>
    <row r="41" spans="1:18" x14ac:dyDescent="0.2">
      <c r="A41" s="43">
        <v>32</v>
      </c>
      <c r="B41" s="117" t="s">
        <v>437</v>
      </c>
      <c r="C41" s="45" t="s">
        <v>14</v>
      </c>
      <c r="D41" s="43">
        <v>10</v>
      </c>
      <c r="E41" s="46">
        <v>400</v>
      </c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3">
        <f t="shared" si="2"/>
        <v>0</v>
      </c>
      <c r="Q41" s="43">
        <f t="shared" si="3"/>
        <v>0</v>
      </c>
    </row>
    <row r="42" spans="1:18" x14ac:dyDescent="0.2">
      <c r="A42" s="43">
        <v>33</v>
      </c>
      <c r="B42" s="117" t="s">
        <v>438</v>
      </c>
      <c r="C42" s="45" t="s">
        <v>15</v>
      </c>
      <c r="D42" s="43">
        <v>10</v>
      </c>
      <c r="E42" s="43">
        <v>400</v>
      </c>
      <c r="F42" s="46">
        <v>11200</v>
      </c>
      <c r="G42" s="46">
        <v>800</v>
      </c>
      <c r="H42" s="46"/>
      <c r="I42" s="46">
        <v>16800</v>
      </c>
      <c r="J42" s="46">
        <v>3200</v>
      </c>
      <c r="K42" s="46">
        <v>8000</v>
      </c>
      <c r="L42" s="46">
        <v>6000</v>
      </c>
      <c r="M42" s="46">
        <v>6000</v>
      </c>
      <c r="N42" s="46"/>
      <c r="O42" s="46"/>
      <c r="P42" s="43">
        <f t="shared" si="2"/>
        <v>52000</v>
      </c>
      <c r="Q42" s="43">
        <f t="shared" si="3"/>
        <v>130</v>
      </c>
    </row>
    <row r="43" spans="1:18" x14ac:dyDescent="0.2">
      <c r="A43" s="43">
        <v>34</v>
      </c>
      <c r="B43" s="117" t="s">
        <v>439</v>
      </c>
      <c r="C43" s="45" t="s">
        <v>16</v>
      </c>
      <c r="D43" s="43">
        <v>10</v>
      </c>
      <c r="E43" s="43">
        <v>300</v>
      </c>
      <c r="F43" s="46"/>
      <c r="G43" s="46">
        <v>4200</v>
      </c>
      <c r="H43" s="46">
        <v>10800</v>
      </c>
      <c r="I43" s="46">
        <v>8700</v>
      </c>
      <c r="J43" s="46">
        <v>3300</v>
      </c>
      <c r="K43" s="46">
        <v>9000</v>
      </c>
      <c r="L43" s="46">
        <v>9000</v>
      </c>
      <c r="M43" s="46">
        <v>6000</v>
      </c>
      <c r="N43" s="46"/>
      <c r="O43" s="46"/>
      <c r="P43" s="43">
        <f t="shared" si="2"/>
        <v>51000</v>
      </c>
      <c r="Q43" s="43">
        <f t="shared" si="3"/>
        <v>170</v>
      </c>
    </row>
    <row r="44" spans="1:18" x14ac:dyDescent="0.2">
      <c r="A44" s="43">
        <v>35</v>
      </c>
      <c r="B44" s="44" t="s">
        <v>403</v>
      </c>
      <c r="C44" s="45" t="s">
        <v>179</v>
      </c>
      <c r="D44" s="43">
        <v>10</v>
      </c>
      <c r="E44" s="43">
        <v>300</v>
      </c>
      <c r="F44" s="46">
        <v>3000</v>
      </c>
      <c r="G44" s="46"/>
      <c r="H44" s="46">
        <v>3000</v>
      </c>
      <c r="I44" s="46"/>
      <c r="J44" s="46">
        <v>3000</v>
      </c>
      <c r="K44" s="46">
        <v>3000</v>
      </c>
      <c r="L44" s="46">
        <v>2100</v>
      </c>
      <c r="M44" s="46">
        <v>3900</v>
      </c>
      <c r="N44" s="46"/>
      <c r="O44" s="46"/>
      <c r="P44" s="43">
        <f t="shared" si="2"/>
        <v>18000</v>
      </c>
      <c r="Q44" s="43">
        <f t="shared" si="3"/>
        <v>60</v>
      </c>
    </row>
    <row r="45" spans="1:18" x14ac:dyDescent="0.2">
      <c r="A45" s="43">
        <v>36</v>
      </c>
      <c r="B45" s="117" t="s">
        <v>442</v>
      </c>
      <c r="C45" s="45" t="s">
        <v>197</v>
      </c>
      <c r="D45" s="43">
        <v>10</v>
      </c>
      <c r="E45" s="43">
        <v>1300</v>
      </c>
      <c r="F45" s="46"/>
      <c r="G45" s="46"/>
      <c r="H45" s="46">
        <v>5200</v>
      </c>
      <c r="I45" s="46">
        <v>1300</v>
      </c>
      <c r="J45" s="46"/>
      <c r="K45" s="46">
        <v>2600</v>
      </c>
      <c r="L45" s="46">
        <v>2600</v>
      </c>
      <c r="M45" s="46">
        <v>2600</v>
      </c>
      <c r="N45" s="46"/>
      <c r="O45" s="46"/>
      <c r="P45" s="43">
        <f t="shared" si="2"/>
        <v>14300</v>
      </c>
      <c r="Q45" s="43">
        <f t="shared" si="3"/>
        <v>11</v>
      </c>
    </row>
    <row r="46" spans="1:18" x14ac:dyDescent="0.2">
      <c r="A46" s="43">
        <v>37</v>
      </c>
      <c r="B46" s="117" t="s">
        <v>443</v>
      </c>
      <c r="C46" s="45" t="s">
        <v>198</v>
      </c>
      <c r="D46" s="43">
        <v>10</v>
      </c>
      <c r="E46" s="43">
        <v>800</v>
      </c>
      <c r="F46" s="46">
        <v>800</v>
      </c>
      <c r="G46" s="46">
        <v>1600</v>
      </c>
      <c r="H46" s="46"/>
      <c r="I46" s="46">
        <v>4800</v>
      </c>
      <c r="J46" s="46"/>
      <c r="K46" s="46">
        <v>3200</v>
      </c>
      <c r="L46" s="46">
        <v>3200</v>
      </c>
      <c r="M46" s="46">
        <v>3200</v>
      </c>
      <c r="N46" s="46"/>
      <c r="O46" s="46"/>
      <c r="P46" s="43">
        <f t="shared" si="2"/>
        <v>16800</v>
      </c>
      <c r="Q46" s="43">
        <f t="shared" si="3"/>
        <v>21</v>
      </c>
    </row>
    <row r="47" spans="1:18" x14ac:dyDescent="0.2">
      <c r="A47" s="43">
        <v>38</v>
      </c>
      <c r="B47" s="117" t="s">
        <v>444</v>
      </c>
      <c r="C47" s="45" t="s">
        <v>207</v>
      </c>
      <c r="D47" s="43">
        <v>10</v>
      </c>
      <c r="E47" s="43">
        <v>450</v>
      </c>
      <c r="F47" s="46">
        <v>450</v>
      </c>
      <c r="G47" s="46">
        <v>1800</v>
      </c>
      <c r="H47" s="46">
        <v>2250</v>
      </c>
      <c r="I47" s="46">
        <v>2250</v>
      </c>
      <c r="J47" s="46">
        <v>4500</v>
      </c>
      <c r="K47" s="46">
        <v>2250</v>
      </c>
      <c r="L47" s="46">
        <v>2250</v>
      </c>
      <c r="M47" s="46">
        <v>2250</v>
      </c>
      <c r="N47" s="46"/>
      <c r="O47" s="46"/>
      <c r="P47" s="43">
        <f t="shared" si="2"/>
        <v>18000</v>
      </c>
      <c r="Q47" s="43">
        <f t="shared" si="3"/>
        <v>40</v>
      </c>
    </row>
    <row r="48" spans="1:18" x14ac:dyDescent="0.2">
      <c r="A48" s="43">
        <v>39</v>
      </c>
      <c r="B48" s="44" t="s">
        <v>404</v>
      </c>
      <c r="C48" s="45" t="s">
        <v>238</v>
      </c>
      <c r="D48" s="43">
        <v>10</v>
      </c>
      <c r="E48" s="43">
        <v>450</v>
      </c>
      <c r="F48" s="46"/>
      <c r="G48" s="46">
        <v>1800</v>
      </c>
      <c r="H48" s="46">
        <v>1350</v>
      </c>
      <c r="I48" s="46"/>
      <c r="J48" s="46">
        <v>1350</v>
      </c>
      <c r="K48" s="46">
        <v>1350</v>
      </c>
      <c r="L48" s="46">
        <v>1350</v>
      </c>
      <c r="M48" s="46">
        <v>1350</v>
      </c>
      <c r="N48" s="46"/>
      <c r="O48" s="46"/>
      <c r="P48" s="43">
        <f t="shared" si="2"/>
        <v>8550</v>
      </c>
      <c r="Q48" s="43">
        <f t="shared" si="3"/>
        <v>19</v>
      </c>
    </row>
    <row r="49" spans="1:17" x14ac:dyDescent="0.2">
      <c r="A49" s="43">
        <v>40</v>
      </c>
      <c r="B49" s="117" t="s">
        <v>440</v>
      </c>
      <c r="C49" s="45" t="s">
        <v>26</v>
      </c>
      <c r="D49" s="43">
        <v>10</v>
      </c>
      <c r="E49" s="46">
        <v>330</v>
      </c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3">
        <f t="shared" si="2"/>
        <v>0</v>
      </c>
      <c r="Q49" s="43">
        <f t="shared" si="3"/>
        <v>0</v>
      </c>
    </row>
    <row r="50" spans="1:17" x14ac:dyDescent="0.2">
      <c r="A50" s="43">
        <v>41</v>
      </c>
      <c r="B50" s="117" t="s">
        <v>440</v>
      </c>
      <c r="C50" s="45" t="s">
        <v>26</v>
      </c>
      <c r="D50" s="43">
        <v>10</v>
      </c>
      <c r="E50" s="46">
        <v>320</v>
      </c>
      <c r="F50" s="46">
        <v>320</v>
      </c>
      <c r="G50" s="46">
        <v>640</v>
      </c>
      <c r="H50" s="46"/>
      <c r="I50" s="46"/>
      <c r="J50" s="46"/>
      <c r="K50" s="46">
        <v>320</v>
      </c>
      <c r="L50" s="46">
        <v>320</v>
      </c>
      <c r="M50" s="46"/>
      <c r="N50" s="46"/>
      <c r="O50" s="46"/>
      <c r="P50" s="43">
        <f t="shared" si="2"/>
        <v>1600</v>
      </c>
      <c r="Q50" s="43">
        <f t="shared" si="3"/>
        <v>5</v>
      </c>
    </row>
    <row r="51" spans="1:17" x14ac:dyDescent="0.2">
      <c r="A51" s="43">
        <v>42</v>
      </c>
      <c r="B51" s="117" t="s">
        <v>441</v>
      </c>
      <c r="C51" s="45" t="s">
        <v>31</v>
      </c>
      <c r="D51" s="43">
        <v>10</v>
      </c>
      <c r="E51" s="46">
        <v>230</v>
      </c>
      <c r="F51" s="46">
        <v>1380</v>
      </c>
      <c r="G51" s="46">
        <v>460</v>
      </c>
      <c r="H51" s="46">
        <v>2300</v>
      </c>
      <c r="I51" s="46">
        <v>1380</v>
      </c>
      <c r="J51" s="46"/>
      <c r="K51" s="46">
        <v>2300</v>
      </c>
      <c r="L51" s="46">
        <v>1380</v>
      </c>
      <c r="M51" s="46">
        <v>1380</v>
      </c>
      <c r="N51" s="46"/>
      <c r="O51" s="46"/>
      <c r="P51" s="43">
        <f t="shared" si="2"/>
        <v>10580</v>
      </c>
      <c r="Q51" s="43">
        <f t="shared" si="3"/>
        <v>46</v>
      </c>
    </row>
    <row r="52" spans="1:17" x14ac:dyDescent="0.2">
      <c r="A52" s="43">
        <v>43</v>
      </c>
      <c r="B52" s="44" t="s">
        <v>405</v>
      </c>
      <c r="C52" s="45" t="s">
        <v>173</v>
      </c>
      <c r="D52" s="43">
        <v>10</v>
      </c>
      <c r="E52" s="46">
        <v>230</v>
      </c>
      <c r="F52" s="46"/>
      <c r="G52" s="46">
        <v>1150</v>
      </c>
      <c r="H52" s="46">
        <v>2300</v>
      </c>
      <c r="I52" s="46">
        <v>1150</v>
      </c>
      <c r="J52" s="46">
        <v>230</v>
      </c>
      <c r="K52" s="46">
        <v>1840</v>
      </c>
      <c r="L52" s="46">
        <v>1380</v>
      </c>
      <c r="M52" s="46">
        <v>1380</v>
      </c>
      <c r="N52" s="46"/>
      <c r="O52" s="46"/>
      <c r="P52" s="43">
        <f t="shared" si="2"/>
        <v>9430</v>
      </c>
      <c r="Q52" s="43">
        <f t="shared" si="3"/>
        <v>41</v>
      </c>
    </row>
    <row r="53" spans="1:17" x14ac:dyDescent="0.2">
      <c r="A53" s="43">
        <v>44</v>
      </c>
      <c r="B53" s="44" t="s">
        <v>445</v>
      </c>
      <c r="C53" s="45" t="s">
        <v>209</v>
      </c>
      <c r="D53" s="43">
        <v>10</v>
      </c>
      <c r="E53" s="46">
        <v>400</v>
      </c>
      <c r="F53" s="46"/>
      <c r="G53" s="46">
        <v>400</v>
      </c>
      <c r="H53" s="46">
        <v>400</v>
      </c>
      <c r="I53" s="46"/>
      <c r="J53" s="46">
        <v>400</v>
      </c>
      <c r="K53" s="46">
        <v>400</v>
      </c>
      <c r="L53" s="46">
        <v>800</v>
      </c>
      <c r="M53" s="46">
        <v>400</v>
      </c>
      <c r="N53" s="46"/>
      <c r="O53" s="46"/>
      <c r="P53" s="43">
        <f t="shared" si="2"/>
        <v>2800</v>
      </c>
      <c r="Q53" s="43">
        <f t="shared" si="3"/>
        <v>7</v>
      </c>
    </row>
    <row r="54" spans="1:17" x14ac:dyDescent="0.2">
      <c r="A54" s="43">
        <v>45</v>
      </c>
      <c r="B54" s="98" t="s">
        <v>409</v>
      </c>
      <c r="C54" s="45" t="s">
        <v>296</v>
      </c>
      <c r="D54" s="43">
        <v>10</v>
      </c>
      <c r="E54" s="46">
        <v>400</v>
      </c>
      <c r="F54" s="46"/>
      <c r="G54" s="46"/>
      <c r="H54" s="46">
        <v>1600</v>
      </c>
      <c r="I54" s="46"/>
      <c r="J54" s="46">
        <v>400</v>
      </c>
      <c r="K54" s="46">
        <v>400</v>
      </c>
      <c r="L54" s="46">
        <v>800</v>
      </c>
      <c r="M54" s="46">
        <v>400</v>
      </c>
      <c r="N54" s="46"/>
      <c r="O54" s="46"/>
      <c r="P54" s="43">
        <f t="shared" si="2"/>
        <v>3600</v>
      </c>
      <c r="Q54" s="43">
        <f t="shared" si="3"/>
        <v>9</v>
      </c>
    </row>
    <row r="55" spans="1:17" x14ac:dyDescent="0.2">
      <c r="A55" s="43">
        <v>46</v>
      </c>
      <c r="B55" s="44" t="s">
        <v>446</v>
      </c>
      <c r="C55" s="45" t="s">
        <v>211</v>
      </c>
      <c r="D55" s="43">
        <v>10</v>
      </c>
      <c r="E55" s="46">
        <v>300</v>
      </c>
      <c r="F55" s="46">
        <v>300</v>
      </c>
      <c r="G55" s="46">
        <v>300</v>
      </c>
      <c r="H55" s="46">
        <v>600</v>
      </c>
      <c r="I55" s="46">
        <v>600</v>
      </c>
      <c r="J55" s="46"/>
      <c r="K55" s="46">
        <v>300</v>
      </c>
      <c r="L55" s="46">
        <v>900</v>
      </c>
      <c r="M55" s="46">
        <v>300</v>
      </c>
      <c r="N55" s="46"/>
      <c r="O55" s="46"/>
      <c r="P55" s="43">
        <f t="shared" si="2"/>
        <v>3300</v>
      </c>
      <c r="Q55" s="43">
        <f t="shared" si="3"/>
        <v>11</v>
      </c>
    </row>
    <row r="56" spans="1:17" x14ac:dyDescent="0.2">
      <c r="A56" s="43">
        <v>47</v>
      </c>
      <c r="B56" s="44" t="s">
        <v>406</v>
      </c>
      <c r="C56" s="45" t="s">
        <v>237</v>
      </c>
      <c r="D56" s="43">
        <v>10</v>
      </c>
      <c r="E56" s="46">
        <v>300</v>
      </c>
      <c r="F56" s="46">
        <v>1500</v>
      </c>
      <c r="G56" s="46">
        <v>1500</v>
      </c>
      <c r="H56" s="46">
        <v>300</v>
      </c>
      <c r="I56" s="46"/>
      <c r="J56" s="46">
        <v>5700</v>
      </c>
      <c r="K56" s="46">
        <v>3000</v>
      </c>
      <c r="L56" s="46">
        <v>3000</v>
      </c>
      <c r="M56" s="46">
        <v>1200</v>
      </c>
      <c r="N56" s="46"/>
      <c r="O56" s="46"/>
      <c r="P56" s="43">
        <f t="shared" si="2"/>
        <v>16200</v>
      </c>
      <c r="Q56" s="43">
        <f t="shared" si="3"/>
        <v>54</v>
      </c>
    </row>
    <row r="57" spans="1:17" x14ac:dyDescent="0.2">
      <c r="A57" s="43">
        <v>48</v>
      </c>
      <c r="B57" s="44" t="s">
        <v>447</v>
      </c>
      <c r="C57" s="45" t="s">
        <v>160</v>
      </c>
      <c r="D57" s="43">
        <v>10</v>
      </c>
      <c r="E57" s="46">
        <v>160</v>
      </c>
      <c r="F57" s="46">
        <v>320</v>
      </c>
      <c r="G57" s="46">
        <v>2880</v>
      </c>
      <c r="H57" s="46">
        <v>480</v>
      </c>
      <c r="I57" s="46">
        <v>1120</v>
      </c>
      <c r="J57" s="46">
        <v>160</v>
      </c>
      <c r="K57" s="46">
        <v>1600</v>
      </c>
      <c r="L57" s="46">
        <v>1600</v>
      </c>
      <c r="M57" s="46"/>
      <c r="N57" s="46"/>
      <c r="O57" s="46"/>
      <c r="P57" s="43">
        <f t="shared" si="2"/>
        <v>8160</v>
      </c>
      <c r="Q57" s="43">
        <f t="shared" si="3"/>
        <v>51</v>
      </c>
    </row>
    <row r="58" spans="1:17" x14ac:dyDescent="0.2">
      <c r="A58" s="43">
        <v>49</v>
      </c>
      <c r="B58" s="247" t="s">
        <v>407</v>
      </c>
      <c r="C58" s="45" t="s">
        <v>172</v>
      </c>
      <c r="D58" s="43">
        <v>10</v>
      </c>
      <c r="E58" s="43">
        <v>160</v>
      </c>
      <c r="F58" s="46"/>
      <c r="G58" s="46">
        <v>2400</v>
      </c>
      <c r="H58" s="46">
        <v>2400</v>
      </c>
      <c r="I58" s="46"/>
      <c r="J58" s="46">
        <v>2400</v>
      </c>
      <c r="K58" s="46">
        <v>2400</v>
      </c>
      <c r="L58" s="46">
        <v>2400</v>
      </c>
      <c r="M58" s="46">
        <v>1600</v>
      </c>
      <c r="N58" s="46"/>
      <c r="O58" s="46"/>
      <c r="P58" s="43">
        <f t="shared" si="2"/>
        <v>13600</v>
      </c>
      <c r="Q58" s="43">
        <f t="shared" si="3"/>
        <v>85</v>
      </c>
    </row>
    <row r="59" spans="1:17" x14ac:dyDescent="0.2">
      <c r="A59" s="43">
        <v>50</v>
      </c>
      <c r="B59" s="246" t="s">
        <v>448</v>
      </c>
      <c r="C59" s="45" t="s">
        <v>19</v>
      </c>
      <c r="D59" s="239">
        <v>10</v>
      </c>
      <c r="E59" s="43">
        <v>130</v>
      </c>
      <c r="F59" s="46"/>
      <c r="G59" s="46">
        <v>260</v>
      </c>
      <c r="H59" s="46"/>
      <c r="I59" s="46"/>
      <c r="J59" s="46">
        <v>650</v>
      </c>
      <c r="K59" s="46">
        <v>130</v>
      </c>
      <c r="L59" s="46"/>
      <c r="M59" s="46"/>
      <c r="N59" s="46"/>
      <c r="O59" s="46"/>
      <c r="P59" s="43">
        <f t="shared" si="2"/>
        <v>1040</v>
      </c>
      <c r="Q59" s="43">
        <f t="shared" si="3"/>
        <v>8</v>
      </c>
    </row>
    <row r="60" spans="1:17" x14ac:dyDescent="0.2">
      <c r="A60" s="43">
        <v>51</v>
      </c>
      <c r="B60" s="117" t="s">
        <v>449</v>
      </c>
      <c r="C60" s="45" t="s">
        <v>287</v>
      </c>
      <c r="D60" s="239">
        <v>10</v>
      </c>
      <c r="E60" s="46">
        <v>110</v>
      </c>
      <c r="F60" s="46">
        <v>1210</v>
      </c>
      <c r="G60" s="46"/>
      <c r="H60" s="46"/>
      <c r="I60" s="46"/>
      <c r="J60" s="46">
        <v>1320</v>
      </c>
      <c r="K60" s="46"/>
      <c r="L60" s="46">
        <v>1100</v>
      </c>
      <c r="M60" s="46">
        <v>550</v>
      </c>
      <c r="N60" s="46"/>
      <c r="O60" s="46"/>
      <c r="P60" s="43">
        <f t="shared" si="2"/>
        <v>4180</v>
      </c>
      <c r="Q60" s="43">
        <f t="shared" si="3"/>
        <v>38</v>
      </c>
    </row>
    <row r="61" spans="1:17" x14ac:dyDescent="0.2">
      <c r="A61" s="43">
        <v>52</v>
      </c>
      <c r="B61" s="117" t="s">
        <v>450</v>
      </c>
      <c r="C61" s="45" t="s">
        <v>21</v>
      </c>
      <c r="D61" s="43">
        <v>10</v>
      </c>
      <c r="E61" s="46">
        <v>80</v>
      </c>
      <c r="F61" s="46">
        <v>640</v>
      </c>
      <c r="G61" s="46">
        <v>800</v>
      </c>
      <c r="H61" s="46"/>
      <c r="I61" s="46"/>
      <c r="J61" s="46">
        <v>1440</v>
      </c>
      <c r="K61" s="46"/>
      <c r="L61" s="46">
        <v>1120</v>
      </c>
      <c r="M61" s="46">
        <v>640</v>
      </c>
      <c r="N61" s="46"/>
      <c r="O61" s="46"/>
      <c r="P61" s="43">
        <f t="shared" si="2"/>
        <v>4640</v>
      </c>
      <c r="Q61" s="43">
        <f t="shared" si="3"/>
        <v>58</v>
      </c>
    </row>
    <row r="62" spans="1:17" x14ac:dyDescent="0.2">
      <c r="A62" s="43">
        <v>53</v>
      </c>
      <c r="B62" s="117" t="s">
        <v>451</v>
      </c>
      <c r="C62" s="116" t="s">
        <v>304</v>
      </c>
      <c r="D62" s="43">
        <v>5</v>
      </c>
      <c r="E62" s="46">
        <v>75</v>
      </c>
      <c r="F62" s="46"/>
      <c r="G62" s="46"/>
      <c r="H62" s="46">
        <v>450</v>
      </c>
      <c r="I62" s="46"/>
      <c r="J62" s="46">
        <v>300</v>
      </c>
      <c r="K62" s="46">
        <v>300</v>
      </c>
      <c r="L62" s="46">
        <v>300</v>
      </c>
      <c r="M62" s="46">
        <v>300</v>
      </c>
      <c r="N62" s="46"/>
      <c r="O62" s="46"/>
      <c r="P62" s="43">
        <f t="shared" si="2"/>
        <v>1650</v>
      </c>
      <c r="Q62" s="43">
        <f t="shared" si="3"/>
        <v>22</v>
      </c>
    </row>
    <row r="63" spans="1:17" x14ac:dyDescent="0.2">
      <c r="A63" s="43">
        <v>54</v>
      </c>
      <c r="B63" s="117" t="s">
        <v>452</v>
      </c>
      <c r="C63" s="116" t="s">
        <v>36</v>
      </c>
      <c r="D63" s="43">
        <v>5</v>
      </c>
      <c r="E63" s="46">
        <v>50</v>
      </c>
      <c r="F63" s="46">
        <v>250</v>
      </c>
      <c r="G63" s="46"/>
      <c r="H63" s="46">
        <v>2000</v>
      </c>
      <c r="I63" s="46">
        <v>500</v>
      </c>
      <c r="J63" s="46"/>
      <c r="K63" s="46">
        <v>500</v>
      </c>
      <c r="L63" s="46">
        <v>500</v>
      </c>
      <c r="M63" s="46">
        <v>500</v>
      </c>
      <c r="N63" s="46"/>
      <c r="O63" s="46"/>
      <c r="P63" s="43">
        <f t="shared" si="2"/>
        <v>4250</v>
      </c>
      <c r="Q63" s="43">
        <f t="shared" si="3"/>
        <v>85</v>
      </c>
    </row>
    <row r="64" spans="1:17" x14ac:dyDescent="0.2">
      <c r="A64" s="43">
        <v>55</v>
      </c>
      <c r="B64" s="44" t="s">
        <v>453</v>
      </c>
      <c r="C64" s="116" t="s">
        <v>260</v>
      </c>
      <c r="D64" s="43">
        <v>5</v>
      </c>
      <c r="E64" s="46">
        <v>35</v>
      </c>
      <c r="F64" s="46"/>
      <c r="G64" s="46"/>
      <c r="H64" s="46"/>
      <c r="I64" s="46">
        <v>665</v>
      </c>
      <c r="J64" s="46">
        <v>35</v>
      </c>
      <c r="K64" s="46"/>
      <c r="L64" s="46">
        <v>350</v>
      </c>
      <c r="M64" s="46"/>
      <c r="N64" s="46"/>
      <c r="O64" s="46"/>
      <c r="P64" s="43">
        <f t="shared" si="2"/>
        <v>1050</v>
      </c>
      <c r="Q64" s="43">
        <f t="shared" si="3"/>
        <v>30</v>
      </c>
    </row>
    <row r="65" spans="1:17" x14ac:dyDescent="0.2">
      <c r="A65" s="43"/>
      <c r="B65" s="117"/>
      <c r="C65" s="45"/>
      <c r="D65" s="43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3"/>
      <c r="Q65" s="43"/>
    </row>
    <row r="66" spans="1:17" x14ac:dyDescent="0.2">
      <c r="A66" s="428" t="s">
        <v>135</v>
      </c>
      <c r="B66" s="429"/>
      <c r="C66" s="429"/>
      <c r="D66" s="429"/>
      <c r="E66" s="430"/>
      <c r="F66" s="18">
        <f t="shared" ref="F66:P66" si="4">SUM(F7:F65)</f>
        <v>189890</v>
      </c>
      <c r="G66" s="18">
        <f t="shared" si="4"/>
        <v>152460</v>
      </c>
      <c r="H66" s="18">
        <f t="shared" si="4"/>
        <v>156720</v>
      </c>
      <c r="I66" s="18">
        <f t="shared" si="4"/>
        <v>122265</v>
      </c>
      <c r="J66" s="18">
        <f t="shared" si="4"/>
        <v>107035</v>
      </c>
      <c r="K66" s="18">
        <f t="shared" si="4"/>
        <v>149030</v>
      </c>
      <c r="L66" s="18">
        <f t="shared" si="4"/>
        <v>221430</v>
      </c>
      <c r="M66" s="18">
        <f t="shared" si="4"/>
        <v>79100</v>
      </c>
      <c r="N66" s="18">
        <f t="shared" si="4"/>
        <v>0</v>
      </c>
      <c r="O66" s="18">
        <f t="shared" si="4"/>
        <v>0</v>
      </c>
      <c r="P66" s="18">
        <f t="shared" si="4"/>
        <v>1177930</v>
      </c>
      <c r="Q66" s="15"/>
    </row>
    <row r="67" spans="1:17" x14ac:dyDescent="0.2">
      <c r="A67" s="424" t="s">
        <v>184</v>
      </c>
      <c r="B67" s="424"/>
      <c r="C67" s="424"/>
      <c r="D67" s="424"/>
      <c r="E67" s="424"/>
      <c r="Q67" s="242">
        <f>SUM(Q7:Q65)</f>
        <v>1807</v>
      </c>
    </row>
    <row r="68" spans="1:17" x14ac:dyDescent="0.2">
      <c r="Q68" s="241">
        <f>SUM(F3:O3)</f>
        <v>1807</v>
      </c>
    </row>
  </sheetData>
  <mergeCells count="7">
    <mergeCell ref="A67:E67"/>
    <mergeCell ref="A1:E1"/>
    <mergeCell ref="P1:Q1"/>
    <mergeCell ref="A2:E2"/>
    <mergeCell ref="D3:E3"/>
    <mergeCell ref="D4:E4"/>
    <mergeCell ref="A66:E66"/>
  </mergeCells>
  <pageMargins left="0.51181102362204722" right="0.51181102362204722" top="0.51181102362204722" bottom="0.51181102362204722" header="0" footer="0"/>
  <pageSetup paperSize="9" fitToWidth="0" fitToHeight="0" orientation="landscape" blackAndWhite="1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"/>
  <sheetViews>
    <sheetView zoomScaleNormal="100" workbookViewId="0">
      <pane xSplit="5" ySplit="5" topLeftCell="Q51" activePane="bottomRight" state="frozenSplit"/>
      <selection pane="topRight" activeCell="G1" sqref="G1"/>
      <selection pane="bottomLeft" activeCell="A17" sqref="A17"/>
      <selection pane="bottomRight" activeCell="A2" sqref="A2:E2"/>
    </sheetView>
  </sheetViews>
  <sheetFormatPr defaultRowHeight="12.75" x14ac:dyDescent="0.2"/>
  <cols>
    <col min="1" max="1" width="4.28515625" style="47" bestFit="1" customWidth="1"/>
    <col min="2" max="2" width="10.85546875" style="47" bestFit="1" customWidth="1"/>
    <col min="3" max="3" width="34.5703125" style="47" bestFit="1" customWidth="1"/>
    <col min="4" max="4" width="5.85546875" style="47" bestFit="1" customWidth="1"/>
    <col min="5" max="5" width="5" style="47" bestFit="1" customWidth="1"/>
    <col min="6" max="14" width="10.140625" style="47" customWidth="1"/>
    <col min="15" max="16" width="8.140625" style="47" customWidth="1"/>
    <col min="17" max="17" width="10.5703125" style="241" bestFit="1" customWidth="1"/>
    <col min="18" max="18" width="9.28515625" style="241" bestFit="1" customWidth="1"/>
    <col min="19" max="16384" width="9.140625" style="47"/>
  </cols>
  <sheetData>
    <row r="1" spans="1:18" x14ac:dyDescent="0.2">
      <c r="A1" s="425" t="s">
        <v>581</v>
      </c>
      <c r="B1" s="426"/>
      <c r="C1" s="426"/>
      <c r="D1" s="426"/>
      <c r="E1" s="427"/>
      <c r="F1" s="274">
        <v>4010</v>
      </c>
      <c r="G1" s="274">
        <v>4012</v>
      </c>
      <c r="H1" s="276">
        <v>4014</v>
      </c>
      <c r="I1" s="278">
        <v>4016</v>
      </c>
      <c r="J1" s="358">
        <v>4017</v>
      </c>
      <c r="K1" s="360">
        <v>4018</v>
      </c>
      <c r="L1" s="363">
        <v>5001</v>
      </c>
      <c r="M1" s="365">
        <v>5004</v>
      </c>
      <c r="N1" s="367">
        <v>5005</v>
      </c>
      <c r="O1" s="274"/>
      <c r="P1" s="274" t="s">
        <v>318</v>
      </c>
      <c r="Q1" s="412" t="s">
        <v>138</v>
      </c>
      <c r="R1" s="412"/>
    </row>
    <row r="2" spans="1:18" x14ac:dyDescent="0.2">
      <c r="A2" s="428" t="s">
        <v>42</v>
      </c>
      <c r="B2" s="426"/>
      <c r="C2" s="426"/>
      <c r="D2" s="426"/>
      <c r="E2" s="427"/>
      <c r="F2" s="275" t="s">
        <v>479</v>
      </c>
      <c r="G2" s="275" t="s">
        <v>480</v>
      </c>
      <c r="H2" s="277" t="s">
        <v>481</v>
      </c>
      <c r="I2" s="279" t="s">
        <v>482</v>
      </c>
      <c r="J2" s="359" t="s">
        <v>550</v>
      </c>
      <c r="K2" s="361" t="s">
        <v>551</v>
      </c>
      <c r="L2" s="364" t="s">
        <v>552</v>
      </c>
      <c r="M2" s="366" t="s">
        <v>553</v>
      </c>
      <c r="N2" s="368" t="s">
        <v>554</v>
      </c>
      <c r="O2" s="275"/>
      <c r="P2" s="275" t="s">
        <v>319</v>
      </c>
      <c r="Q2" s="18" t="s">
        <v>116</v>
      </c>
      <c r="R2" s="18" t="s">
        <v>5</v>
      </c>
    </row>
    <row r="3" spans="1:18" x14ac:dyDescent="0.2">
      <c r="A3" s="232"/>
      <c r="B3" s="232"/>
      <c r="C3" s="232"/>
      <c r="D3" s="428" t="s">
        <v>140</v>
      </c>
      <c r="E3" s="429"/>
      <c r="F3" s="275">
        <v>186</v>
      </c>
      <c r="G3" s="275">
        <v>166</v>
      </c>
      <c r="H3" s="277">
        <v>148</v>
      </c>
      <c r="I3" s="279">
        <v>180</v>
      </c>
      <c r="J3" s="359">
        <v>12</v>
      </c>
      <c r="K3" s="361">
        <v>210</v>
      </c>
      <c r="L3" s="364">
        <v>169</v>
      </c>
      <c r="M3" s="366">
        <v>246</v>
      </c>
      <c r="N3" s="368">
        <v>317</v>
      </c>
      <c r="O3" s="275"/>
      <c r="P3" s="275" t="s">
        <v>320</v>
      </c>
      <c r="Q3" s="15"/>
      <c r="R3" s="15"/>
    </row>
    <row r="4" spans="1:18" ht="25.5" x14ac:dyDescent="0.2">
      <c r="A4" s="233" t="s">
        <v>1</v>
      </c>
      <c r="B4" s="234" t="s">
        <v>2</v>
      </c>
      <c r="C4" s="234" t="s">
        <v>0</v>
      </c>
      <c r="D4" s="412" t="s">
        <v>3</v>
      </c>
      <c r="E4" s="425"/>
      <c r="F4" s="275" t="s">
        <v>116</v>
      </c>
      <c r="G4" s="275" t="s">
        <v>116</v>
      </c>
      <c r="H4" s="277" t="s">
        <v>116</v>
      </c>
      <c r="I4" s="279" t="s">
        <v>116</v>
      </c>
      <c r="J4" s="359" t="s">
        <v>116</v>
      </c>
      <c r="K4" s="361" t="s">
        <v>116</v>
      </c>
      <c r="L4" s="364" t="s">
        <v>116</v>
      </c>
      <c r="M4" s="366" t="s">
        <v>116</v>
      </c>
      <c r="N4" s="368" t="s">
        <v>116</v>
      </c>
      <c r="O4" s="275" t="s">
        <v>116</v>
      </c>
      <c r="P4" s="275" t="s">
        <v>116</v>
      </c>
      <c r="Q4" s="15"/>
      <c r="R4" s="15"/>
    </row>
    <row r="5" spans="1:18" x14ac:dyDescent="0.2">
      <c r="A5" s="15"/>
      <c r="B5" s="3"/>
      <c r="C5" s="3"/>
      <c r="D5" s="18" t="s">
        <v>4</v>
      </c>
      <c r="E5" s="235" t="s">
        <v>5</v>
      </c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15"/>
      <c r="R5" s="15"/>
    </row>
    <row r="6" spans="1:18" x14ac:dyDescent="0.2">
      <c r="A6" s="236"/>
      <c r="B6" s="237"/>
      <c r="C6" s="237"/>
      <c r="D6" s="236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6"/>
      <c r="R6" s="236"/>
    </row>
    <row r="7" spans="1:18" x14ac:dyDescent="0.2">
      <c r="A7" s="43">
        <v>1</v>
      </c>
      <c r="B7" s="117" t="s">
        <v>410</v>
      </c>
      <c r="C7" s="45" t="s">
        <v>24</v>
      </c>
      <c r="D7" s="43">
        <v>50</v>
      </c>
      <c r="E7" s="46">
        <v>2800</v>
      </c>
      <c r="F7" s="46">
        <v>2800</v>
      </c>
      <c r="G7" s="46"/>
      <c r="H7" s="46">
        <v>5600</v>
      </c>
      <c r="I7" s="46">
        <v>2800</v>
      </c>
      <c r="J7" s="46"/>
      <c r="K7" s="46">
        <v>2800</v>
      </c>
      <c r="L7" s="46"/>
      <c r="M7" s="46"/>
      <c r="N7" s="46">
        <v>5600</v>
      </c>
      <c r="O7" s="46"/>
      <c r="P7" s="46"/>
      <c r="Q7" s="43">
        <f t="shared" ref="Q7:Q38" si="0">SUM(F7:P7)</f>
        <v>19600</v>
      </c>
      <c r="R7" s="43">
        <f t="shared" ref="R7:R38" si="1">Q7/E7</f>
        <v>7</v>
      </c>
    </row>
    <row r="8" spans="1:18" x14ac:dyDescent="0.2">
      <c r="A8" s="43">
        <v>2</v>
      </c>
      <c r="B8" s="117" t="s">
        <v>142</v>
      </c>
      <c r="C8" s="45" t="s">
        <v>143</v>
      </c>
      <c r="D8" s="43">
        <v>50</v>
      </c>
      <c r="E8" s="46">
        <v>550</v>
      </c>
      <c r="F8" s="46"/>
      <c r="G8" s="46"/>
      <c r="H8" s="46"/>
      <c r="I8" s="46"/>
      <c r="J8" s="46"/>
      <c r="K8" s="46"/>
      <c r="L8" s="46"/>
      <c r="M8" s="46">
        <v>3300</v>
      </c>
      <c r="N8" s="46">
        <v>3300</v>
      </c>
      <c r="O8" s="46"/>
      <c r="P8" s="46"/>
      <c r="Q8" s="43">
        <f t="shared" si="0"/>
        <v>6600</v>
      </c>
      <c r="R8" s="43">
        <f t="shared" si="1"/>
        <v>12</v>
      </c>
    </row>
    <row r="9" spans="1:18" x14ac:dyDescent="0.2">
      <c r="A9" s="43">
        <v>3</v>
      </c>
      <c r="B9" s="117" t="s">
        <v>411</v>
      </c>
      <c r="C9" s="45" t="s">
        <v>171</v>
      </c>
      <c r="D9" s="43">
        <v>10</v>
      </c>
      <c r="E9" s="46">
        <v>1200</v>
      </c>
      <c r="F9" s="46">
        <v>2400</v>
      </c>
      <c r="G9" s="46"/>
      <c r="H9" s="46"/>
      <c r="I9" s="46"/>
      <c r="J9" s="46"/>
      <c r="K9" s="46"/>
      <c r="L9" s="46"/>
      <c r="M9" s="46">
        <v>4800</v>
      </c>
      <c r="N9" s="46">
        <v>4800</v>
      </c>
      <c r="O9" s="46"/>
      <c r="P9" s="46"/>
      <c r="Q9" s="43">
        <f t="shared" si="0"/>
        <v>12000</v>
      </c>
      <c r="R9" s="43">
        <f t="shared" si="1"/>
        <v>10</v>
      </c>
    </row>
    <row r="10" spans="1:18" x14ac:dyDescent="0.2">
      <c r="A10" s="43">
        <v>4</v>
      </c>
      <c r="B10" s="117" t="s">
        <v>412</v>
      </c>
      <c r="C10" s="45" t="s">
        <v>25</v>
      </c>
      <c r="D10" s="43">
        <v>50</v>
      </c>
      <c r="E10" s="46">
        <v>550</v>
      </c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3">
        <f t="shared" si="0"/>
        <v>0</v>
      </c>
      <c r="R10" s="43">
        <f t="shared" si="1"/>
        <v>0</v>
      </c>
    </row>
    <row r="11" spans="1:18" x14ac:dyDescent="0.2">
      <c r="A11" s="43">
        <v>5</v>
      </c>
      <c r="B11" s="117" t="s">
        <v>413</v>
      </c>
      <c r="C11" s="45" t="s">
        <v>22</v>
      </c>
      <c r="D11" s="43">
        <v>100</v>
      </c>
      <c r="E11" s="46">
        <v>1200</v>
      </c>
      <c r="F11" s="395">
        <v>24000</v>
      </c>
      <c r="G11" s="46"/>
      <c r="H11" s="46">
        <v>36000</v>
      </c>
      <c r="I11" s="46">
        <v>12000</v>
      </c>
      <c r="J11" s="46"/>
      <c r="K11" s="46">
        <v>24000</v>
      </c>
      <c r="L11" s="46">
        <v>12000</v>
      </c>
      <c r="M11" s="46">
        <v>12000</v>
      </c>
      <c r="N11" s="46">
        <v>14400</v>
      </c>
      <c r="O11" s="46"/>
      <c r="P11" s="46"/>
      <c r="Q11" s="43">
        <f t="shared" si="0"/>
        <v>134400</v>
      </c>
      <c r="R11" s="43">
        <f t="shared" si="1"/>
        <v>112</v>
      </c>
    </row>
    <row r="12" spans="1:18" x14ac:dyDescent="0.2">
      <c r="A12" s="43">
        <v>6</v>
      </c>
      <c r="B12" s="44" t="s">
        <v>200</v>
      </c>
      <c r="C12" s="45" t="s">
        <v>201</v>
      </c>
      <c r="D12" s="43">
        <v>10</v>
      </c>
      <c r="E12" s="46">
        <v>800</v>
      </c>
      <c r="F12" s="46">
        <v>2400</v>
      </c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3">
        <f t="shared" si="0"/>
        <v>2400</v>
      </c>
      <c r="R12" s="43">
        <f t="shared" si="1"/>
        <v>3</v>
      </c>
    </row>
    <row r="13" spans="1:18" x14ac:dyDescent="0.2">
      <c r="A13" s="43">
        <v>7</v>
      </c>
      <c r="B13" s="117" t="s">
        <v>349</v>
      </c>
      <c r="C13" s="240" t="s">
        <v>350</v>
      </c>
      <c r="D13" s="43">
        <v>10</v>
      </c>
      <c r="E13" s="46">
        <v>520</v>
      </c>
      <c r="F13" s="46"/>
      <c r="G13" s="46"/>
      <c r="H13" s="46"/>
      <c r="I13" s="46"/>
      <c r="J13" s="46"/>
      <c r="K13" s="46"/>
      <c r="L13" s="46">
        <v>520</v>
      </c>
      <c r="M13" s="46"/>
      <c r="N13" s="46"/>
      <c r="O13" s="46"/>
      <c r="P13" s="46"/>
      <c r="Q13" s="43">
        <f t="shared" si="0"/>
        <v>520</v>
      </c>
      <c r="R13" s="43">
        <f t="shared" si="1"/>
        <v>1</v>
      </c>
    </row>
    <row r="14" spans="1:18" x14ac:dyDescent="0.2">
      <c r="A14" s="249" t="s">
        <v>454</v>
      </c>
      <c r="B14" s="117" t="s">
        <v>349</v>
      </c>
      <c r="C14" s="240" t="s">
        <v>350</v>
      </c>
      <c r="D14" s="43">
        <v>10</v>
      </c>
      <c r="E14" s="46">
        <v>450</v>
      </c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3">
        <f t="shared" si="0"/>
        <v>0</v>
      </c>
      <c r="R14" s="43">
        <f t="shared" si="1"/>
        <v>0</v>
      </c>
    </row>
    <row r="15" spans="1:18" x14ac:dyDescent="0.2">
      <c r="A15" s="43">
        <v>8</v>
      </c>
      <c r="B15" s="245" t="s">
        <v>414</v>
      </c>
      <c r="C15" s="243" t="s">
        <v>397</v>
      </c>
      <c r="D15" s="244">
        <v>10</v>
      </c>
      <c r="E15" s="248">
        <v>2500</v>
      </c>
      <c r="F15" s="46">
        <v>7500</v>
      </c>
      <c r="G15" s="46"/>
      <c r="H15" s="46">
        <v>10000</v>
      </c>
      <c r="I15" s="46">
        <v>10000</v>
      </c>
      <c r="J15" s="46"/>
      <c r="K15" s="46">
        <v>10000</v>
      </c>
      <c r="L15" s="46">
        <v>15000</v>
      </c>
      <c r="M15" s="46">
        <v>5000</v>
      </c>
      <c r="N15" s="46">
        <v>10000</v>
      </c>
      <c r="O15" s="46"/>
      <c r="P15" s="46"/>
      <c r="Q15" s="43">
        <f t="shared" si="0"/>
        <v>67500</v>
      </c>
      <c r="R15" s="43">
        <f t="shared" si="1"/>
        <v>27</v>
      </c>
    </row>
    <row r="16" spans="1:18" x14ac:dyDescent="0.2">
      <c r="A16" s="43">
        <v>9</v>
      </c>
      <c r="B16" s="245" t="s">
        <v>415</v>
      </c>
      <c r="C16" s="243" t="s">
        <v>398</v>
      </c>
      <c r="D16" s="244">
        <v>10</v>
      </c>
      <c r="E16" s="248">
        <v>1500</v>
      </c>
      <c r="F16" s="46"/>
      <c r="G16" s="46"/>
      <c r="H16" s="46"/>
      <c r="I16" s="46"/>
      <c r="J16" s="46"/>
      <c r="K16" s="46"/>
      <c r="L16" s="46">
        <v>1500</v>
      </c>
      <c r="M16" s="46">
        <v>1500</v>
      </c>
      <c r="N16" s="46">
        <v>1500</v>
      </c>
      <c r="O16" s="46"/>
      <c r="P16" s="46"/>
      <c r="Q16" s="43">
        <f t="shared" si="0"/>
        <v>4500</v>
      </c>
      <c r="R16" s="43">
        <f t="shared" si="1"/>
        <v>3</v>
      </c>
    </row>
    <row r="17" spans="1:18" x14ac:dyDescent="0.2">
      <c r="A17" s="43">
        <v>10</v>
      </c>
      <c r="B17" s="117" t="s">
        <v>416</v>
      </c>
      <c r="C17" s="45" t="s">
        <v>400</v>
      </c>
      <c r="D17" s="43">
        <v>10</v>
      </c>
      <c r="E17" s="46">
        <v>900</v>
      </c>
      <c r="F17" s="46"/>
      <c r="G17" s="46"/>
      <c r="H17" s="46"/>
      <c r="I17" s="46"/>
      <c r="J17" s="46"/>
      <c r="K17" s="46"/>
      <c r="L17" s="46"/>
      <c r="M17" s="46"/>
      <c r="N17" s="46">
        <v>900</v>
      </c>
      <c r="O17" s="46"/>
      <c r="P17" s="46"/>
      <c r="Q17" s="43">
        <f t="shared" si="0"/>
        <v>900</v>
      </c>
      <c r="R17" s="43">
        <f t="shared" si="1"/>
        <v>1</v>
      </c>
    </row>
    <row r="18" spans="1:18" x14ac:dyDescent="0.2">
      <c r="A18" s="43">
        <v>11</v>
      </c>
      <c r="B18" s="117" t="s">
        <v>417</v>
      </c>
      <c r="C18" s="45" t="s">
        <v>368</v>
      </c>
      <c r="D18" s="43">
        <v>10</v>
      </c>
      <c r="E18" s="46">
        <v>1900</v>
      </c>
      <c r="F18" s="46"/>
      <c r="G18" s="46">
        <v>3800</v>
      </c>
      <c r="H18" s="46">
        <v>19000</v>
      </c>
      <c r="I18" s="46">
        <v>15200</v>
      </c>
      <c r="J18" s="46"/>
      <c r="K18" s="46">
        <v>19000</v>
      </c>
      <c r="L18" s="46">
        <v>5700</v>
      </c>
      <c r="M18" s="46"/>
      <c r="N18" s="46">
        <v>15200</v>
      </c>
      <c r="O18" s="46"/>
      <c r="P18" s="46"/>
      <c r="Q18" s="43">
        <f t="shared" si="0"/>
        <v>77900</v>
      </c>
      <c r="R18" s="43">
        <f t="shared" si="1"/>
        <v>41</v>
      </c>
    </row>
    <row r="19" spans="1:18" x14ac:dyDescent="0.2">
      <c r="A19" s="43">
        <v>12</v>
      </c>
      <c r="B19" s="117" t="s">
        <v>418</v>
      </c>
      <c r="C19" s="45" t="s">
        <v>370</v>
      </c>
      <c r="D19" s="43">
        <v>10</v>
      </c>
      <c r="E19" s="46">
        <v>890</v>
      </c>
      <c r="F19" s="46"/>
      <c r="G19" s="46"/>
      <c r="H19" s="46">
        <v>2670</v>
      </c>
      <c r="I19" s="46"/>
      <c r="J19" s="46"/>
      <c r="K19" s="46"/>
      <c r="L19" s="46">
        <v>1780</v>
      </c>
      <c r="M19" s="46"/>
      <c r="N19" s="46">
        <v>2670</v>
      </c>
      <c r="O19" s="46"/>
      <c r="P19" s="46"/>
      <c r="Q19" s="43">
        <f t="shared" si="0"/>
        <v>7120</v>
      </c>
      <c r="R19" s="43">
        <f t="shared" si="1"/>
        <v>8</v>
      </c>
    </row>
    <row r="20" spans="1:18" x14ac:dyDescent="0.2">
      <c r="A20" s="43">
        <v>13</v>
      </c>
      <c r="B20" s="117" t="s">
        <v>419</v>
      </c>
      <c r="C20" s="45" t="s">
        <v>372</v>
      </c>
      <c r="D20" s="43">
        <v>10</v>
      </c>
      <c r="E20" s="46">
        <v>600</v>
      </c>
      <c r="F20" s="46"/>
      <c r="G20" s="46"/>
      <c r="H20" s="46">
        <v>1800</v>
      </c>
      <c r="I20" s="46"/>
      <c r="J20" s="46"/>
      <c r="K20" s="46"/>
      <c r="L20" s="46">
        <v>1800</v>
      </c>
      <c r="M20" s="46"/>
      <c r="N20" s="46">
        <v>2400</v>
      </c>
      <c r="O20" s="46"/>
      <c r="P20" s="46"/>
      <c r="Q20" s="43">
        <f t="shared" si="0"/>
        <v>6000</v>
      </c>
      <c r="R20" s="43">
        <f t="shared" si="1"/>
        <v>10</v>
      </c>
    </row>
    <row r="21" spans="1:18" x14ac:dyDescent="0.2">
      <c r="A21" s="43"/>
      <c r="B21" s="117" t="s">
        <v>457</v>
      </c>
      <c r="C21" s="45" t="s">
        <v>458</v>
      </c>
      <c r="D21" s="43">
        <v>10</v>
      </c>
      <c r="E21" s="46">
        <v>2900</v>
      </c>
      <c r="F21" s="46"/>
      <c r="G21" s="46"/>
      <c r="H21" s="46">
        <v>8700</v>
      </c>
      <c r="I21" s="46"/>
      <c r="J21" s="46"/>
      <c r="K21" s="46"/>
      <c r="L21" s="46"/>
      <c r="M21" s="46"/>
      <c r="N21" s="46"/>
      <c r="O21" s="46"/>
      <c r="P21" s="46"/>
      <c r="Q21" s="43">
        <f t="shared" si="0"/>
        <v>8700</v>
      </c>
      <c r="R21" s="43">
        <f t="shared" si="1"/>
        <v>3</v>
      </c>
    </row>
    <row r="22" spans="1:18" x14ac:dyDescent="0.2">
      <c r="A22" s="43"/>
      <c r="B22" s="117" t="s">
        <v>462</v>
      </c>
      <c r="C22" s="45" t="s">
        <v>463</v>
      </c>
      <c r="D22" s="43">
        <v>10</v>
      </c>
      <c r="E22" s="46">
        <v>1700</v>
      </c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3">
        <f t="shared" si="0"/>
        <v>0</v>
      </c>
      <c r="R22" s="43">
        <f t="shared" si="1"/>
        <v>0</v>
      </c>
    </row>
    <row r="23" spans="1:18" x14ac:dyDescent="0.2">
      <c r="A23" s="43">
        <v>14</v>
      </c>
      <c r="B23" s="117" t="s">
        <v>420</v>
      </c>
      <c r="C23" s="45" t="s">
        <v>401</v>
      </c>
      <c r="D23" s="43">
        <v>10</v>
      </c>
      <c r="E23" s="46">
        <v>1000</v>
      </c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3">
        <f t="shared" si="0"/>
        <v>0</v>
      </c>
      <c r="R23" s="43">
        <f t="shared" si="1"/>
        <v>0</v>
      </c>
    </row>
    <row r="24" spans="1:18" x14ac:dyDescent="0.2">
      <c r="A24" s="43">
        <v>15</v>
      </c>
      <c r="B24" s="117" t="s">
        <v>421</v>
      </c>
      <c r="C24" s="45" t="s">
        <v>40</v>
      </c>
      <c r="D24" s="43">
        <v>50</v>
      </c>
      <c r="E24" s="46">
        <v>1750</v>
      </c>
      <c r="F24" s="46">
        <v>1750</v>
      </c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3">
        <f t="shared" si="0"/>
        <v>1750</v>
      </c>
      <c r="R24" s="43">
        <f t="shared" si="1"/>
        <v>1</v>
      </c>
    </row>
    <row r="25" spans="1:18" x14ac:dyDescent="0.2">
      <c r="A25" s="43">
        <v>16</v>
      </c>
      <c r="B25" s="117" t="s">
        <v>422</v>
      </c>
      <c r="C25" s="45" t="s">
        <v>23</v>
      </c>
      <c r="D25" s="43">
        <v>100</v>
      </c>
      <c r="E25" s="46">
        <v>1000</v>
      </c>
      <c r="F25" s="46">
        <v>5000</v>
      </c>
      <c r="G25" s="46"/>
      <c r="H25" s="46"/>
      <c r="I25" s="46"/>
      <c r="J25" s="46"/>
      <c r="K25" s="46">
        <v>2000</v>
      </c>
      <c r="L25" s="46">
        <v>4000</v>
      </c>
      <c r="M25" s="46"/>
      <c r="N25" s="46">
        <v>3000</v>
      </c>
      <c r="O25" s="46"/>
      <c r="P25" s="46"/>
      <c r="Q25" s="43">
        <f t="shared" si="0"/>
        <v>14000</v>
      </c>
      <c r="R25" s="43">
        <f t="shared" si="1"/>
        <v>14</v>
      </c>
    </row>
    <row r="26" spans="1:18" x14ac:dyDescent="0.2">
      <c r="A26" s="43">
        <v>17</v>
      </c>
      <c r="B26" s="117" t="s">
        <v>423</v>
      </c>
      <c r="C26" s="45" t="s">
        <v>37</v>
      </c>
      <c r="D26" s="43">
        <v>50</v>
      </c>
      <c r="E26" s="46">
        <v>600</v>
      </c>
      <c r="F26" s="46"/>
      <c r="G26" s="46"/>
      <c r="H26" s="46"/>
      <c r="I26" s="46">
        <v>2400</v>
      </c>
      <c r="J26" s="46"/>
      <c r="K26" s="46">
        <v>1200</v>
      </c>
      <c r="L26" s="46"/>
      <c r="M26" s="46">
        <v>1800</v>
      </c>
      <c r="N26" s="46">
        <v>1200</v>
      </c>
      <c r="O26" s="46"/>
      <c r="P26" s="46"/>
      <c r="Q26" s="43">
        <f t="shared" si="0"/>
        <v>6600</v>
      </c>
      <c r="R26" s="43">
        <f t="shared" si="1"/>
        <v>11</v>
      </c>
    </row>
    <row r="27" spans="1:18" x14ac:dyDescent="0.2">
      <c r="A27" s="43">
        <v>18</v>
      </c>
      <c r="B27" s="117" t="s">
        <v>424</v>
      </c>
      <c r="C27" s="45" t="s">
        <v>162</v>
      </c>
      <c r="D27" s="43">
        <v>50</v>
      </c>
      <c r="E27" s="46">
        <v>350</v>
      </c>
      <c r="F27" s="46"/>
      <c r="G27" s="46"/>
      <c r="H27" s="46"/>
      <c r="I27" s="46">
        <v>350</v>
      </c>
      <c r="J27" s="46"/>
      <c r="K27" s="46">
        <v>350</v>
      </c>
      <c r="L27" s="46">
        <v>350</v>
      </c>
      <c r="M27" s="46"/>
      <c r="N27" s="46">
        <v>350</v>
      </c>
      <c r="O27" s="46"/>
      <c r="P27" s="46"/>
      <c r="Q27" s="43">
        <f t="shared" si="0"/>
        <v>1400</v>
      </c>
      <c r="R27" s="43">
        <f t="shared" si="1"/>
        <v>4</v>
      </c>
    </row>
    <row r="28" spans="1:18" x14ac:dyDescent="0.2">
      <c r="A28" s="43">
        <v>19</v>
      </c>
      <c r="B28" s="117" t="s">
        <v>425</v>
      </c>
      <c r="C28" s="116" t="s">
        <v>169</v>
      </c>
      <c r="D28" s="43">
        <v>10</v>
      </c>
      <c r="E28" s="46">
        <v>300</v>
      </c>
      <c r="F28" s="46"/>
      <c r="G28" s="46"/>
      <c r="H28" s="46"/>
      <c r="I28" s="46"/>
      <c r="J28" s="46"/>
      <c r="K28" s="46"/>
      <c r="L28" s="46">
        <v>3000</v>
      </c>
      <c r="M28" s="46">
        <v>3000</v>
      </c>
      <c r="N28" s="46">
        <v>4500</v>
      </c>
      <c r="O28" s="46"/>
      <c r="P28" s="46"/>
      <c r="Q28" s="43">
        <f t="shared" si="0"/>
        <v>10500</v>
      </c>
      <c r="R28" s="43">
        <f t="shared" si="1"/>
        <v>35</v>
      </c>
    </row>
    <row r="29" spans="1:18" x14ac:dyDescent="0.2">
      <c r="A29" s="43">
        <v>20</v>
      </c>
      <c r="B29" s="44" t="s">
        <v>426</v>
      </c>
      <c r="C29" s="116" t="s">
        <v>264</v>
      </c>
      <c r="D29" s="43">
        <v>10</v>
      </c>
      <c r="E29" s="46">
        <v>230</v>
      </c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3">
        <f t="shared" si="0"/>
        <v>0</v>
      </c>
      <c r="R29" s="43">
        <f t="shared" si="1"/>
        <v>0</v>
      </c>
    </row>
    <row r="30" spans="1:18" x14ac:dyDescent="0.2">
      <c r="A30" s="43">
        <v>21</v>
      </c>
      <c r="B30" s="44" t="s">
        <v>427</v>
      </c>
      <c r="C30" s="116" t="s">
        <v>265</v>
      </c>
      <c r="D30" s="43">
        <v>10</v>
      </c>
      <c r="E30" s="46">
        <v>160</v>
      </c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3">
        <f t="shared" si="0"/>
        <v>0</v>
      </c>
      <c r="R30" s="43">
        <f t="shared" si="1"/>
        <v>0</v>
      </c>
    </row>
    <row r="31" spans="1:18" x14ac:dyDescent="0.2">
      <c r="A31" s="43">
        <v>22</v>
      </c>
      <c r="B31" s="117" t="s">
        <v>428</v>
      </c>
      <c r="C31" s="45" t="s">
        <v>274</v>
      </c>
      <c r="D31" s="43">
        <v>5</v>
      </c>
      <c r="E31" s="46">
        <v>85</v>
      </c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3">
        <f t="shared" si="0"/>
        <v>0</v>
      </c>
      <c r="R31" s="43">
        <f t="shared" si="1"/>
        <v>0</v>
      </c>
    </row>
    <row r="32" spans="1:18" x14ac:dyDescent="0.2">
      <c r="A32" s="43">
        <v>23</v>
      </c>
      <c r="B32" s="117" t="s">
        <v>429</v>
      </c>
      <c r="C32" s="45" t="s">
        <v>275</v>
      </c>
      <c r="D32" s="43">
        <v>5</v>
      </c>
      <c r="E32" s="46">
        <v>75</v>
      </c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3">
        <f t="shared" si="0"/>
        <v>0</v>
      </c>
      <c r="R32" s="43">
        <f t="shared" si="1"/>
        <v>0</v>
      </c>
    </row>
    <row r="33" spans="1:18" x14ac:dyDescent="0.2">
      <c r="A33" s="43">
        <v>24</v>
      </c>
      <c r="B33" s="117" t="s">
        <v>430</v>
      </c>
      <c r="C33" s="45" t="s">
        <v>276</v>
      </c>
      <c r="D33" s="43">
        <v>5</v>
      </c>
      <c r="E33" s="46">
        <v>45</v>
      </c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3">
        <f t="shared" si="0"/>
        <v>0</v>
      </c>
      <c r="R33" s="43">
        <f t="shared" si="1"/>
        <v>0</v>
      </c>
    </row>
    <row r="34" spans="1:18" x14ac:dyDescent="0.2">
      <c r="A34" s="43">
        <v>25</v>
      </c>
      <c r="B34" s="117" t="s">
        <v>431</v>
      </c>
      <c r="C34" s="45" t="s">
        <v>6</v>
      </c>
      <c r="D34" s="43">
        <v>5</v>
      </c>
      <c r="E34" s="46">
        <v>2000</v>
      </c>
      <c r="F34" s="46"/>
      <c r="G34" s="46"/>
      <c r="H34" s="46"/>
      <c r="I34" s="46"/>
      <c r="J34" s="46">
        <v>24000</v>
      </c>
      <c r="K34" s="46">
        <v>40000</v>
      </c>
      <c r="L34" s="46">
        <v>20000</v>
      </c>
      <c r="M34" s="46">
        <v>20000</v>
      </c>
      <c r="N34" s="46">
        <v>26000</v>
      </c>
      <c r="O34" s="46"/>
      <c r="P34" s="46"/>
      <c r="Q34" s="43">
        <f t="shared" si="0"/>
        <v>130000</v>
      </c>
      <c r="R34" s="43">
        <f t="shared" si="1"/>
        <v>65</v>
      </c>
    </row>
    <row r="35" spans="1:18" x14ac:dyDescent="0.2">
      <c r="A35" s="43">
        <v>26</v>
      </c>
      <c r="B35" s="117" t="s">
        <v>432</v>
      </c>
      <c r="C35" s="45" t="s">
        <v>7</v>
      </c>
      <c r="D35" s="43">
        <v>100</v>
      </c>
      <c r="E35" s="46">
        <v>2000</v>
      </c>
      <c r="F35" s="46"/>
      <c r="G35" s="46">
        <v>12000</v>
      </c>
      <c r="H35" s="46"/>
      <c r="I35" s="46">
        <v>6000</v>
      </c>
      <c r="J35" s="46"/>
      <c r="K35" s="46">
        <v>12000</v>
      </c>
      <c r="L35" s="46"/>
      <c r="M35" s="46"/>
      <c r="N35" s="46">
        <v>10000</v>
      </c>
      <c r="O35" s="46"/>
      <c r="P35" s="46"/>
      <c r="Q35" s="43">
        <f t="shared" si="0"/>
        <v>40000</v>
      </c>
      <c r="R35" s="43">
        <f t="shared" si="1"/>
        <v>20</v>
      </c>
    </row>
    <row r="36" spans="1:18" x14ac:dyDescent="0.2">
      <c r="A36" s="43">
        <v>27</v>
      </c>
      <c r="B36" s="117" t="s">
        <v>433</v>
      </c>
      <c r="C36" s="45" t="s">
        <v>8</v>
      </c>
      <c r="D36" s="43">
        <v>50</v>
      </c>
      <c r="E36" s="46">
        <v>1100</v>
      </c>
      <c r="F36" s="46">
        <v>23100</v>
      </c>
      <c r="G36" s="46">
        <v>6600</v>
      </c>
      <c r="H36" s="46">
        <v>6600</v>
      </c>
      <c r="I36" s="46">
        <v>6600</v>
      </c>
      <c r="J36" s="46"/>
      <c r="K36" s="46">
        <v>13200</v>
      </c>
      <c r="L36" s="46"/>
      <c r="M36" s="46">
        <v>6600</v>
      </c>
      <c r="N36" s="46">
        <v>11000</v>
      </c>
      <c r="O36" s="46"/>
      <c r="P36" s="46"/>
      <c r="Q36" s="43">
        <f t="shared" si="0"/>
        <v>73700</v>
      </c>
      <c r="R36" s="43">
        <f t="shared" si="1"/>
        <v>67</v>
      </c>
    </row>
    <row r="37" spans="1:18" x14ac:dyDescent="0.2">
      <c r="A37" s="43">
        <v>28</v>
      </c>
      <c r="B37" s="117" t="s">
        <v>434</v>
      </c>
      <c r="C37" s="45" t="s">
        <v>9</v>
      </c>
      <c r="D37" s="43">
        <v>50</v>
      </c>
      <c r="E37" s="46">
        <v>1000</v>
      </c>
      <c r="F37" s="395">
        <v>6000</v>
      </c>
      <c r="G37" s="46"/>
      <c r="H37" s="46"/>
      <c r="I37" s="46">
        <v>6000</v>
      </c>
      <c r="J37" s="46"/>
      <c r="K37" s="46">
        <v>6000</v>
      </c>
      <c r="L37" s="46">
        <v>12000</v>
      </c>
      <c r="M37" s="46">
        <v>7000</v>
      </c>
      <c r="N37" s="46">
        <v>13000</v>
      </c>
      <c r="O37" s="46"/>
      <c r="P37" s="46"/>
      <c r="Q37" s="43">
        <f t="shared" si="0"/>
        <v>50000</v>
      </c>
      <c r="R37" s="43">
        <f t="shared" si="1"/>
        <v>50</v>
      </c>
    </row>
    <row r="38" spans="1:18" x14ac:dyDescent="0.2">
      <c r="A38" s="249" t="s">
        <v>335</v>
      </c>
      <c r="B38" s="117" t="s">
        <v>434</v>
      </c>
      <c r="C38" s="45" t="s">
        <v>9</v>
      </c>
      <c r="D38" s="43">
        <v>50</v>
      </c>
      <c r="E38" s="46">
        <v>1000</v>
      </c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3">
        <f t="shared" si="0"/>
        <v>0</v>
      </c>
      <c r="R38" s="43">
        <f t="shared" si="1"/>
        <v>0</v>
      </c>
    </row>
    <row r="39" spans="1:18" x14ac:dyDescent="0.2">
      <c r="A39" s="43">
        <v>29</v>
      </c>
      <c r="B39" s="117" t="s">
        <v>435</v>
      </c>
      <c r="C39" s="45" t="s">
        <v>10</v>
      </c>
      <c r="D39" s="43">
        <v>50</v>
      </c>
      <c r="E39" s="46">
        <v>800</v>
      </c>
      <c r="F39" s="46">
        <v>8800</v>
      </c>
      <c r="G39" s="46">
        <v>4000</v>
      </c>
      <c r="H39" s="46"/>
      <c r="I39" s="46"/>
      <c r="J39" s="46"/>
      <c r="K39" s="46"/>
      <c r="L39" s="46"/>
      <c r="M39" s="46"/>
      <c r="N39" s="46"/>
      <c r="O39" s="46"/>
      <c r="P39" s="46"/>
      <c r="Q39" s="43">
        <f t="shared" ref="Q39:Q65" si="2">SUM(F39:P39)</f>
        <v>12800</v>
      </c>
      <c r="R39" s="43">
        <f t="shared" ref="R39:R65" si="3">Q39/E39</f>
        <v>16</v>
      </c>
    </row>
    <row r="40" spans="1:18" x14ac:dyDescent="0.2">
      <c r="A40" s="43">
        <v>30</v>
      </c>
      <c r="B40" s="117" t="s">
        <v>436</v>
      </c>
      <c r="C40" s="45" t="s">
        <v>11</v>
      </c>
      <c r="D40" s="43">
        <v>50</v>
      </c>
      <c r="E40" s="46">
        <v>600</v>
      </c>
      <c r="F40" s="46"/>
      <c r="G40" s="46">
        <v>6000</v>
      </c>
      <c r="H40" s="46"/>
      <c r="I40" s="46"/>
      <c r="J40" s="46"/>
      <c r="K40" s="46"/>
      <c r="L40" s="46">
        <v>12000</v>
      </c>
      <c r="M40" s="46">
        <v>6000</v>
      </c>
      <c r="N40" s="46">
        <v>12000</v>
      </c>
      <c r="O40" s="46"/>
      <c r="P40" s="46"/>
      <c r="Q40" s="43">
        <f t="shared" si="2"/>
        <v>36000</v>
      </c>
      <c r="R40" s="43">
        <f t="shared" si="3"/>
        <v>60</v>
      </c>
    </row>
    <row r="41" spans="1:18" x14ac:dyDescent="0.2">
      <c r="A41" s="43">
        <v>31</v>
      </c>
      <c r="B41" s="394" t="s">
        <v>408</v>
      </c>
      <c r="C41" s="45" t="s">
        <v>213</v>
      </c>
      <c r="D41" s="43">
        <v>10</v>
      </c>
      <c r="E41" s="46">
        <v>600</v>
      </c>
      <c r="F41" s="46"/>
      <c r="G41" s="46"/>
      <c r="H41" s="46"/>
      <c r="I41" s="46"/>
      <c r="J41" s="46"/>
      <c r="K41" s="46"/>
      <c r="L41" s="46">
        <v>1200</v>
      </c>
      <c r="M41" s="46">
        <v>600</v>
      </c>
      <c r="N41" s="46">
        <v>1800</v>
      </c>
      <c r="O41" s="46"/>
      <c r="P41" s="46"/>
      <c r="Q41" s="43">
        <f t="shared" si="2"/>
        <v>3600</v>
      </c>
      <c r="R41" s="43">
        <f t="shared" si="3"/>
        <v>6</v>
      </c>
    </row>
    <row r="42" spans="1:18" x14ac:dyDescent="0.2">
      <c r="A42" s="43">
        <v>32</v>
      </c>
      <c r="B42" s="117" t="s">
        <v>437</v>
      </c>
      <c r="C42" s="45" t="s">
        <v>14</v>
      </c>
      <c r="D42" s="43">
        <v>10</v>
      </c>
      <c r="E42" s="46">
        <v>400</v>
      </c>
      <c r="F42" s="46"/>
      <c r="G42" s="46">
        <v>800</v>
      </c>
      <c r="H42" s="46">
        <v>2000</v>
      </c>
      <c r="I42" s="46">
        <v>4000</v>
      </c>
      <c r="J42" s="46"/>
      <c r="K42" s="46">
        <v>4000</v>
      </c>
      <c r="L42" s="46"/>
      <c r="M42" s="46"/>
      <c r="N42" s="46"/>
      <c r="O42" s="46"/>
      <c r="P42" s="46"/>
      <c r="Q42" s="43">
        <f t="shared" si="2"/>
        <v>10800</v>
      </c>
      <c r="R42" s="43">
        <f t="shared" si="3"/>
        <v>27</v>
      </c>
    </row>
    <row r="43" spans="1:18" x14ac:dyDescent="0.2">
      <c r="A43" s="43">
        <v>33</v>
      </c>
      <c r="B43" s="117" t="s">
        <v>438</v>
      </c>
      <c r="C43" s="45" t="s">
        <v>15</v>
      </c>
      <c r="D43" s="43">
        <v>10</v>
      </c>
      <c r="E43" s="43">
        <v>400</v>
      </c>
      <c r="F43" s="46">
        <v>8400</v>
      </c>
      <c r="G43" s="46">
        <v>1600</v>
      </c>
      <c r="H43" s="46">
        <v>6000</v>
      </c>
      <c r="I43" s="46">
        <v>4000</v>
      </c>
      <c r="J43" s="46"/>
      <c r="K43" s="46">
        <v>4000</v>
      </c>
      <c r="L43" s="46"/>
      <c r="M43" s="46">
        <v>4000</v>
      </c>
      <c r="N43" s="46">
        <v>4000</v>
      </c>
      <c r="O43" s="46"/>
      <c r="P43" s="46"/>
      <c r="Q43" s="43">
        <f t="shared" si="2"/>
        <v>32000</v>
      </c>
      <c r="R43" s="43">
        <f t="shared" si="3"/>
        <v>80</v>
      </c>
    </row>
    <row r="44" spans="1:18" x14ac:dyDescent="0.2">
      <c r="A44" s="43">
        <v>34</v>
      </c>
      <c r="B44" s="117" t="s">
        <v>439</v>
      </c>
      <c r="C44" s="45" t="s">
        <v>16</v>
      </c>
      <c r="D44" s="43">
        <v>10</v>
      </c>
      <c r="E44" s="43">
        <v>300</v>
      </c>
      <c r="F44" s="46">
        <v>6000</v>
      </c>
      <c r="G44" s="46">
        <v>6000</v>
      </c>
      <c r="H44" s="46"/>
      <c r="I44" s="46"/>
      <c r="J44" s="46"/>
      <c r="K44" s="46"/>
      <c r="L44" s="46"/>
      <c r="M44" s="46">
        <v>9000</v>
      </c>
      <c r="N44" s="46">
        <v>15000</v>
      </c>
      <c r="O44" s="46"/>
      <c r="P44" s="46"/>
      <c r="Q44" s="43">
        <f t="shared" si="2"/>
        <v>36000</v>
      </c>
      <c r="R44" s="43">
        <f t="shared" si="3"/>
        <v>120</v>
      </c>
    </row>
    <row r="45" spans="1:18" x14ac:dyDescent="0.2">
      <c r="A45" s="43">
        <v>35</v>
      </c>
      <c r="B45" s="44" t="s">
        <v>403</v>
      </c>
      <c r="C45" s="45" t="s">
        <v>179</v>
      </c>
      <c r="D45" s="43">
        <v>10</v>
      </c>
      <c r="E45" s="43">
        <v>300</v>
      </c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3">
        <f t="shared" si="2"/>
        <v>0</v>
      </c>
      <c r="R45" s="43">
        <f t="shared" si="3"/>
        <v>0</v>
      </c>
    </row>
    <row r="46" spans="1:18" x14ac:dyDescent="0.2">
      <c r="A46" s="43">
        <v>36</v>
      </c>
      <c r="B46" s="117" t="s">
        <v>442</v>
      </c>
      <c r="C46" s="45" t="s">
        <v>197</v>
      </c>
      <c r="D46" s="43">
        <v>10</v>
      </c>
      <c r="E46" s="43">
        <v>1300</v>
      </c>
      <c r="F46" s="46">
        <v>2600</v>
      </c>
      <c r="G46" s="46">
        <v>1300</v>
      </c>
      <c r="H46" s="46"/>
      <c r="I46" s="46"/>
      <c r="J46" s="46"/>
      <c r="K46" s="46"/>
      <c r="L46" s="46"/>
      <c r="M46" s="46"/>
      <c r="N46" s="46"/>
      <c r="O46" s="46"/>
      <c r="P46" s="46"/>
      <c r="Q46" s="43">
        <f t="shared" si="2"/>
        <v>3900</v>
      </c>
      <c r="R46" s="43">
        <f t="shared" si="3"/>
        <v>3</v>
      </c>
    </row>
    <row r="47" spans="1:18" x14ac:dyDescent="0.2">
      <c r="A47" s="43">
        <v>37</v>
      </c>
      <c r="B47" s="117" t="s">
        <v>443</v>
      </c>
      <c r="C47" s="45" t="s">
        <v>198</v>
      </c>
      <c r="D47" s="43">
        <v>10</v>
      </c>
      <c r="E47" s="43">
        <v>800</v>
      </c>
      <c r="F47" s="46">
        <v>3200</v>
      </c>
      <c r="G47" s="46">
        <v>1600</v>
      </c>
      <c r="H47" s="46"/>
      <c r="I47" s="46"/>
      <c r="J47" s="46"/>
      <c r="K47" s="46"/>
      <c r="L47" s="46"/>
      <c r="M47" s="46"/>
      <c r="N47" s="46"/>
      <c r="O47" s="46"/>
      <c r="P47" s="46"/>
      <c r="Q47" s="43">
        <f t="shared" si="2"/>
        <v>4800</v>
      </c>
      <c r="R47" s="43">
        <f t="shared" si="3"/>
        <v>6</v>
      </c>
    </row>
    <row r="48" spans="1:18" x14ac:dyDescent="0.2">
      <c r="A48" s="43">
        <v>38</v>
      </c>
      <c r="B48" s="117" t="s">
        <v>444</v>
      </c>
      <c r="C48" s="45" t="s">
        <v>207</v>
      </c>
      <c r="D48" s="43">
        <v>10</v>
      </c>
      <c r="E48" s="43">
        <v>450</v>
      </c>
      <c r="F48" s="46">
        <v>2250</v>
      </c>
      <c r="G48" s="46">
        <v>1800</v>
      </c>
      <c r="H48" s="46"/>
      <c r="I48" s="46"/>
      <c r="J48" s="46"/>
      <c r="K48" s="46"/>
      <c r="L48" s="46"/>
      <c r="M48" s="46"/>
      <c r="N48" s="46"/>
      <c r="O48" s="46"/>
      <c r="P48" s="46"/>
      <c r="Q48" s="43">
        <f t="shared" si="2"/>
        <v>4050</v>
      </c>
      <c r="R48" s="43">
        <f t="shared" si="3"/>
        <v>9</v>
      </c>
    </row>
    <row r="49" spans="1:18" x14ac:dyDescent="0.2">
      <c r="A49" s="43">
        <v>39</v>
      </c>
      <c r="B49" s="44" t="s">
        <v>404</v>
      </c>
      <c r="C49" s="45" t="s">
        <v>238</v>
      </c>
      <c r="D49" s="43">
        <v>10</v>
      </c>
      <c r="E49" s="43">
        <v>450</v>
      </c>
      <c r="F49" s="46">
        <v>900</v>
      </c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3">
        <f t="shared" si="2"/>
        <v>900</v>
      </c>
      <c r="R49" s="43">
        <f t="shared" si="3"/>
        <v>2</v>
      </c>
    </row>
    <row r="50" spans="1:18" x14ac:dyDescent="0.2">
      <c r="A50" s="43">
        <v>40</v>
      </c>
      <c r="B50" s="117" t="s">
        <v>440</v>
      </c>
      <c r="C50" s="45" t="s">
        <v>26</v>
      </c>
      <c r="D50" s="43">
        <v>10</v>
      </c>
      <c r="E50" s="46">
        <v>320</v>
      </c>
      <c r="F50" s="46"/>
      <c r="G50" s="46"/>
      <c r="H50" s="46"/>
      <c r="I50" s="46">
        <v>320</v>
      </c>
      <c r="J50" s="46"/>
      <c r="K50" s="46"/>
      <c r="L50" s="46"/>
      <c r="M50" s="46"/>
      <c r="N50" s="46"/>
      <c r="O50" s="46"/>
      <c r="P50" s="46"/>
      <c r="Q50" s="43">
        <f t="shared" si="2"/>
        <v>320</v>
      </c>
      <c r="R50" s="43">
        <f t="shared" si="3"/>
        <v>1</v>
      </c>
    </row>
    <row r="51" spans="1:18" x14ac:dyDescent="0.2">
      <c r="A51" s="43">
        <v>41</v>
      </c>
      <c r="B51" s="117" t="s">
        <v>440</v>
      </c>
      <c r="C51" s="45" t="s">
        <v>26</v>
      </c>
      <c r="D51" s="43">
        <v>10</v>
      </c>
      <c r="E51" s="46">
        <v>320</v>
      </c>
      <c r="F51" s="46">
        <v>640</v>
      </c>
      <c r="G51" s="46">
        <v>320</v>
      </c>
      <c r="H51" s="46"/>
      <c r="I51" s="46"/>
      <c r="J51" s="46"/>
      <c r="K51" s="46"/>
      <c r="L51" s="46"/>
      <c r="M51" s="46"/>
      <c r="N51" s="46"/>
      <c r="O51" s="46"/>
      <c r="P51" s="46"/>
      <c r="Q51" s="43">
        <f t="shared" si="2"/>
        <v>960</v>
      </c>
      <c r="R51" s="43">
        <f t="shared" si="3"/>
        <v>3</v>
      </c>
    </row>
    <row r="52" spans="1:18" x14ac:dyDescent="0.2">
      <c r="A52" s="43">
        <v>42</v>
      </c>
      <c r="B52" s="117" t="s">
        <v>441</v>
      </c>
      <c r="C52" s="45" t="s">
        <v>31</v>
      </c>
      <c r="D52" s="43">
        <v>10</v>
      </c>
      <c r="E52" s="46">
        <v>230</v>
      </c>
      <c r="F52" s="46">
        <v>1380</v>
      </c>
      <c r="G52" s="46">
        <v>1380</v>
      </c>
      <c r="H52" s="46"/>
      <c r="I52" s="46"/>
      <c r="J52" s="46"/>
      <c r="K52" s="46">
        <v>3680</v>
      </c>
      <c r="L52" s="46">
        <v>2760</v>
      </c>
      <c r="M52" s="46"/>
      <c r="N52" s="46">
        <v>2300</v>
      </c>
      <c r="O52" s="46"/>
      <c r="P52" s="46"/>
      <c r="Q52" s="43">
        <f t="shared" si="2"/>
        <v>11500</v>
      </c>
      <c r="R52" s="43">
        <f t="shared" si="3"/>
        <v>50</v>
      </c>
    </row>
    <row r="53" spans="1:18" x14ac:dyDescent="0.2">
      <c r="A53" s="43">
        <v>43</v>
      </c>
      <c r="B53" s="44" t="s">
        <v>405</v>
      </c>
      <c r="C53" s="45" t="s">
        <v>173</v>
      </c>
      <c r="D53" s="43">
        <v>10</v>
      </c>
      <c r="E53" s="46">
        <v>230</v>
      </c>
      <c r="F53" s="46">
        <v>460</v>
      </c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3">
        <f t="shared" si="2"/>
        <v>460</v>
      </c>
      <c r="R53" s="43">
        <f t="shared" si="3"/>
        <v>2</v>
      </c>
    </row>
    <row r="54" spans="1:18" x14ac:dyDescent="0.2">
      <c r="A54" s="43">
        <v>44</v>
      </c>
      <c r="B54" s="44" t="s">
        <v>445</v>
      </c>
      <c r="C54" s="45" t="s">
        <v>209</v>
      </c>
      <c r="D54" s="43">
        <v>10</v>
      </c>
      <c r="E54" s="46">
        <v>400</v>
      </c>
      <c r="F54" s="46">
        <v>400</v>
      </c>
      <c r="G54" s="46">
        <v>800</v>
      </c>
      <c r="H54" s="46"/>
      <c r="I54" s="46"/>
      <c r="J54" s="46"/>
      <c r="K54" s="46"/>
      <c r="L54" s="46"/>
      <c r="M54" s="46"/>
      <c r="N54" s="46"/>
      <c r="O54" s="46"/>
      <c r="P54" s="46"/>
      <c r="Q54" s="43">
        <f t="shared" si="2"/>
        <v>1200</v>
      </c>
      <c r="R54" s="43">
        <f t="shared" si="3"/>
        <v>3</v>
      </c>
    </row>
    <row r="55" spans="1:18" x14ac:dyDescent="0.2">
      <c r="A55" s="43">
        <v>45</v>
      </c>
      <c r="B55" s="98" t="s">
        <v>409</v>
      </c>
      <c r="C55" s="45" t="s">
        <v>296</v>
      </c>
      <c r="D55" s="43">
        <v>10</v>
      </c>
      <c r="E55" s="46">
        <v>400</v>
      </c>
      <c r="F55" s="46">
        <v>800</v>
      </c>
      <c r="G55" s="46">
        <v>800</v>
      </c>
      <c r="H55" s="46"/>
      <c r="I55" s="46">
        <v>400</v>
      </c>
      <c r="J55" s="46"/>
      <c r="K55" s="46"/>
      <c r="L55" s="46">
        <v>400</v>
      </c>
      <c r="M55" s="46">
        <v>400</v>
      </c>
      <c r="N55" s="46">
        <v>800</v>
      </c>
      <c r="O55" s="46"/>
      <c r="P55" s="46"/>
      <c r="Q55" s="43">
        <f t="shared" si="2"/>
        <v>3600</v>
      </c>
      <c r="R55" s="43">
        <f t="shared" si="3"/>
        <v>9</v>
      </c>
    </row>
    <row r="56" spans="1:18" x14ac:dyDescent="0.2">
      <c r="A56" s="43">
        <v>46</v>
      </c>
      <c r="B56" s="44" t="s">
        <v>446</v>
      </c>
      <c r="C56" s="45" t="s">
        <v>211</v>
      </c>
      <c r="D56" s="43">
        <v>10</v>
      </c>
      <c r="E56" s="46">
        <v>300</v>
      </c>
      <c r="F56" s="46">
        <v>300</v>
      </c>
      <c r="G56" s="46">
        <v>600</v>
      </c>
      <c r="H56" s="46"/>
      <c r="I56" s="46"/>
      <c r="J56" s="46"/>
      <c r="K56" s="46">
        <v>600</v>
      </c>
      <c r="L56" s="46"/>
      <c r="M56" s="46"/>
      <c r="N56" s="46">
        <v>300</v>
      </c>
      <c r="O56" s="46"/>
      <c r="P56" s="46"/>
      <c r="Q56" s="43">
        <f t="shared" si="2"/>
        <v>1800</v>
      </c>
      <c r="R56" s="43">
        <f t="shared" si="3"/>
        <v>6</v>
      </c>
    </row>
    <row r="57" spans="1:18" x14ac:dyDescent="0.2">
      <c r="A57" s="43">
        <v>47</v>
      </c>
      <c r="B57" s="44" t="s">
        <v>406</v>
      </c>
      <c r="C57" s="45" t="s">
        <v>237</v>
      </c>
      <c r="D57" s="43">
        <v>10</v>
      </c>
      <c r="E57" s="46">
        <v>300</v>
      </c>
      <c r="F57" s="46"/>
      <c r="G57" s="46">
        <v>900</v>
      </c>
      <c r="H57" s="46">
        <v>600</v>
      </c>
      <c r="I57" s="46"/>
      <c r="J57" s="46"/>
      <c r="K57" s="46"/>
      <c r="L57" s="46"/>
      <c r="M57" s="46"/>
      <c r="N57" s="46">
        <v>900</v>
      </c>
      <c r="O57" s="46"/>
      <c r="P57" s="46"/>
      <c r="Q57" s="43">
        <f t="shared" si="2"/>
        <v>2400</v>
      </c>
      <c r="R57" s="43">
        <f t="shared" si="3"/>
        <v>8</v>
      </c>
    </row>
    <row r="58" spans="1:18" x14ac:dyDescent="0.2">
      <c r="A58" s="43">
        <v>48</v>
      </c>
      <c r="B58" s="44" t="s">
        <v>447</v>
      </c>
      <c r="C58" s="45" t="s">
        <v>160</v>
      </c>
      <c r="D58" s="43">
        <v>10</v>
      </c>
      <c r="E58" s="46">
        <v>160</v>
      </c>
      <c r="F58" s="46">
        <v>1600</v>
      </c>
      <c r="G58" s="46">
        <v>960</v>
      </c>
      <c r="H58" s="46">
        <v>960</v>
      </c>
      <c r="I58" s="46">
        <v>800</v>
      </c>
      <c r="J58" s="46"/>
      <c r="K58" s="46">
        <v>800</v>
      </c>
      <c r="L58" s="46">
        <v>800</v>
      </c>
      <c r="M58" s="46"/>
      <c r="N58" s="46">
        <v>1600</v>
      </c>
      <c r="O58" s="46"/>
      <c r="P58" s="46"/>
      <c r="Q58" s="43">
        <f t="shared" si="2"/>
        <v>7520</v>
      </c>
      <c r="R58" s="43">
        <f t="shared" si="3"/>
        <v>47</v>
      </c>
    </row>
    <row r="59" spans="1:18" x14ac:dyDescent="0.2">
      <c r="A59" s="43">
        <v>49</v>
      </c>
      <c r="B59" s="247" t="s">
        <v>407</v>
      </c>
      <c r="C59" s="45" t="s">
        <v>172</v>
      </c>
      <c r="D59" s="43">
        <v>10</v>
      </c>
      <c r="E59" s="43">
        <v>160</v>
      </c>
      <c r="F59" s="46">
        <v>1600</v>
      </c>
      <c r="G59" s="46">
        <v>960</v>
      </c>
      <c r="H59" s="46"/>
      <c r="I59" s="46"/>
      <c r="J59" s="46"/>
      <c r="K59" s="46"/>
      <c r="L59" s="46">
        <v>1280</v>
      </c>
      <c r="M59" s="46"/>
      <c r="N59" s="46">
        <v>1280</v>
      </c>
      <c r="O59" s="46"/>
      <c r="P59" s="46"/>
      <c r="Q59" s="43">
        <f t="shared" si="2"/>
        <v>5120</v>
      </c>
      <c r="R59" s="43">
        <f t="shared" si="3"/>
        <v>32</v>
      </c>
    </row>
    <row r="60" spans="1:18" x14ac:dyDescent="0.2">
      <c r="A60" s="43">
        <v>50</v>
      </c>
      <c r="B60" s="246" t="s">
        <v>448</v>
      </c>
      <c r="C60" s="45" t="s">
        <v>19</v>
      </c>
      <c r="D60" s="239">
        <v>10</v>
      </c>
      <c r="E60" s="43">
        <v>130</v>
      </c>
      <c r="F60" s="46"/>
      <c r="G60" s="46"/>
      <c r="H60" s="46"/>
      <c r="I60" s="46">
        <v>390</v>
      </c>
      <c r="J60" s="46"/>
      <c r="K60" s="46">
        <v>390</v>
      </c>
      <c r="L60" s="46">
        <v>390</v>
      </c>
      <c r="M60" s="46"/>
      <c r="N60" s="46">
        <v>390</v>
      </c>
      <c r="O60" s="46"/>
      <c r="P60" s="46"/>
      <c r="Q60" s="43">
        <f t="shared" si="2"/>
        <v>1560</v>
      </c>
      <c r="R60" s="43">
        <f t="shared" si="3"/>
        <v>12</v>
      </c>
    </row>
    <row r="61" spans="1:18" x14ac:dyDescent="0.2">
      <c r="A61" s="43">
        <v>51</v>
      </c>
      <c r="B61" s="117" t="s">
        <v>449</v>
      </c>
      <c r="C61" s="45" t="s">
        <v>287</v>
      </c>
      <c r="D61" s="239">
        <v>10</v>
      </c>
      <c r="E61" s="46">
        <v>110</v>
      </c>
      <c r="F61" s="46">
        <v>550</v>
      </c>
      <c r="G61" s="46">
        <v>1100</v>
      </c>
      <c r="H61" s="46">
        <v>330</v>
      </c>
      <c r="I61" s="46">
        <v>550</v>
      </c>
      <c r="J61" s="46"/>
      <c r="K61" s="46"/>
      <c r="L61" s="46"/>
      <c r="M61" s="46"/>
      <c r="N61" s="46"/>
      <c r="O61" s="46"/>
      <c r="P61" s="46"/>
      <c r="Q61" s="43">
        <f t="shared" si="2"/>
        <v>2530</v>
      </c>
      <c r="R61" s="43">
        <f t="shared" si="3"/>
        <v>23</v>
      </c>
    </row>
    <row r="62" spans="1:18" x14ac:dyDescent="0.2">
      <c r="A62" s="43">
        <v>52</v>
      </c>
      <c r="B62" s="117" t="s">
        <v>450</v>
      </c>
      <c r="C62" s="45" t="s">
        <v>21</v>
      </c>
      <c r="D62" s="43">
        <v>10</v>
      </c>
      <c r="E62" s="46">
        <v>80</v>
      </c>
      <c r="F62" s="46">
        <v>480</v>
      </c>
      <c r="G62" s="46">
        <v>1280</v>
      </c>
      <c r="H62" s="46">
        <v>1280</v>
      </c>
      <c r="I62" s="46">
        <v>2560</v>
      </c>
      <c r="J62" s="46"/>
      <c r="K62" s="46">
        <v>2400</v>
      </c>
      <c r="L62" s="46">
        <v>1600</v>
      </c>
      <c r="M62" s="46">
        <v>4800</v>
      </c>
      <c r="N62" s="46">
        <v>3200</v>
      </c>
      <c r="O62" s="46"/>
      <c r="P62" s="46"/>
      <c r="Q62" s="43">
        <f t="shared" si="2"/>
        <v>17600</v>
      </c>
      <c r="R62" s="43">
        <f t="shared" si="3"/>
        <v>220</v>
      </c>
    </row>
    <row r="63" spans="1:18" x14ac:dyDescent="0.2">
      <c r="A63" s="43">
        <v>53</v>
      </c>
      <c r="B63" s="117" t="s">
        <v>451</v>
      </c>
      <c r="C63" s="116" t="s">
        <v>304</v>
      </c>
      <c r="D63" s="43">
        <v>5</v>
      </c>
      <c r="E63" s="46">
        <v>75</v>
      </c>
      <c r="F63" s="46">
        <v>300</v>
      </c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3">
        <f t="shared" si="2"/>
        <v>300</v>
      </c>
      <c r="R63" s="43">
        <f t="shared" si="3"/>
        <v>4</v>
      </c>
    </row>
    <row r="64" spans="1:18" x14ac:dyDescent="0.2">
      <c r="A64" s="43">
        <v>54</v>
      </c>
      <c r="B64" s="117" t="s">
        <v>452</v>
      </c>
      <c r="C64" s="116" t="s">
        <v>36</v>
      </c>
      <c r="D64" s="43">
        <v>5</v>
      </c>
      <c r="E64" s="46">
        <v>50</v>
      </c>
      <c r="F64" s="46">
        <v>500</v>
      </c>
      <c r="G64" s="46">
        <v>2000</v>
      </c>
      <c r="H64" s="46">
        <v>2000</v>
      </c>
      <c r="I64" s="46">
        <v>3000</v>
      </c>
      <c r="J64" s="46"/>
      <c r="K64" s="46">
        <v>2000</v>
      </c>
      <c r="L64" s="46">
        <v>1000</v>
      </c>
      <c r="M64" s="46">
        <v>3000</v>
      </c>
      <c r="N64" s="46">
        <v>2500</v>
      </c>
      <c r="O64" s="46"/>
      <c r="P64" s="46"/>
      <c r="Q64" s="43">
        <f t="shared" si="2"/>
        <v>16000</v>
      </c>
      <c r="R64" s="43">
        <f t="shared" si="3"/>
        <v>320</v>
      </c>
    </row>
    <row r="65" spans="1:18" x14ac:dyDescent="0.2">
      <c r="A65" s="43">
        <v>55</v>
      </c>
      <c r="B65" s="44" t="s">
        <v>453</v>
      </c>
      <c r="C65" s="116" t="s">
        <v>260</v>
      </c>
      <c r="D65" s="43">
        <v>5</v>
      </c>
      <c r="E65" s="46">
        <v>35</v>
      </c>
      <c r="F65" s="46"/>
      <c r="G65" s="46">
        <v>350</v>
      </c>
      <c r="H65" s="46"/>
      <c r="I65" s="46">
        <v>350</v>
      </c>
      <c r="J65" s="46"/>
      <c r="K65" s="46">
        <v>350</v>
      </c>
      <c r="L65" s="46">
        <v>525</v>
      </c>
      <c r="M65" s="46">
        <v>525</v>
      </c>
      <c r="N65" s="46"/>
      <c r="O65" s="46"/>
      <c r="P65" s="46"/>
      <c r="Q65" s="43">
        <f t="shared" si="2"/>
        <v>2100</v>
      </c>
      <c r="R65" s="43">
        <f t="shared" si="3"/>
        <v>60</v>
      </c>
    </row>
    <row r="66" spans="1:18" x14ac:dyDescent="0.2">
      <c r="A66" s="43"/>
      <c r="B66" s="117"/>
      <c r="C66" s="45"/>
      <c r="D66" s="43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3"/>
      <c r="R66" s="43"/>
    </row>
    <row r="67" spans="1:18" x14ac:dyDescent="0.2">
      <c r="A67" s="428" t="s">
        <v>135</v>
      </c>
      <c r="B67" s="429"/>
      <c r="C67" s="429"/>
      <c r="D67" s="429"/>
      <c r="E67" s="430"/>
      <c r="F67" s="18">
        <f t="shared" ref="F67:Q67" si="4">SUM(F7:F66)</f>
        <v>116110</v>
      </c>
      <c r="G67" s="18">
        <f t="shared" si="4"/>
        <v>56950</v>
      </c>
      <c r="H67" s="18">
        <f t="shared" si="4"/>
        <v>103540</v>
      </c>
      <c r="I67" s="18">
        <f t="shared" si="4"/>
        <v>77720</v>
      </c>
      <c r="J67" s="18">
        <f t="shared" si="4"/>
        <v>24000</v>
      </c>
      <c r="K67" s="18">
        <f t="shared" si="4"/>
        <v>148770</v>
      </c>
      <c r="L67" s="18">
        <f t="shared" si="4"/>
        <v>99605</v>
      </c>
      <c r="M67" s="18">
        <f t="shared" si="4"/>
        <v>93325</v>
      </c>
      <c r="N67" s="18">
        <f t="shared" si="4"/>
        <v>175890</v>
      </c>
      <c r="O67" s="18">
        <f t="shared" si="4"/>
        <v>0</v>
      </c>
      <c r="P67" s="18">
        <f t="shared" si="4"/>
        <v>0</v>
      </c>
      <c r="Q67" s="18">
        <f t="shared" si="4"/>
        <v>895910</v>
      </c>
      <c r="R67" s="15"/>
    </row>
    <row r="68" spans="1:18" x14ac:dyDescent="0.2">
      <c r="A68" s="424" t="s">
        <v>184</v>
      </c>
      <c r="B68" s="424"/>
      <c r="C68" s="424"/>
      <c r="D68" s="424"/>
      <c r="E68" s="424"/>
      <c r="R68" s="242">
        <f>SUM(R7:R66)</f>
        <v>1634</v>
      </c>
    </row>
    <row r="69" spans="1:18" x14ac:dyDescent="0.2">
      <c r="R69" s="241">
        <f>SUM(F3:P3)</f>
        <v>1634</v>
      </c>
    </row>
  </sheetData>
  <mergeCells count="7">
    <mergeCell ref="A68:E68"/>
    <mergeCell ref="A1:E1"/>
    <mergeCell ref="Q1:R1"/>
    <mergeCell ref="A2:E2"/>
    <mergeCell ref="D3:E3"/>
    <mergeCell ref="D4:E4"/>
    <mergeCell ref="A67:E67"/>
  </mergeCells>
  <pageMargins left="0.51181102362204722" right="0.51181102362204722" top="0.51181102362204722" bottom="0.51181102362204722" header="0" footer="0"/>
  <pageSetup paperSize="9" fitToWidth="0" fitToHeight="0" orientation="landscape" blackAndWhite="1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2"/>
  <sheetViews>
    <sheetView tabSelected="1" zoomScaleNormal="100" workbookViewId="0">
      <pane xSplit="5" ySplit="5" topLeftCell="F6" activePane="bottomRight" state="frozenSplit"/>
      <selection pane="topRight" activeCell="G1" sqref="G1"/>
      <selection pane="bottomLeft" activeCell="A17" sqref="A17"/>
      <selection pane="bottomRight" activeCell="F6" sqref="F6"/>
    </sheetView>
  </sheetViews>
  <sheetFormatPr defaultRowHeight="12.75" x14ac:dyDescent="0.2"/>
  <cols>
    <col min="1" max="1" width="4.28515625" style="47" bestFit="1" customWidth="1"/>
    <col min="2" max="2" width="10.85546875" style="47" bestFit="1" customWidth="1"/>
    <col min="3" max="3" width="34.5703125" style="47" bestFit="1" customWidth="1"/>
    <col min="4" max="4" width="5.85546875" style="47" bestFit="1" customWidth="1"/>
    <col min="5" max="5" width="5" style="47" bestFit="1" customWidth="1"/>
    <col min="6" max="27" width="10.140625" style="47" customWidth="1"/>
    <col min="28" max="29" width="8.140625" style="47" customWidth="1"/>
    <col min="30" max="30" width="10.5703125" style="241" bestFit="1" customWidth="1"/>
    <col min="31" max="31" width="9.28515625" style="241" bestFit="1" customWidth="1"/>
    <col min="32" max="16384" width="9.140625" style="47"/>
  </cols>
  <sheetData>
    <row r="1" spans="1:31" x14ac:dyDescent="0.2">
      <c r="A1" s="425" t="s">
        <v>582</v>
      </c>
      <c r="B1" s="426"/>
      <c r="C1" s="426"/>
      <c r="D1" s="426"/>
      <c r="E1" s="427"/>
      <c r="F1" s="369">
        <v>5008</v>
      </c>
      <c r="G1" s="369">
        <v>5009</v>
      </c>
      <c r="H1" s="369">
        <v>5011</v>
      </c>
      <c r="I1" s="369">
        <v>5012</v>
      </c>
      <c r="J1" s="369">
        <v>5013</v>
      </c>
      <c r="K1" s="369">
        <v>5016</v>
      </c>
      <c r="L1" s="369">
        <v>5018</v>
      </c>
      <c r="M1" s="374">
        <v>5020</v>
      </c>
      <c r="N1" s="369">
        <v>5021</v>
      </c>
      <c r="O1" s="369">
        <v>5022</v>
      </c>
      <c r="P1" s="376">
        <v>5023</v>
      </c>
      <c r="Q1" s="376">
        <v>5024</v>
      </c>
      <c r="R1" s="376">
        <v>5025</v>
      </c>
      <c r="S1" s="380">
        <v>5026</v>
      </c>
      <c r="T1" s="396">
        <v>5027</v>
      </c>
      <c r="U1" s="398">
        <v>5028</v>
      </c>
      <c r="V1" s="400">
        <v>5029</v>
      </c>
      <c r="W1" s="402">
        <v>5031</v>
      </c>
      <c r="X1" s="404">
        <v>6001</v>
      </c>
      <c r="Y1" s="404">
        <v>6002</v>
      </c>
      <c r="Z1" s="396">
        <v>6003</v>
      </c>
      <c r="AA1" s="406"/>
      <c r="AB1" s="369"/>
      <c r="AC1" s="369" t="s">
        <v>318</v>
      </c>
      <c r="AD1" s="412" t="s">
        <v>138</v>
      </c>
      <c r="AE1" s="412"/>
    </row>
    <row r="2" spans="1:31" x14ac:dyDescent="0.2">
      <c r="A2" s="428" t="s">
        <v>42</v>
      </c>
      <c r="B2" s="426"/>
      <c r="C2" s="426"/>
      <c r="D2" s="426"/>
      <c r="E2" s="427"/>
      <c r="F2" s="370" t="s">
        <v>555</v>
      </c>
      <c r="G2" s="370" t="s">
        <v>556</v>
      </c>
      <c r="H2" s="370" t="s">
        <v>557</v>
      </c>
      <c r="I2" s="370" t="s">
        <v>558</v>
      </c>
      <c r="J2" s="370" t="s">
        <v>559</v>
      </c>
      <c r="K2" s="370" t="s">
        <v>560</v>
      </c>
      <c r="L2" s="370" t="s">
        <v>561</v>
      </c>
      <c r="M2" s="375" t="s">
        <v>563</v>
      </c>
      <c r="N2" s="370" t="s">
        <v>562</v>
      </c>
      <c r="O2" s="370" t="s">
        <v>564</v>
      </c>
      <c r="P2" s="377" t="s">
        <v>565</v>
      </c>
      <c r="Q2" s="377" t="s">
        <v>566</v>
      </c>
      <c r="R2" s="377" t="s">
        <v>571</v>
      </c>
      <c r="S2" s="381" t="s">
        <v>570</v>
      </c>
      <c r="T2" s="397" t="s">
        <v>574</v>
      </c>
      <c r="U2" s="399" t="s">
        <v>575</v>
      </c>
      <c r="V2" s="401" t="s">
        <v>576</v>
      </c>
      <c r="W2" s="403" t="s">
        <v>577</v>
      </c>
      <c r="X2" s="405" t="s">
        <v>578</v>
      </c>
      <c r="Y2" s="405" t="s">
        <v>579</v>
      </c>
      <c r="Z2" s="397" t="s">
        <v>583</v>
      </c>
      <c r="AA2" s="407"/>
      <c r="AB2" s="370"/>
      <c r="AC2" s="370" t="s">
        <v>319</v>
      </c>
      <c r="AD2" s="18" t="s">
        <v>116</v>
      </c>
      <c r="AE2" s="18" t="s">
        <v>5</v>
      </c>
    </row>
    <row r="3" spans="1:31" x14ac:dyDescent="0.2">
      <c r="A3" s="232"/>
      <c r="B3" s="232"/>
      <c r="C3" s="232"/>
      <c r="D3" s="428" t="s">
        <v>140</v>
      </c>
      <c r="E3" s="429"/>
      <c r="F3" s="370">
        <v>1</v>
      </c>
      <c r="G3" s="370">
        <v>205</v>
      </c>
      <c r="H3" s="370">
        <v>219</v>
      </c>
      <c r="I3" s="370">
        <v>64</v>
      </c>
      <c r="J3" s="370">
        <v>166</v>
      </c>
      <c r="K3" s="370">
        <v>185</v>
      </c>
      <c r="L3" s="370">
        <v>18</v>
      </c>
      <c r="M3" s="375">
        <v>52</v>
      </c>
      <c r="N3" s="370">
        <v>6</v>
      </c>
      <c r="O3" s="370">
        <v>66</v>
      </c>
      <c r="P3" s="377">
        <v>7</v>
      </c>
      <c r="Q3" s="377">
        <v>135</v>
      </c>
      <c r="R3" s="377">
        <v>12</v>
      </c>
      <c r="S3" s="381">
        <v>3</v>
      </c>
      <c r="T3" s="397">
        <v>59</v>
      </c>
      <c r="U3" s="399">
        <v>18</v>
      </c>
      <c r="V3" s="401">
        <v>174</v>
      </c>
      <c r="W3" s="403">
        <v>122</v>
      </c>
      <c r="X3" s="405">
        <v>130</v>
      </c>
      <c r="Y3" s="405">
        <v>3</v>
      </c>
      <c r="Z3" s="397">
        <v>306</v>
      </c>
      <c r="AA3" s="407"/>
      <c r="AB3" s="370"/>
      <c r="AC3" s="370" t="s">
        <v>320</v>
      </c>
      <c r="AD3" s="15"/>
      <c r="AE3" s="15"/>
    </row>
    <row r="4" spans="1:31" ht="25.5" x14ac:dyDescent="0.2">
      <c r="A4" s="233" t="s">
        <v>1</v>
      </c>
      <c r="B4" s="234" t="s">
        <v>2</v>
      </c>
      <c r="C4" s="234" t="s">
        <v>0</v>
      </c>
      <c r="D4" s="412" t="s">
        <v>3</v>
      </c>
      <c r="E4" s="425"/>
      <c r="F4" s="370" t="s">
        <v>116</v>
      </c>
      <c r="G4" s="370" t="s">
        <v>116</v>
      </c>
      <c r="H4" s="370" t="s">
        <v>116</v>
      </c>
      <c r="I4" s="370" t="s">
        <v>116</v>
      </c>
      <c r="J4" s="370" t="s">
        <v>116</v>
      </c>
      <c r="K4" s="370" t="s">
        <v>116</v>
      </c>
      <c r="L4" s="370" t="s">
        <v>116</v>
      </c>
      <c r="M4" s="375" t="s">
        <v>116</v>
      </c>
      <c r="N4" s="370" t="s">
        <v>116</v>
      </c>
      <c r="O4" s="370" t="s">
        <v>116</v>
      </c>
      <c r="P4" s="377" t="s">
        <v>116</v>
      </c>
      <c r="Q4" s="377" t="s">
        <v>116</v>
      </c>
      <c r="R4" s="377" t="s">
        <v>116</v>
      </c>
      <c r="S4" s="381" t="s">
        <v>116</v>
      </c>
      <c r="T4" s="397" t="s">
        <v>116</v>
      </c>
      <c r="U4" s="399" t="s">
        <v>116</v>
      </c>
      <c r="V4" s="401" t="s">
        <v>116</v>
      </c>
      <c r="W4" s="403" t="s">
        <v>116</v>
      </c>
      <c r="X4" s="405" t="s">
        <v>116</v>
      </c>
      <c r="Y4" s="405" t="s">
        <v>116</v>
      </c>
      <c r="Z4" s="399" t="s">
        <v>116</v>
      </c>
      <c r="AA4" s="407" t="s">
        <v>116</v>
      </c>
      <c r="AB4" s="370" t="s">
        <v>116</v>
      </c>
      <c r="AC4" s="370" t="s">
        <v>116</v>
      </c>
      <c r="AD4" s="15"/>
      <c r="AE4" s="15"/>
    </row>
    <row r="5" spans="1:31" x14ac:dyDescent="0.2">
      <c r="A5" s="15"/>
      <c r="B5" s="3"/>
      <c r="C5" s="3"/>
      <c r="D5" s="18" t="s">
        <v>4</v>
      </c>
      <c r="E5" s="235" t="s">
        <v>5</v>
      </c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15"/>
      <c r="AE5" s="15"/>
    </row>
    <row r="6" spans="1:31" x14ac:dyDescent="0.2">
      <c r="A6" s="236"/>
      <c r="B6" s="237"/>
      <c r="C6" s="237"/>
      <c r="D6" s="236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6"/>
      <c r="AE6" s="236"/>
    </row>
    <row r="7" spans="1:31" x14ac:dyDescent="0.2">
      <c r="A7" s="43">
        <v>1</v>
      </c>
      <c r="B7" s="117" t="s">
        <v>410</v>
      </c>
      <c r="C7" s="45" t="s">
        <v>24</v>
      </c>
      <c r="D7" s="43">
        <v>50</v>
      </c>
      <c r="E7" s="46">
        <v>2800</v>
      </c>
      <c r="F7" s="46">
        <v>2800</v>
      </c>
      <c r="G7" s="46">
        <v>2800</v>
      </c>
      <c r="H7" s="46">
        <v>2800</v>
      </c>
      <c r="I7" s="46"/>
      <c r="J7" s="46">
        <v>2800</v>
      </c>
      <c r="K7" s="46"/>
      <c r="L7" s="46"/>
      <c r="M7" s="46">
        <v>8400</v>
      </c>
      <c r="N7" s="46"/>
      <c r="O7" s="46"/>
      <c r="P7" s="46"/>
      <c r="Q7" s="46">
        <v>2800</v>
      </c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3">
        <f t="shared" ref="AD7:AD38" si="0">SUM(F7:AC7)</f>
        <v>22400</v>
      </c>
      <c r="AE7" s="43">
        <f t="shared" ref="AE7:AE38" si="1">AD7/E7</f>
        <v>8</v>
      </c>
    </row>
    <row r="8" spans="1:31" x14ac:dyDescent="0.2">
      <c r="A8" s="43">
        <v>2</v>
      </c>
      <c r="B8" s="117" t="s">
        <v>142</v>
      </c>
      <c r="C8" s="45" t="s">
        <v>143</v>
      </c>
      <c r="D8" s="43">
        <v>50</v>
      </c>
      <c r="E8" s="46">
        <v>550</v>
      </c>
      <c r="F8" s="46"/>
      <c r="G8" s="46">
        <v>6600</v>
      </c>
      <c r="H8" s="46">
        <v>3300</v>
      </c>
      <c r="I8" s="46"/>
      <c r="J8" s="46">
        <v>6600</v>
      </c>
      <c r="K8" s="46"/>
      <c r="L8" s="46"/>
      <c r="M8" s="46">
        <v>6600</v>
      </c>
      <c r="N8" s="46"/>
      <c r="O8" s="46"/>
      <c r="P8" s="46"/>
      <c r="Q8" s="46">
        <v>6600</v>
      </c>
      <c r="R8" s="46"/>
      <c r="S8" s="46"/>
      <c r="T8" s="46"/>
      <c r="U8" s="46"/>
      <c r="V8" s="46">
        <v>3300</v>
      </c>
      <c r="W8" s="46">
        <v>3300</v>
      </c>
      <c r="X8" s="46"/>
      <c r="Y8" s="46"/>
      <c r="Z8" s="46">
        <v>3300</v>
      </c>
      <c r="AA8" s="46"/>
      <c r="AB8" s="46"/>
      <c r="AC8" s="46"/>
      <c r="AD8" s="43">
        <f t="shared" si="0"/>
        <v>39600</v>
      </c>
      <c r="AE8" s="43">
        <f t="shared" si="1"/>
        <v>72</v>
      </c>
    </row>
    <row r="9" spans="1:31" x14ac:dyDescent="0.2">
      <c r="A9" s="43">
        <v>3</v>
      </c>
      <c r="B9" s="117" t="s">
        <v>411</v>
      </c>
      <c r="C9" s="45" t="s">
        <v>171</v>
      </c>
      <c r="D9" s="43">
        <v>10</v>
      </c>
      <c r="E9" s="46">
        <v>1200</v>
      </c>
      <c r="F9" s="46"/>
      <c r="G9" s="46">
        <v>4800</v>
      </c>
      <c r="H9" s="46">
        <v>6000</v>
      </c>
      <c r="I9" s="46"/>
      <c r="J9" s="46">
        <v>4800</v>
      </c>
      <c r="K9" s="46"/>
      <c r="L9" s="46"/>
      <c r="M9" s="46"/>
      <c r="N9" s="46">
        <v>2400</v>
      </c>
      <c r="O9" s="46"/>
      <c r="P9" s="46"/>
      <c r="Q9" s="46"/>
      <c r="R9" s="46">
        <v>14400</v>
      </c>
      <c r="S9" s="46"/>
      <c r="T9" s="46"/>
      <c r="U9" s="46"/>
      <c r="V9" s="46">
        <v>9600</v>
      </c>
      <c r="W9" s="46"/>
      <c r="X9" s="46">
        <v>6000</v>
      </c>
      <c r="Y9" s="46"/>
      <c r="Z9" s="46">
        <v>19200</v>
      </c>
      <c r="AA9" s="46"/>
      <c r="AB9" s="46"/>
      <c r="AC9" s="46"/>
      <c r="AD9" s="43">
        <f t="shared" si="0"/>
        <v>67200</v>
      </c>
      <c r="AE9" s="43">
        <f t="shared" si="1"/>
        <v>56</v>
      </c>
    </row>
    <row r="10" spans="1:31" x14ac:dyDescent="0.2">
      <c r="A10" s="43">
        <v>4</v>
      </c>
      <c r="B10" s="117" t="s">
        <v>412</v>
      </c>
      <c r="C10" s="45" t="s">
        <v>25</v>
      </c>
      <c r="D10" s="43">
        <v>50</v>
      </c>
      <c r="E10" s="46">
        <v>550</v>
      </c>
      <c r="F10" s="46"/>
      <c r="G10" s="46"/>
      <c r="H10" s="46">
        <v>3300</v>
      </c>
      <c r="I10" s="46"/>
      <c r="J10" s="46">
        <v>3300</v>
      </c>
      <c r="K10" s="46">
        <v>1650</v>
      </c>
      <c r="L10" s="46"/>
      <c r="M10" s="46"/>
      <c r="N10" s="46"/>
      <c r="O10" s="46"/>
      <c r="P10" s="46"/>
      <c r="Q10" s="46">
        <v>4950</v>
      </c>
      <c r="R10" s="46"/>
      <c r="S10" s="46"/>
      <c r="T10" s="46"/>
      <c r="U10" s="46"/>
      <c r="V10" s="46"/>
      <c r="W10" s="46"/>
      <c r="X10" s="46"/>
      <c r="Y10" s="46"/>
      <c r="Z10" s="46">
        <v>2750</v>
      </c>
      <c r="AA10" s="46"/>
      <c r="AB10" s="46"/>
      <c r="AC10" s="46"/>
      <c r="AD10" s="43">
        <f t="shared" si="0"/>
        <v>15950</v>
      </c>
      <c r="AE10" s="43">
        <f t="shared" si="1"/>
        <v>29</v>
      </c>
    </row>
    <row r="11" spans="1:31" x14ac:dyDescent="0.2">
      <c r="A11" s="43">
        <v>5</v>
      </c>
      <c r="B11" s="117" t="s">
        <v>413</v>
      </c>
      <c r="C11" s="45" t="s">
        <v>22</v>
      </c>
      <c r="D11" s="43">
        <v>100</v>
      </c>
      <c r="E11" s="46">
        <v>1200</v>
      </c>
      <c r="F11" s="46"/>
      <c r="G11" s="46">
        <v>33600</v>
      </c>
      <c r="H11" s="46">
        <v>24000</v>
      </c>
      <c r="I11" s="46">
        <v>36000</v>
      </c>
      <c r="J11" s="46"/>
      <c r="K11" s="46">
        <v>24000</v>
      </c>
      <c r="L11" s="46"/>
      <c r="M11" s="46"/>
      <c r="N11" s="46"/>
      <c r="O11" s="46">
        <v>36000</v>
      </c>
      <c r="P11" s="46"/>
      <c r="Q11" s="46"/>
      <c r="R11" s="46"/>
      <c r="S11" s="46"/>
      <c r="T11" s="46">
        <v>18000</v>
      </c>
      <c r="U11" s="46"/>
      <c r="V11" s="46"/>
      <c r="W11" s="46">
        <v>9600</v>
      </c>
      <c r="X11" s="46">
        <v>12000</v>
      </c>
      <c r="Y11" s="46"/>
      <c r="Z11" s="46"/>
      <c r="AA11" s="46"/>
      <c r="AB11" s="46"/>
      <c r="AC11" s="46"/>
      <c r="AD11" s="43">
        <f t="shared" si="0"/>
        <v>193200</v>
      </c>
      <c r="AE11" s="43">
        <f t="shared" si="1"/>
        <v>161</v>
      </c>
    </row>
    <row r="12" spans="1:31" x14ac:dyDescent="0.2">
      <c r="A12" s="43">
        <v>6</v>
      </c>
      <c r="B12" s="44" t="s">
        <v>200</v>
      </c>
      <c r="C12" s="45" t="s">
        <v>201</v>
      </c>
      <c r="D12" s="43">
        <v>10</v>
      </c>
      <c r="E12" s="46">
        <v>800</v>
      </c>
      <c r="F12" s="46"/>
      <c r="G12" s="46"/>
      <c r="H12" s="46"/>
      <c r="I12" s="46"/>
      <c r="J12" s="46"/>
      <c r="K12" s="46"/>
      <c r="L12" s="46"/>
      <c r="M12" s="46">
        <v>3200</v>
      </c>
      <c r="N12" s="46">
        <v>1600</v>
      </c>
      <c r="O12" s="46"/>
      <c r="P12" s="46"/>
      <c r="Q12" s="46">
        <v>2400</v>
      </c>
      <c r="R12" s="46"/>
      <c r="S12" s="46"/>
      <c r="T12" s="46"/>
      <c r="U12" s="46"/>
      <c r="V12" s="46">
        <v>3200</v>
      </c>
      <c r="W12" s="46"/>
      <c r="X12" s="46"/>
      <c r="Y12" s="46"/>
      <c r="Z12" s="46">
        <v>3200</v>
      </c>
      <c r="AA12" s="46"/>
      <c r="AB12" s="46"/>
      <c r="AC12" s="46"/>
      <c r="AD12" s="43">
        <f t="shared" si="0"/>
        <v>13600</v>
      </c>
      <c r="AE12" s="43">
        <f t="shared" si="1"/>
        <v>17</v>
      </c>
    </row>
    <row r="13" spans="1:31" x14ac:dyDescent="0.2">
      <c r="A13" s="43">
        <v>7</v>
      </c>
      <c r="B13" s="117" t="s">
        <v>349</v>
      </c>
      <c r="C13" s="240" t="s">
        <v>350</v>
      </c>
      <c r="D13" s="43">
        <v>10</v>
      </c>
      <c r="E13" s="46">
        <v>520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3">
        <f t="shared" si="0"/>
        <v>0</v>
      </c>
      <c r="AE13" s="43">
        <f t="shared" si="1"/>
        <v>0</v>
      </c>
    </row>
    <row r="14" spans="1:31" x14ac:dyDescent="0.2">
      <c r="A14" s="249" t="s">
        <v>454</v>
      </c>
      <c r="B14" s="117" t="s">
        <v>349</v>
      </c>
      <c r="C14" s="240" t="s">
        <v>350</v>
      </c>
      <c r="D14" s="43">
        <v>10</v>
      </c>
      <c r="E14" s="46">
        <v>450</v>
      </c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3">
        <f t="shared" si="0"/>
        <v>0</v>
      </c>
      <c r="AE14" s="43">
        <f t="shared" si="1"/>
        <v>0</v>
      </c>
    </row>
    <row r="15" spans="1:31" x14ac:dyDescent="0.2">
      <c r="A15" s="43">
        <v>8</v>
      </c>
      <c r="B15" s="371" t="s">
        <v>414</v>
      </c>
      <c r="C15" s="243" t="s">
        <v>397</v>
      </c>
      <c r="D15" s="244">
        <v>10</v>
      </c>
      <c r="E15" s="248">
        <v>2500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3">
        <f t="shared" si="0"/>
        <v>0</v>
      </c>
      <c r="AE15" s="43">
        <f t="shared" si="1"/>
        <v>0</v>
      </c>
    </row>
    <row r="16" spans="1:31" x14ac:dyDescent="0.2">
      <c r="A16" s="43">
        <v>9</v>
      </c>
      <c r="B16" s="371" t="s">
        <v>415</v>
      </c>
      <c r="C16" s="243" t="s">
        <v>398</v>
      </c>
      <c r="D16" s="244">
        <v>10</v>
      </c>
      <c r="E16" s="248">
        <v>1500</v>
      </c>
      <c r="F16" s="46"/>
      <c r="G16" s="46">
        <v>3000</v>
      </c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3">
        <f t="shared" si="0"/>
        <v>3000</v>
      </c>
      <c r="AE16" s="43">
        <f t="shared" si="1"/>
        <v>2</v>
      </c>
    </row>
    <row r="17" spans="1:31" x14ac:dyDescent="0.2">
      <c r="A17" s="43">
        <v>10</v>
      </c>
      <c r="B17" s="117" t="s">
        <v>416</v>
      </c>
      <c r="C17" s="45" t="s">
        <v>400</v>
      </c>
      <c r="D17" s="43">
        <v>10</v>
      </c>
      <c r="E17" s="46">
        <v>900</v>
      </c>
      <c r="F17" s="46"/>
      <c r="G17" s="46">
        <v>1800</v>
      </c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3">
        <f t="shared" si="0"/>
        <v>1800</v>
      </c>
      <c r="AE17" s="43">
        <f t="shared" si="1"/>
        <v>2</v>
      </c>
    </row>
    <row r="18" spans="1:31" x14ac:dyDescent="0.2">
      <c r="A18" s="43">
        <v>11</v>
      </c>
      <c r="B18" s="117" t="s">
        <v>417</v>
      </c>
      <c r="C18" s="45" t="s">
        <v>368</v>
      </c>
      <c r="D18" s="43">
        <v>10</v>
      </c>
      <c r="E18" s="46">
        <v>1900</v>
      </c>
      <c r="F18" s="46"/>
      <c r="G18" s="46">
        <v>13300</v>
      </c>
      <c r="H18" s="46">
        <v>5700</v>
      </c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3">
        <f t="shared" si="0"/>
        <v>19000</v>
      </c>
      <c r="AE18" s="43">
        <f t="shared" si="1"/>
        <v>10</v>
      </c>
    </row>
    <row r="19" spans="1:31" x14ac:dyDescent="0.2">
      <c r="A19" s="43">
        <v>12</v>
      </c>
      <c r="B19" s="117" t="s">
        <v>418</v>
      </c>
      <c r="C19" s="45" t="s">
        <v>370</v>
      </c>
      <c r="D19" s="43">
        <v>10</v>
      </c>
      <c r="E19" s="46">
        <v>890</v>
      </c>
      <c r="F19" s="46"/>
      <c r="G19" s="46">
        <v>4450</v>
      </c>
      <c r="H19" s="46">
        <v>2670</v>
      </c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3">
        <f t="shared" si="0"/>
        <v>7120</v>
      </c>
      <c r="AE19" s="43">
        <f t="shared" si="1"/>
        <v>8</v>
      </c>
    </row>
    <row r="20" spans="1:31" x14ac:dyDescent="0.2">
      <c r="A20" s="43">
        <v>13</v>
      </c>
      <c r="B20" s="117" t="s">
        <v>419</v>
      </c>
      <c r="C20" s="45" t="s">
        <v>372</v>
      </c>
      <c r="D20" s="43">
        <v>10</v>
      </c>
      <c r="E20" s="46">
        <v>600</v>
      </c>
      <c r="F20" s="46"/>
      <c r="G20" s="46">
        <v>4800</v>
      </c>
      <c r="H20" s="46">
        <v>1800</v>
      </c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3">
        <f t="shared" si="0"/>
        <v>6600</v>
      </c>
      <c r="AE20" s="43">
        <f t="shared" si="1"/>
        <v>11</v>
      </c>
    </row>
    <row r="21" spans="1:31" x14ac:dyDescent="0.2">
      <c r="A21" s="43"/>
      <c r="B21" s="117" t="s">
        <v>457</v>
      </c>
      <c r="C21" s="45" t="s">
        <v>458</v>
      </c>
      <c r="D21" s="43">
        <v>10</v>
      </c>
      <c r="E21" s="46">
        <v>2900</v>
      </c>
      <c r="F21" s="46"/>
      <c r="G21" s="46">
        <v>8700</v>
      </c>
      <c r="H21" s="46">
        <v>8700</v>
      </c>
      <c r="I21" s="46">
        <v>8700</v>
      </c>
      <c r="J21" s="46"/>
      <c r="K21" s="46"/>
      <c r="L21" s="46">
        <v>17400</v>
      </c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>
        <v>29000</v>
      </c>
      <c r="X21" s="46"/>
      <c r="Y21" s="46"/>
      <c r="Z21" s="46"/>
      <c r="AA21" s="46"/>
      <c r="AB21" s="46"/>
      <c r="AC21" s="46"/>
      <c r="AD21" s="43">
        <f t="shared" si="0"/>
        <v>72500</v>
      </c>
      <c r="AE21" s="43">
        <f t="shared" si="1"/>
        <v>25</v>
      </c>
    </row>
    <row r="22" spans="1:31" x14ac:dyDescent="0.2">
      <c r="A22" s="43"/>
      <c r="B22" s="117" t="s">
        <v>462</v>
      </c>
      <c r="C22" s="45" t="s">
        <v>463</v>
      </c>
      <c r="D22" s="43">
        <v>10</v>
      </c>
      <c r="E22" s="46">
        <v>1700</v>
      </c>
      <c r="F22" s="46"/>
      <c r="G22" s="46"/>
      <c r="H22" s="46">
        <v>1700</v>
      </c>
      <c r="I22" s="46">
        <v>3400</v>
      </c>
      <c r="J22" s="46"/>
      <c r="K22" s="46">
        <v>1700</v>
      </c>
      <c r="L22" s="46">
        <v>1700</v>
      </c>
      <c r="M22" s="46"/>
      <c r="N22" s="46"/>
      <c r="O22" s="46">
        <v>1700</v>
      </c>
      <c r="P22" s="46"/>
      <c r="Q22" s="46"/>
      <c r="R22" s="46"/>
      <c r="S22" s="46"/>
      <c r="T22" s="46">
        <v>3400</v>
      </c>
      <c r="U22" s="46"/>
      <c r="V22" s="46"/>
      <c r="W22" s="46"/>
      <c r="X22" s="46"/>
      <c r="Y22" s="46"/>
      <c r="Z22" s="46"/>
      <c r="AA22" s="46"/>
      <c r="AB22" s="46"/>
      <c r="AC22" s="46"/>
      <c r="AD22" s="43">
        <f t="shared" si="0"/>
        <v>13600</v>
      </c>
      <c r="AE22" s="43">
        <f t="shared" si="1"/>
        <v>8</v>
      </c>
    </row>
    <row r="23" spans="1:31" x14ac:dyDescent="0.2">
      <c r="A23" s="43">
        <v>14</v>
      </c>
      <c r="B23" s="117" t="s">
        <v>420</v>
      </c>
      <c r="C23" s="45" t="s">
        <v>401</v>
      </c>
      <c r="D23" s="43">
        <v>10</v>
      </c>
      <c r="E23" s="46">
        <v>1000</v>
      </c>
      <c r="F23" s="46"/>
      <c r="G23" s="46"/>
      <c r="H23" s="46">
        <v>1000</v>
      </c>
      <c r="I23" s="46">
        <v>1000</v>
      </c>
      <c r="J23" s="46"/>
      <c r="K23" s="46">
        <v>1000</v>
      </c>
      <c r="L23" s="46">
        <v>1000</v>
      </c>
      <c r="M23" s="46"/>
      <c r="N23" s="46"/>
      <c r="O23" s="46">
        <v>1000</v>
      </c>
      <c r="P23" s="46"/>
      <c r="Q23" s="46"/>
      <c r="R23" s="46"/>
      <c r="S23" s="46"/>
      <c r="T23" s="46">
        <v>2000</v>
      </c>
      <c r="U23" s="46"/>
      <c r="V23" s="46"/>
      <c r="W23" s="46"/>
      <c r="X23" s="46"/>
      <c r="Y23" s="46"/>
      <c r="Z23" s="46"/>
      <c r="AA23" s="46"/>
      <c r="AB23" s="46"/>
      <c r="AC23" s="46"/>
      <c r="AD23" s="43">
        <f t="shared" si="0"/>
        <v>7000</v>
      </c>
      <c r="AE23" s="43">
        <f t="shared" si="1"/>
        <v>7</v>
      </c>
    </row>
    <row r="24" spans="1:31" x14ac:dyDescent="0.2">
      <c r="A24" s="43">
        <v>15</v>
      </c>
      <c r="B24" s="117" t="s">
        <v>421</v>
      </c>
      <c r="C24" s="45" t="s">
        <v>40</v>
      </c>
      <c r="D24" s="43">
        <v>50</v>
      </c>
      <c r="E24" s="46">
        <v>1750</v>
      </c>
      <c r="F24" s="46"/>
      <c r="G24" s="46"/>
      <c r="H24" s="46"/>
      <c r="I24" s="46"/>
      <c r="J24" s="46">
        <v>5250</v>
      </c>
      <c r="K24" s="46"/>
      <c r="L24" s="46"/>
      <c r="M24" s="46"/>
      <c r="N24" s="46"/>
      <c r="O24" s="46"/>
      <c r="P24" s="46">
        <v>1750</v>
      </c>
      <c r="Q24" s="46">
        <v>5250</v>
      </c>
      <c r="R24" s="46"/>
      <c r="S24" s="46">
        <v>5250</v>
      </c>
      <c r="T24" s="46"/>
      <c r="U24" s="46"/>
      <c r="V24" s="46">
        <v>8750</v>
      </c>
      <c r="W24" s="46"/>
      <c r="X24" s="46"/>
      <c r="Y24" s="46"/>
      <c r="Z24" s="46">
        <v>12250</v>
      </c>
      <c r="AA24" s="46"/>
      <c r="AB24" s="46"/>
      <c r="AC24" s="46"/>
      <c r="AD24" s="43">
        <f t="shared" si="0"/>
        <v>38500</v>
      </c>
      <c r="AE24" s="43">
        <f t="shared" si="1"/>
        <v>22</v>
      </c>
    </row>
    <row r="25" spans="1:31" x14ac:dyDescent="0.2">
      <c r="A25" s="43">
        <v>16</v>
      </c>
      <c r="B25" s="117" t="s">
        <v>422</v>
      </c>
      <c r="C25" s="45" t="s">
        <v>23</v>
      </c>
      <c r="D25" s="43">
        <v>100</v>
      </c>
      <c r="E25" s="46">
        <v>1000</v>
      </c>
      <c r="F25" s="46"/>
      <c r="G25" s="46">
        <v>3000</v>
      </c>
      <c r="H25" s="46">
        <v>5000</v>
      </c>
      <c r="I25" s="46"/>
      <c r="J25" s="46"/>
      <c r="K25" s="46"/>
      <c r="L25" s="46"/>
      <c r="M25" s="46"/>
      <c r="N25" s="46">
        <v>2000</v>
      </c>
      <c r="O25" s="46"/>
      <c r="P25" s="46">
        <v>1000</v>
      </c>
      <c r="Q25" s="46">
        <v>4000</v>
      </c>
      <c r="R25" s="46"/>
      <c r="S25" s="46"/>
      <c r="T25" s="46"/>
      <c r="U25" s="46"/>
      <c r="V25" s="46">
        <v>9000</v>
      </c>
      <c r="W25" s="46"/>
      <c r="X25" s="46"/>
      <c r="Y25" s="46"/>
      <c r="Z25" s="46">
        <v>6000</v>
      </c>
      <c r="AA25" s="46"/>
      <c r="AB25" s="46"/>
      <c r="AC25" s="46"/>
      <c r="AD25" s="43">
        <f t="shared" si="0"/>
        <v>30000</v>
      </c>
      <c r="AE25" s="43">
        <f t="shared" si="1"/>
        <v>30</v>
      </c>
    </row>
    <row r="26" spans="1:31" x14ac:dyDescent="0.2">
      <c r="A26" s="43">
        <v>17</v>
      </c>
      <c r="B26" s="117" t="s">
        <v>423</v>
      </c>
      <c r="C26" s="45" t="s">
        <v>37</v>
      </c>
      <c r="D26" s="43">
        <v>50</v>
      </c>
      <c r="E26" s="46">
        <v>600</v>
      </c>
      <c r="F26" s="46"/>
      <c r="G26" s="46"/>
      <c r="H26" s="46"/>
      <c r="I26" s="46"/>
      <c r="J26" s="46">
        <v>600</v>
      </c>
      <c r="K26" s="46"/>
      <c r="L26" s="46"/>
      <c r="M26" s="46">
        <v>1200</v>
      </c>
      <c r="N26" s="46"/>
      <c r="O26" s="46"/>
      <c r="P26" s="46"/>
      <c r="Q26" s="46">
        <v>600</v>
      </c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3">
        <f t="shared" si="0"/>
        <v>2400</v>
      </c>
      <c r="AE26" s="43">
        <f t="shared" si="1"/>
        <v>4</v>
      </c>
    </row>
    <row r="27" spans="1:31" x14ac:dyDescent="0.2">
      <c r="A27" s="43">
        <v>18</v>
      </c>
      <c r="B27" s="117" t="s">
        <v>424</v>
      </c>
      <c r="C27" s="45" t="s">
        <v>162</v>
      </c>
      <c r="D27" s="43">
        <v>50</v>
      </c>
      <c r="E27" s="46">
        <v>350</v>
      </c>
      <c r="F27" s="46"/>
      <c r="G27" s="46"/>
      <c r="H27" s="46"/>
      <c r="I27" s="46"/>
      <c r="J27" s="46">
        <v>350</v>
      </c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>
        <v>700</v>
      </c>
      <c r="W27" s="46"/>
      <c r="X27" s="46"/>
      <c r="Y27" s="46"/>
      <c r="Z27" s="46"/>
      <c r="AA27" s="46"/>
      <c r="AB27" s="46"/>
      <c r="AC27" s="46"/>
      <c r="AD27" s="43">
        <f t="shared" si="0"/>
        <v>1050</v>
      </c>
      <c r="AE27" s="43">
        <f t="shared" si="1"/>
        <v>3</v>
      </c>
    </row>
    <row r="28" spans="1:31" x14ac:dyDescent="0.2">
      <c r="A28" s="43">
        <v>19</v>
      </c>
      <c r="B28" s="117" t="s">
        <v>425</v>
      </c>
      <c r="C28" s="116" t="s">
        <v>169</v>
      </c>
      <c r="D28" s="43">
        <v>10</v>
      </c>
      <c r="E28" s="46">
        <v>300</v>
      </c>
      <c r="F28" s="46"/>
      <c r="G28" s="46"/>
      <c r="H28" s="46">
        <v>3000</v>
      </c>
      <c r="I28" s="46"/>
      <c r="J28" s="46"/>
      <c r="K28" s="46">
        <v>6000</v>
      </c>
      <c r="L28" s="46"/>
      <c r="M28" s="46"/>
      <c r="N28" s="46"/>
      <c r="O28" s="46">
        <v>3000</v>
      </c>
      <c r="P28" s="46"/>
      <c r="Q28" s="46"/>
      <c r="R28" s="46"/>
      <c r="S28" s="46"/>
      <c r="T28" s="46">
        <v>3000</v>
      </c>
      <c r="U28" s="46"/>
      <c r="V28" s="46"/>
      <c r="W28" s="46">
        <v>3000</v>
      </c>
      <c r="X28" s="46">
        <v>3000</v>
      </c>
      <c r="Y28" s="46">
        <v>300</v>
      </c>
      <c r="Z28" s="46"/>
      <c r="AA28" s="46"/>
      <c r="AB28" s="46"/>
      <c r="AC28" s="46"/>
      <c r="AD28" s="43">
        <f t="shared" si="0"/>
        <v>21300</v>
      </c>
      <c r="AE28" s="43">
        <f t="shared" si="1"/>
        <v>71</v>
      </c>
    </row>
    <row r="29" spans="1:31" x14ac:dyDescent="0.2">
      <c r="A29" s="43">
        <v>20</v>
      </c>
      <c r="B29" s="44" t="s">
        <v>426</v>
      </c>
      <c r="C29" s="116" t="s">
        <v>264</v>
      </c>
      <c r="D29" s="43">
        <v>10</v>
      </c>
      <c r="E29" s="46">
        <v>230</v>
      </c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3">
        <f t="shared" si="0"/>
        <v>0</v>
      </c>
      <c r="AE29" s="43">
        <f t="shared" si="1"/>
        <v>0</v>
      </c>
    </row>
    <row r="30" spans="1:31" x14ac:dyDescent="0.2">
      <c r="A30" s="43">
        <v>21</v>
      </c>
      <c r="B30" s="44" t="s">
        <v>427</v>
      </c>
      <c r="C30" s="116" t="s">
        <v>265</v>
      </c>
      <c r="D30" s="43">
        <v>10</v>
      </c>
      <c r="E30" s="46">
        <v>160</v>
      </c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3">
        <f t="shared" si="0"/>
        <v>0</v>
      </c>
      <c r="AE30" s="43">
        <f t="shared" si="1"/>
        <v>0</v>
      </c>
    </row>
    <row r="31" spans="1:31" x14ac:dyDescent="0.2">
      <c r="A31" s="43">
        <v>22</v>
      </c>
      <c r="B31" s="117" t="s">
        <v>428</v>
      </c>
      <c r="C31" s="45" t="s">
        <v>274</v>
      </c>
      <c r="D31" s="43">
        <v>5</v>
      </c>
      <c r="E31" s="46">
        <v>85</v>
      </c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3">
        <f t="shared" si="0"/>
        <v>0</v>
      </c>
      <c r="AE31" s="43">
        <f t="shared" si="1"/>
        <v>0</v>
      </c>
    </row>
    <row r="32" spans="1:31" x14ac:dyDescent="0.2">
      <c r="A32" s="43">
        <v>23</v>
      </c>
      <c r="B32" s="117" t="s">
        <v>429</v>
      </c>
      <c r="C32" s="45" t="s">
        <v>275</v>
      </c>
      <c r="D32" s="43">
        <v>5</v>
      </c>
      <c r="E32" s="46">
        <v>75</v>
      </c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3">
        <f t="shared" si="0"/>
        <v>0</v>
      </c>
      <c r="AE32" s="43">
        <f t="shared" si="1"/>
        <v>0</v>
      </c>
    </row>
    <row r="33" spans="1:31" x14ac:dyDescent="0.2">
      <c r="A33" s="43">
        <v>24</v>
      </c>
      <c r="B33" s="117" t="s">
        <v>430</v>
      </c>
      <c r="C33" s="45" t="s">
        <v>276</v>
      </c>
      <c r="D33" s="43">
        <v>5</v>
      </c>
      <c r="E33" s="46">
        <v>45</v>
      </c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3">
        <f t="shared" si="0"/>
        <v>0</v>
      </c>
      <c r="AE33" s="43">
        <f t="shared" si="1"/>
        <v>0</v>
      </c>
    </row>
    <row r="34" spans="1:31" x14ac:dyDescent="0.2">
      <c r="A34" s="43">
        <v>25</v>
      </c>
      <c r="B34" s="117" t="s">
        <v>431</v>
      </c>
      <c r="C34" s="45" t="s">
        <v>6</v>
      </c>
      <c r="D34" s="43">
        <v>5</v>
      </c>
      <c r="E34" s="46">
        <v>2000</v>
      </c>
      <c r="F34" s="46"/>
      <c r="G34" s="46">
        <v>34000</v>
      </c>
      <c r="H34" s="46">
        <v>20000</v>
      </c>
      <c r="I34" s="46">
        <v>20000</v>
      </c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>
        <v>6000</v>
      </c>
      <c r="U34" s="46"/>
      <c r="V34" s="46"/>
      <c r="W34" s="46">
        <v>6000</v>
      </c>
      <c r="X34" s="46">
        <v>4000</v>
      </c>
      <c r="Y34" s="46">
        <v>4000</v>
      </c>
      <c r="Z34" s="46"/>
      <c r="AA34" s="46"/>
      <c r="AB34" s="46"/>
      <c r="AC34" s="46"/>
      <c r="AD34" s="43">
        <f t="shared" si="0"/>
        <v>94000</v>
      </c>
      <c r="AE34" s="43">
        <f t="shared" si="1"/>
        <v>47</v>
      </c>
    </row>
    <row r="35" spans="1:31" x14ac:dyDescent="0.2">
      <c r="A35" s="43">
        <v>26</v>
      </c>
      <c r="B35" s="117" t="s">
        <v>432</v>
      </c>
      <c r="C35" s="45" t="s">
        <v>7</v>
      </c>
      <c r="D35" s="43">
        <v>100</v>
      </c>
      <c r="E35" s="46">
        <v>2000</v>
      </c>
      <c r="F35" s="46"/>
      <c r="G35" s="46"/>
      <c r="H35" s="46">
        <v>2000</v>
      </c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3">
        <f t="shared" si="0"/>
        <v>2000</v>
      </c>
      <c r="AE35" s="43">
        <f t="shared" si="1"/>
        <v>1</v>
      </c>
    </row>
    <row r="36" spans="1:31" x14ac:dyDescent="0.2">
      <c r="A36" s="43" t="s">
        <v>199</v>
      </c>
      <c r="B36" s="117" t="s">
        <v>432</v>
      </c>
      <c r="C36" s="45" t="s">
        <v>7</v>
      </c>
      <c r="D36" s="43">
        <v>50</v>
      </c>
      <c r="E36" s="46">
        <v>1800</v>
      </c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>
        <v>9000</v>
      </c>
      <c r="Q36" s="46"/>
      <c r="R36" s="46"/>
      <c r="S36" s="46"/>
      <c r="T36" s="46">
        <v>27000</v>
      </c>
      <c r="U36" s="46">
        <v>9000</v>
      </c>
      <c r="V36" s="46">
        <v>9000</v>
      </c>
      <c r="W36" s="46">
        <v>10800</v>
      </c>
      <c r="X36" s="46">
        <v>10800</v>
      </c>
      <c r="Y36" s="46"/>
      <c r="Z36" s="46"/>
      <c r="AA36" s="46"/>
      <c r="AB36" s="46"/>
      <c r="AC36" s="46"/>
      <c r="AD36" s="43">
        <f t="shared" si="0"/>
        <v>75600</v>
      </c>
      <c r="AE36" s="43">
        <f t="shared" si="1"/>
        <v>42</v>
      </c>
    </row>
    <row r="37" spans="1:31" x14ac:dyDescent="0.2">
      <c r="A37" s="43">
        <v>27</v>
      </c>
      <c r="B37" s="117" t="s">
        <v>433</v>
      </c>
      <c r="C37" s="45" t="s">
        <v>8</v>
      </c>
      <c r="D37" s="43">
        <v>50</v>
      </c>
      <c r="E37" s="46">
        <v>1100</v>
      </c>
      <c r="F37" s="46"/>
      <c r="G37" s="46">
        <v>6600</v>
      </c>
      <c r="H37" s="46">
        <v>12100</v>
      </c>
      <c r="I37" s="46"/>
      <c r="J37" s="46">
        <v>16500</v>
      </c>
      <c r="K37" s="46"/>
      <c r="L37" s="46"/>
      <c r="M37" s="46"/>
      <c r="N37" s="46"/>
      <c r="O37" s="46"/>
      <c r="P37" s="46"/>
      <c r="Q37" s="46">
        <v>8800</v>
      </c>
      <c r="R37" s="46"/>
      <c r="S37" s="46"/>
      <c r="T37" s="46"/>
      <c r="U37" s="46">
        <v>11000</v>
      </c>
      <c r="V37" s="46">
        <v>9900</v>
      </c>
      <c r="W37" s="46">
        <v>1100</v>
      </c>
      <c r="X37" s="46">
        <v>11000</v>
      </c>
      <c r="Y37" s="46"/>
      <c r="Z37" s="46">
        <v>16500</v>
      </c>
      <c r="AA37" s="46"/>
      <c r="AB37" s="46"/>
      <c r="AC37" s="46"/>
      <c r="AD37" s="43">
        <f t="shared" si="0"/>
        <v>93500</v>
      </c>
      <c r="AE37" s="43">
        <f t="shared" si="1"/>
        <v>85</v>
      </c>
    </row>
    <row r="38" spans="1:31" x14ac:dyDescent="0.2">
      <c r="A38" s="43">
        <v>28</v>
      </c>
      <c r="B38" s="117" t="s">
        <v>434</v>
      </c>
      <c r="C38" s="45" t="s">
        <v>9</v>
      </c>
      <c r="D38" s="43">
        <v>50</v>
      </c>
      <c r="E38" s="46">
        <v>1000</v>
      </c>
      <c r="F38" s="46"/>
      <c r="G38" s="46">
        <v>9000</v>
      </c>
      <c r="H38" s="46">
        <v>6000</v>
      </c>
      <c r="I38" s="46">
        <v>6000</v>
      </c>
      <c r="J38" s="46"/>
      <c r="K38" s="46">
        <v>9000</v>
      </c>
      <c r="L38" s="46"/>
      <c r="M38" s="46"/>
      <c r="N38" s="46"/>
      <c r="O38" s="46">
        <v>14000</v>
      </c>
      <c r="P38" s="46"/>
      <c r="Q38" s="46"/>
      <c r="R38" s="46"/>
      <c r="S38" s="46"/>
      <c r="T38" s="46">
        <v>2000</v>
      </c>
      <c r="U38" s="46"/>
      <c r="V38" s="46"/>
      <c r="W38" s="46">
        <v>20000</v>
      </c>
      <c r="X38" s="46">
        <v>5000</v>
      </c>
      <c r="Y38" s="46"/>
      <c r="Z38" s="46"/>
      <c r="AA38" s="46"/>
      <c r="AB38" s="46"/>
      <c r="AC38" s="46"/>
      <c r="AD38" s="43">
        <f t="shared" si="0"/>
        <v>71000</v>
      </c>
      <c r="AE38" s="43">
        <f t="shared" si="1"/>
        <v>71</v>
      </c>
    </row>
    <row r="39" spans="1:31" x14ac:dyDescent="0.2">
      <c r="A39" s="249" t="s">
        <v>335</v>
      </c>
      <c r="B39" s="117" t="s">
        <v>434</v>
      </c>
      <c r="C39" s="45" t="s">
        <v>9</v>
      </c>
      <c r="D39" s="43">
        <v>50</v>
      </c>
      <c r="E39" s="46">
        <v>1000</v>
      </c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3">
        <f t="shared" ref="AD39:AD68" si="2">SUM(F39:AC39)</f>
        <v>0</v>
      </c>
      <c r="AE39" s="43">
        <f t="shared" ref="AE39:AE68" si="3">AD39/E39</f>
        <v>0</v>
      </c>
    </row>
    <row r="40" spans="1:31" x14ac:dyDescent="0.2">
      <c r="A40" s="43">
        <v>29</v>
      </c>
      <c r="B40" s="117" t="s">
        <v>435</v>
      </c>
      <c r="C40" s="45" t="s">
        <v>10</v>
      </c>
      <c r="D40" s="43">
        <v>50</v>
      </c>
      <c r="E40" s="46">
        <v>800</v>
      </c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>
        <v>3200</v>
      </c>
      <c r="R40" s="46"/>
      <c r="S40" s="46"/>
      <c r="T40" s="46"/>
      <c r="U40" s="46">
        <v>2400</v>
      </c>
      <c r="V40" s="46">
        <v>8800</v>
      </c>
      <c r="W40" s="46"/>
      <c r="X40" s="46">
        <v>1600</v>
      </c>
      <c r="Y40" s="46"/>
      <c r="Z40" s="46">
        <v>9600</v>
      </c>
      <c r="AA40" s="46"/>
      <c r="AB40" s="46"/>
      <c r="AC40" s="46"/>
      <c r="AD40" s="43">
        <f t="shared" si="2"/>
        <v>25600</v>
      </c>
      <c r="AE40" s="43">
        <f t="shared" si="3"/>
        <v>32</v>
      </c>
    </row>
    <row r="41" spans="1:31" x14ac:dyDescent="0.2">
      <c r="A41" s="43">
        <v>30</v>
      </c>
      <c r="B41" s="117" t="s">
        <v>436</v>
      </c>
      <c r="C41" s="45" t="s">
        <v>11</v>
      </c>
      <c r="D41" s="43">
        <v>50</v>
      </c>
      <c r="E41" s="46">
        <v>600</v>
      </c>
      <c r="F41" s="46"/>
      <c r="G41" s="46">
        <v>6000</v>
      </c>
      <c r="H41" s="46">
        <v>6000</v>
      </c>
      <c r="I41" s="46">
        <v>6000</v>
      </c>
      <c r="J41" s="46"/>
      <c r="K41" s="46">
        <v>6000</v>
      </c>
      <c r="L41" s="46">
        <v>6000</v>
      </c>
      <c r="M41" s="46"/>
      <c r="N41" s="46"/>
      <c r="O41" s="46">
        <v>6000</v>
      </c>
      <c r="P41" s="46"/>
      <c r="Q41" s="46"/>
      <c r="R41" s="46"/>
      <c r="S41" s="46"/>
      <c r="T41" s="46">
        <v>6000</v>
      </c>
      <c r="U41" s="46"/>
      <c r="V41" s="46"/>
      <c r="W41" s="46">
        <v>6000</v>
      </c>
      <c r="X41" s="46">
        <v>2400</v>
      </c>
      <c r="Y41" s="46"/>
      <c r="Z41" s="46"/>
      <c r="AA41" s="46"/>
      <c r="AB41" s="46"/>
      <c r="AC41" s="46"/>
      <c r="AD41" s="43">
        <f t="shared" si="2"/>
        <v>50400</v>
      </c>
      <c r="AE41" s="43">
        <f t="shared" si="3"/>
        <v>84</v>
      </c>
    </row>
    <row r="42" spans="1:31" x14ac:dyDescent="0.2">
      <c r="A42" s="43">
        <v>31</v>
      </c>
      <c r="B42" s="394" t="s">
        <v>408</v>
      </c>
      <c r="C42" s="45" t="s">
        <v>213</v>
      </c>
      <c r="D42" s="43">
        <v>10</v>
      </c>
      <c r="E42" s="46">
        <v>600</v>
      </c>
      <c r="F42" s="46"/>
      <c r="G42" s="46">
        <v>600</v>
      </c>
      <c r="H42" s="46">
        <v>600</v>
      </c>
      <c r="I42" s="46">
        <v>1200</v>
      </c>
      <c r="J42" s="46"/>
      <c r="K42" s="46">
        <v>600</v>
      </c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>
        <v>600</v>
      </c>
      <c r="X42" s="46"/>
      <c r="Y42" s="46"/>
      <c r="Z42" s="46"/>
      <c r="AA42" s="46"/>
      <c r="AB42" s="46"/>
      <c r="AC42" s="46"/>
      <c r="AD42" s="43">
        <f t="shared" si="2"/>
        <v>3600</v>
      </c>
      <c r="AE42" s="43">
        <f t="shared" si="3"/>
        <v>6</v>
      </c>
    </row>
    <row r="43" spans="1:31" x14ac:dyDescent="0.2">
      <c r="A43" s="43">
        <v>32</v>
      </c>
      <c r="B43" s="117" t="s">
        <v>437</v>
      </c>
      <c r="C43" s="45" t="s">
        <v>14</v>
      </c>
      <c r="D43" s="43">
        <v>10</v>
      </c>
      <c r="E43" s="46">
        <v>400</v>
      </c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>
        <v>2000</v>
      </c>
      <c r="Y43" s="46"/>
      <c r="Z43" s="46">
        <v>2000</v>
      </c>
      <c r="AA43" s="46"/>
      <c r="AB43" s="46"/>
      <c r="AC43" s="46"/>
      <c r="AD43" s="43">
        <f t="shared" si="2"/>
        <v>4000</v>
      </c>
      <c r="AE43" s="43">
        <f t="shared" si="3"/>
        <v>10</v>
      </c>
    </row>
    <row r="44" spans="1:31" x14ac:dyDescent="0.2">
      <c r="A44" s="43">
        <v>33</v>
      </c>
      <c r="B44" s="117" t="s">
        <v>438</v>
      </c>
      <c r="C44" s="45" t="s">
        <v>15</v>
      </c>
      <c r="D44" s="43">
        <v>10</v>
      </c>
      <c r="E44" s="43">
        <v>400</v>
      </c>
      <c r="F44" s="46"/>
      <c r="G44" s="46">
        <v>4000</v>
      </c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3">
        <f t="shared" si="2"/>
        <v>4000</v>
      </c>
      <c r="AE44" s="43">
        <f t="shared" si="3"/>
        <v>10</v>
      </c>
    </row>
    <row r="45" spans="1:31" x14ac:dyDescent="0.2">
      <c r="A45" s="43">
        <v>34</v>
      </c>
      <c r="B45" s="117" t="s">
        <v>439</v>
      </c>
      <c r="C45" s="45" t="s">
        <v>16</v>
      </c>
      <c r="D45" s="43">
        <v>10</v>
      </c>
      <c r="E45" s="43">
        <v>300</v>
      </c>
      <c r="F45" s="46"/>
      <c r="G45" s="46">
        <v>6000</v>
      </c>
      <c r="H45" s="46">
        <v>6000</v>
      </c>
      <c r="I45" s="46"/>
      <c r="J45" s="46">
        <v>9000</v>
      </c>
      <c r="K45" s="46">
        <v>12000</v>
      </c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>
        <v>9000</v>
      </c>
      <c r="X45" s="46">
        <v>12000</v>
      </c>
      <c r="Y45" s="46"/>
      <c r="Z45" s="46">
        <v>9000</v>
      </c>
      <c r="AA45" s="46"/>
      <c r="AB45" s="46"/>
      <c r="AC45" s="46"/>
      <c r="AD45" s="43">
        <f t="shared" si="2"/>
        <v>63000</v>
      </c>
      <c r="AE45" s="43">
        <f t="shared" si="3"/>
        <v>210</v>
      </c>
    </row>
    <row r="46" spans="1:31" x14ac:dyDescent="0.2">
      <c r="A46" s="43">
        <v>35</v>
      </c>
      <c r="B46" s="44" t="s">
        <v>403</v>
      </c>
      <c r="C46" s="45" t="s">
        <v>179</v>
      </c>
      <c r="D46" s="43">
        <v>10</v>
      </c>
      <c r="E46" s="43">
        <v>300</v>
      </c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>
        <v>1200</v>
      </c>
      <c r="X46" s="46">
        <v>1500</v>
      </c>
      <c r="Y46" s="46"/>
      <c r="Z46" s="46">
        <v>900</v>
      </c>
      <c r="AA46" s="46"/>
      <c r="AB46" s="46"/>
      <c r="AC46" s="46"/>
      <c r="AD46" s="43">
        <f t="shared" si="2"/>
        <v>3600</v>
      </c>
      <c r="AE46" s="43">
        <f t="shared" si="3"/>
        <v>12</v>
      </c>
    </row>
    <row r="47" spans="1:31" x14ac:dyDescent="0.2">
      <c r="A47" s="43">
        <v>36</v>
      </c>
      <c r="B47" s="117" t="s">
        <v>442</v>
      </c>
      <c r="C47" s="45" t="s">
        <v>197</v>
      </c>
      <c r="D47" s="43">
        <v>10</v>
      </c>
      <c r="E47" s="43">
        <v>1300</v>
      </c>
      <c r="F47" s="46"/>
      <c r="G47" s="46"/>
      <c r="H47" s="46"/>
      <c r="I47" s="46"/>
      <c r="J47" s="46"/>
      <c r="K47" s="46"/>
      <c r="L47" s="46"/>
      <c r="M47" s="46">
        <v>2600</v>
      </c>
      <c r="N47" s="46"/>
      <c r="O47" s="46"/>
      <c r="P47" s="46"/>
      <c r="Q47" s="46">
        <v>2600</v>
      </c>
      <c r="R47" s="46"/>
      <c r="S47" s="46"/>
      <c r="T47" s="46"/>
      <c r="U47" s="46"/>
      <c r="V47" s="46">
        <v>2600</v>
      </c>
      <c r="W47" s="46">
        <v>2600</v>
      </c>
      <c r="X47" s="46"/>
      <c r="Y47" s="46"/>
      <c r="Z47" s="46">
        <v>2600</v>
      </c>
      <c r="AA47" s="46"/>
      <c r="AB47" s="46"/>
      <c r="AC47" s="46"/>
      <c r="AD47" s="43">
        <f t="shared" si="2"/>
        <v>13000</v>
      </c>
      <c r="AE47" s="43">
        <f t="shared" si="3"/>
        <v>10</v>
      </c>
    </row>
    <row r="48" spans="1:31" x14ac:dyDescent="0.2">
      <c r="A48" s="43">
        <v>37</v>
      </c>
      <c r="B48" s="117" t="s">
        <v>443</v>
      </c>
      <c r="C48" s="45" t="s">
        <v>198</v>
      </c>
      <c r="D48" s="43">
        <v>10</v>
      </c>
      <c r="E48" s="43">
        <v>800</v>
      </c>
      <c r="F48" s="46"/>
      <c r="G48" s="46"/>
      <c r="H48" s="46"/>
      <c r="I48" s="46"/>
      <c r="J48" s="46"/>
      <c r="K48" s="46"/>
      <c r="L48" s="46"/>
      <c r="M48" s="46">
        <v>1600</v>
      </c>
      <c r="N48" s="46"/>
      <c r="O48" s="46"/>
      <c r="P48" s="46"/>
      <c r="Q48" s="46">
        <v>2400</v>
      </c>
      <c r="R48" s="46"/>
      <c r="S48" s="46"/>
      <c r="T48" s="46"/>
      <c r="U48" s="46"/>
      <c r="V48" s="46">
        <v>3200</v>
      </c>
      <c r="W48" s="46">
        <v>800</v>
      </c>
      <c r="X48" s="46">
        <v>800</v>
      </c>
      <c r="Y48" s="46"/>
      <c r="Z48" s="46">
        <v>2400</v>
      </c>
      <c r="AA48" s="46"/>
      <c r="AB48" s="46"/>
      <c r="AC48" s="46"/>
      <c r="AD48" s="43">
        <f t="shared" si="2"/>
        <v>11200</v>
      </c>
      <c r="AE48" s="43">
        <f t="shared" si="3"/>
        <v>14</v>
      </c>
    </row>
    <row r="49" spans="1:31" x14ac:dyDescent="0.2">
      <c r="A49" s="43">
        <v>38</v>
      </c>
      <c r="B49" s="117" t="s">
        <v>444</v>
      </c>
      <c r="C49" s="45" t="s">
        <v>207</v>
      </c>
      <c r="D49" s="43">
        <v>10</v>
      </c>
      <c r="E49" s="43">
        <v>450</v>
      </c>
      <c r="F49" s="46"/>
      <c r="G49" s="46"/>
      <c r="H49" s="46"/>
      <c r="I49" s="46"/>
      <c r="J49" s="46"/>
      <c r="K49" s="46">
        <v>1800</v>
      </c>
      <c r="L49" s="46"/>
      <c r="M49" s="46"/>
      <c r="N49" s="46"/>
      <c r="O49" s="46"/>
      <c r="P49" s="46"/>
      <c r="Q49" s="46">
        <v>2250</v>
      </c>
      <c r="R49" s="46"/>
      <c r="S49" s="46"/>
      <c r="T49" s="46"/>
      <c r="U49" s="46"/>
      <c r="V49" s="46">
        <v>3600</v>
      </c>
      <c r="W49" s="46"/>
      <c r="X49" s="46"/>
      <c r="Y49" s="46"/>
      <c r="Z49" s="46">
        <v>4050</v>
      </c>
      <c r="AA49" s="46"/>
      <c r="AB49" s="46"/>
      <c r="AC49" s="46"/>
      <c r="AD49" s="43">
        <f t="shared" si="2"/>
        <v>11700</v>
      </c>
      <c r="AE49" s="43">
        <f t="shared" si="3"/>
        <v>26</v>
      </c>
    </row>
    <row r="50" spans="1:31" x14ac:dyDescent="0.2">
      <c r="A50" s="43">
        <v>39</v>
      </c>
      <c r="B50" s="44" t="s">
        <v>404</v>
      </c>
      <c r="C50" s="45" t="s">
        <v>238</v>
      </c>
      <c r="D50" s="43">
        <v>10</v>
      </c>
      <c r="E50" s="43">
        <v>450</v>
      </c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3">
        <f t="shared" si="2"/>
        <v>0</v>
      </c>
      <c r="AE50" s="43">
        <f t="shared" si="3"/>
        <v>0</v>
      </c>
    </row>
    <row r="51" spans="1:31" x14ac:dyDescent="0.2">
      <c r="A51" s="43">
        <v>40</v>
      </c>
      <c r="B51" s="117" t="s">
        <v>440</v>
      </c>
      <c r="C51" s="45" t="s">
        <v>26</v>
      </c>
      <c r="D51" s="43">
        <v>10</v>
      </c>
      <c r="E51" s="46">
        <v>320</v>
      </c>
      <c r="F51" s="46"/>
      <c r="G51" s="46"/>
      <c r="H51" s="46">
        <v>320</v>
      </c>
      <c r="I51" s="46"/>
      <c r="J51" s="46"/>
      <c r="K51" s="46">
        <v>320</v>
      </c>
      <c r="L51" s="46"/>
      <c r="M51" s="46"/>
      <c r="N51" s="46"/>
      <c r="O51" s="46"/>
      <c r="P51" s="46"/>
      <c r="Q51" s="46">
        <v>640</v>
      </c>
      <c r="R51" s="46"/>
      <c r="S51" s="46"/>
      <c r="T51" s="46"/>
      <c r="U51" s="46"/>
      <c r="V51" s="46">
        <v>320</v>
      </c>
      <c r="W51" s="46"/>
      <c r="X51" s="46"/>
      <c r="Y51" s="46"/>
      <c r="Z51" s="46">
        <v>640</v>
      </c>
      <c r="AA51" s="46"/>
      <c r="AB51" s="46"/>
      <c r="AC51" s="46"/>
      <c r="AD51" s="43">
        <f t="shared" si="2"/>
        <v>2240</v>
      </c>
      <c r="AE51" s="43">
        <f t="shared" si="3"/>
        <v>7</v>
      </c>
    </row>
    <row r="52" spans="1:31" x14ac:dyDescent="0.2">
      <c r="A52" s="43">
        <v>42</v>
      </c>
      <c r="B52" s="117" t="s">
        <v>441</v>
      </c>
      <c r="C52" s="45" t="s">
        <v>31</v>
      </c>
      <c r="D52" s="43">
        <v>10</v>
      </c>
      <c r="E52" s="46">
        <v>230</v>
      </c>
      <c r="F52" s="46"/>
      <c r="G52" s="46"/>
      <c r="H52" s="46"/>
      <c r="I52" s="46"/>
      <c r="J52" s="46">
        <v>2300</v>
      </c>
      <c r="K52" s="46">
        <v>2300</v>
      </c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>
        <v>6900</v>
      </c>
      <c r="AA52" s="46"/>
      <c r="AB52" s="46"/>
      <c r="AC52" s="46"/>
      <c r="AD52" s="43">
        <f t="shared" si="2"/>
        <v>11500</v>
      </c>
      <c r="AE52" s="43">
        <f t="shared" si="3"/>
        <v>50</v>
      </c>
    </row>
    <row r="53" spans="1:31" x14ac:dyDescent="0.2">
      <c r="A53" s="43">
        <v>43</v>
      </c>
      <c r="B53" s="44" t="s">
        <v>405</v>
      </c>
      <c r="C53" s="45" t="s">
        <v>173</v>
      </c>
      <c r="D53" s="43">
        <v>10</v>
      </c>
      <c r="E53" s="46">
        <v>230</v>
      </c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3">
        <f t="shared" si="2"/>
        <v>0</v>
      </c>
      <c r="AE53" s="43">
        <f t="shared" si="3"/>
        <v>0</v>
      </c>
    </row>
    <row r="54" spans="1:31" x14ac:dyDescent="0.2">
      <c r="A54" s="43">
        <v>44</v>
      </c>
      <c r="B54" s="44" t="s">
        <v>445</v>
      </c>
      <c r="C54" s="45" t="s">
        <v>209</v>
      </c>
      <c r="D54" s="43">
        <v>10</v>
      </c>
      <c r="E54" s="46">
        <v>400</v>
      </c>
      <c r="F54" s="46"/>
      <c r="G54" s="46"/>
      <c r="H54" s="46">
        <v>400</v>
      </c>
      <c r="I54" s="46"/>
      <c r="J54" s="46">
        <v>400</v>
      </c>
      <c r="K54" s="46">
        <v>400</v>
      </c>
      <c r="L54" s="46"/>
      <c r="M54" s="46"/>
      <c r="N54" s="46"/>
      <c r="O54" s="46"/>
      <c r="P54" s="46"/>
      <c r="Q54" s="46">
        <v>400</v>
      </c>
      <c r="R54" s="46"/>
      <c r="S54" s="46"/>
      <c r="T54" s="46"/>
      <c r="U54" s="46"/>
      <c r="V54" s="46">
        <v>400</v>
      </c>
      <c r="W54" s="46"/>
      <c r="X54" s="46">
        <v>800</v>
      </c>
      <c r="Y54" s="46"/>
      <c r="Z54" s="46">
        <v>400</v>
      </c>
      <c r="AA54" s="46"/>
      <c r="AB54" s="46"/>
      <c r="AC54" s="46"/>
      <c r="AD54" s="43">
        <f t="shared" si="2"/>
        <v>3200</v>
      </c>
      <c r="AE54" s="43">
        <f t="shared" si="3"/>
        <v>8</v>
      </c>
    </row>
    <row r="55" spans="1:31" x14ac:dyDescent="0.2">
      <c r="A55" s="43">
        <v>45</v>
      </c>
      <c r="B55" s="98" t="s">
        <v>409</v>
      </c>
      <c r="C55" s="45" t="s">
        <v>296</v>
      </c>
      <c r="D55" s="43">
        <v>10</v>
      </c>
      <c r="E55" s="46">
        <v>400</v>
      </c>
      <c r="F55" s="46"/>
      <c r="G55" s="46">
        <v>1200</v>
      </c>
      <c r="H55" s="46">
        <v>800</v>
      </c>
      <c r="I55" s="46"/>
      <c r="J55" s="46">
        <v>800</v>
      </c>
      <c r="K55" s="46">
        <v>800</v>
      </c>
      <c r="L55" s="46"/>
      <c r="M55" s="46"/>
      <c r="N55" s="46"/>
      <c r="O55" s="46"/>
      <c r="P55" s="46"/>
      <c r="Q55" s="46">
        <v>400</v>
      </c>
      <c r="R55" s="46"/>
      <c r="S55" s="46"/>
      <c r="T55" s="46"/>
      <c r="U55" s="46"/>
      <c r="V55" s="46">
        <v>400</v>
      </c>
      <c r="W55" s="46"/>
      <c r="X55" s="46"/>
      <c r="Y55" s="46"/>
      <c r="Z55" s="46"/>
      <c r="AA55" s="46"/>
      <c r="AB55" s="46"/>
      <c r="AC55" s="46"/>
      <c r="AD55" s="43">
        <f t="shared" si="2"/>
        <v>4400</v>
      </c>
      <c r="AE55" s="43">
        <f t="shared" si="3"/>
        <v>11</v>
      </c>
    </row>
    <row r="56" spans="1:31" x14ac:dyDescent="0.2">
      <c r="A56" s="43">
        <v>46</v>
      </c>
      <c r="B56" s="44" t="s">
        <v>446</v>
      </c>
      <c r="C56" s="45" t="s">
        <v>211</v>
      </c>
      <c r="D56" s="43">
        <v>10</v>
      </c>
      <c r="E56" s="46">
        <v>300</v>
      </c>
      <c r="F56" s="46"/>
      <c r="G56" s="46"/>
      <c r="H56" s="46">
        <v>300</v>
      </c>
      <c r="I56" s="46"/>
      <c r="J56" s="46">
        <v>300</v>
      </c>
      <c r="K56" s="46">
        <v>600</v>
      </c>
      <c r="L56" s="46"/>
      <c r="M56" s="46"/>
      <c r="N56" s="46"/>
      <c r="O56" s="46"/>
      <c r="P56" s="46"/>
      <c r="Q56" s="46">
        <v>300</v>
      </c>
      <c r="R56" s="46"/>
      <c r="S56" s="46"/>
      <c r="T56" s="46"/>
      <c r="U56" s="46"/>
      <c r="V56" s="46">
        <v>300</v>
      </c>
      <c r="W56" s="46"/>
      <c r="X56" s="46">
        <v>300</v>
      </c>
      <c r="Y56" s="46"/>
      <c r="Z56" s="46">
        <v>300</v>
      </c>
      <c r="AA56" s="46"/>
      <c r="AB56" s="46"/>
      <c r="AC56" s="46"/>
      <c r="AD56" s="43">
        <f t="shared" si="2"/>
        <v>2400</v>
      </c>
      <c r="AE56" s="43">
        <f t="shared" si="3"/>
        <v>8</v>
      </c>
    </row>
    <row r="57" spans="1:31" x14ac:dyDescent="0.2">
      <c r="A57" s="43">
        <v>47</v>
      </c>
      <c r="B57" s="44" t="s">
        <v>406</v>
      </c>
      <c r="C57" s="45" t="s">
        <v>237</v>
      </c>
      <c r="D57" s="43">
        <v>10</v>
      </c>
      <c r="E57" s="46">
        <v>300</v>
      </c>
      <c r="F57" s="46"/>
      <c r="G57" s="46">
        <v>2700</v>
      </c>
      <c r="H57" s="46">
        <v>3000</v>
      </c>
      <c r="I57" s="46"/>
      <c r="J57" s="46">
        <v>2400</v>
      </c>
      <c r="K57" s="46">
        <v>1800</v>
      </c>
      <c r="L57" s="46"/>
      <c r="M57" s="46"/>
      <c r="N57" s="46"/>
      <c r="O57" s="46"/>
      <c r="P57" s="46"/>
      <c r="Q57" s="46">
        <v>1200</v>
      </c>
      <c r="R57" s="46"/>
      <c r="S57" s="46"/>
      <c r="T57" s="46"/>
      <c r="U57" s="46"/>
      <c r="V57" s="46">
        <v>900</v>
      </c>
      <c r="W57" s="46"/>
      <c r="X57" s="46">
        <v>900</v>
      </c>
      <c r="Y57" s="46"/>
      <c r="Z57" s="46">
        <v>1200</v>
      </c>
      <c r="AA57" s="46"/>
      <c r="AB57" s="46"/>
      <c r="AC57" s="46"/>
      <c r="AD57" s="43">
        <f t="shared" si="2"/>
        <v>14100</v>
      </c>
      <c r="AE57" s="43">
        <f t="shared" si="3"/>
        <v>47</v>
      </c>
    </row>
    <row r="58" spans="1:31" x14ac:dyDescent="0.2">
      <c r="A58" s="43">
        <v>48</v>
      </c>
      <c r="B58" s="44" t="s">
        <v>447</v>
      </c>
      <c r="C58" s="45" t="s">
        <v>160</v>
      </c>
      <c r="D58" s="43">
        <v>10</v>
      </c>
      <c r="E58" s="46">
        <v>160</v>
      </c>
      <c r="F58" s="46"/>
      <c r="G58" s="46">
        <v>1600</v>
      </c>
      <c r="H58" s="46">
        <v>1280</v>
      </c>
      <c r="I58" s="46"/>
      <c r="J58" s="46">
        <v>1600</v>
      </c>
      <c r="K58" s="46">
        <v>1440</v>
      </c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>
        <v>160</v>
      </c>
      <c r="W58" s="46"/>
      <c r="X58" s="46"/>
      <c r="Y58" s="46"/>
      <c r="Z58" s="46"/>
      <c r="AA58" s="46"/>
      <c r="AB58" s="46"/>
      <c r="AC58" s="46"/>
      <c r="AD58" s="43">
        <f t="shared" si="2"/>
        <v>6080</v>
      </c>
      <c r="AE58" s="43">
        <f t="shared" si="3"/>
        <v>38</v>
      </c>
    </row>
    <row r="59" spans="1:31" x14ac:dyDescent="0.2">
      <c r="A59" s="43"/>
      <c r="B59" s="247" t="s">
        <v>447</v>
      </c>
      <c r="C59" s="45" t="s">
        <v>160</v>
      </c>
      <c r="D59" s="43">
        <v>10</v>
      </c>
      <c r="E59" s="46">
        <v>150</v>
      </c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>
        <v>4350</v>
      </c>
      <c r="W59" s="46">
        <v>750</v>
      </c>
      <c r="X59" s="46">
        <v>1200</v>
      </c>
      <c r="Y59" s="46"/>
      <c r="Z59" s="46"/>
      <c r="AA59" s="46"/>
      <c r="AB59" s="46"/>
      <c r="AC59" s="46"/>
      <c r="AD59" s="43">
        <f t="shared" ref="AD59" si="4">SUM(F59:AC59)</f>
        <v>6300</v>
      </c>
      <c r="AE59" s="43">
        <f t="shared" ref="AE59" si="5">AD59/E59</f>
        <v>42</v>
      </c>
    </row>
    <row r="60" spans="1:31" x14ac:dyDescent="0.2">
      <c r="A60" s="43">
        <v>49</v>
      </c>
      <c r="B60" s="247" t="s">
        <v>407</v>
      </c>
      <c r="C60" s="45" t="s">
        <v>172</v>
      </c>
      <c r="D60" s="43">
        <v>10</v>
      </c>
      <c r="E60" s="43">
        <v>160</v>
      </c>
      <c r="F60" s="46"/>
      <c r="G60" s="46">
        <v>4000</v>
      </c>
      <c r="H60" s="46">
        <v>3200</v>
      </c>
      <c r="I60" s="46"/>
      <c r="J60" s="46">
        <v>1600</v>
      </c>
      <c r="K60" s="46">
        <v>3200</v>
      </c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3">
        <f t="shared" si="2"/>
        <v>12000</v>
      </c>
      <c r="AE60" s="43">
        <f t="shared" si="3"/>
        <v>75</v>
      </c>
    </row>
    <row r="61" spans="1:31" x14ac:dyDescent="0.2">
      <c r="A61" s="43"/>
      <c r="B61" s="247" t="s">
        <v>407</v>
      </c>
      <c r="C61" s="45" t="s">
        <v>172</v>
      </c>
      <c r="D61" s="43">
        <v>10</v>
      </c>
      <c r="E61" s="43">
        <v>150</v>
      </c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>
        <v>1950</v>
      </c>
      <c r="W61" s="46">
        <v>750</v>
      </c>
      <c r="X61" s="46">
        <v>1050</v>
      </c>
      <c r="Y61" s="46"/>
      <c r="Z61" s="46"/>
      <c r="AA61" s="46"/>
      <c r="AB61" s="46"/>
      <c r="AC61" s="46"/>
      <c r="AD61" s="43">
        <f t="shared" ref="AD61" si="6">SUM(F61:AC61)</f>
        <v>3750</v>
      </c>
      <c r="AE61" s="43">
        <f t="shared" ref="AE61" si="7">AD61/E61</f>
        <v>25</v>
      </c>
    </row>
    <row r="62" spans="1:31" x14ac:dyDescent="0.2">
      <c r="A62" s="43">
        <v>50</v>
      </c>
      <c r="B62" s="246" t="s">
        <v>448</v>
      </c>
      <c r="C62" s="45" t="s">
        <v>19</v>
      </c>
      <c r="D62" s="239">
        <v>10</v>
      </c>
      <c r="E62" s="43">
        <v>130</v>
      </c>
      <c r="F62" s="46"/>
      <c r="G62" s="46"/>
      <c r="H62" s="46"/>
      <c r="I62" s="46"/>
      <c r="J62" s="46">
        <v>780</v>
      </c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>
        <v>1430</v>
      </c>
      <c r="W62" s="46"/>
      <c r="X62" s="46"/>
      <c r="Y62" s="46"/>
      <c r="Z62" s="46">
        <v>3250</v>
      </c>
      <c r="AA62" s="46"/>
      <c r="AB62" s="46"/>
      <c r="AC62" s="46"/>
      <c r="AD62" s="43">
        <f t="shared" si="2"/>
        <v>5460</v>
      </c>
      <c r="AE62" s="43">
        <f t="shared" si="3"/>
        <v>42</v>
      </c>
    </row>
    <row r="63" spans="1:31" x14ac:dyDescent="0.2">
      <c r="A63" s="43">
        <v>51</v>
      </c>
      <c r="B63" s="117" t="s">
        <v>449</v>
      </c>
      <c r="C63" s="45" t="s">
        <v>287</v>
      </c>
      <c r="D63" s="239">
        <v>10</v>
      </c>
      <c r="E63" s="46">
        <v>110</v>
      </c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>
        <v>1100</v>
      </c>
      <c r="AA63" s="46"/>
      <c r="AB63" s="46"/>
      <c r="AC63" s="46"/>
      <c r="AD63" s="43">
        <f t="shared" si="2"/>
        <v>1100</v>
      </c>
      <c r="AE63" s="43">
        <f t="shared" si="3"/>
        <v>10</v>
      </c>
    </row>
    <row r="64" spans="1:31" x14ac:dyDescent="0.2">
      <c r="A64" s="43">
        <v>52</v>
      </c>
      <c r="B64" s="117" t="s">
        <v>450</v>
      </c>
      <c r="C64" s="45" t="s">
        <v>21</v>
      </c>
      <c r="D64" s="43">
        <v>10</v>
      </c>
      <c r="E64" s="46">
        <v>80</v>
      </c>
      <c r="F64" s="46"/>
      <c r="G64" s="46"/>
      <c r="H64" s="46">
        <v>1600</v>
      </c>
      <c r="I64" s="46"/>
      <c r="J64" s="46">
        <v>1200</v>
      </c>
      <c r="K64" s="46">
        <v>800</v>
      </c>
      <c r="L64" s="46"/>
      <c r="M64" s="46">
        <v>800</v>
      </c>
      <c r="N64" s="46"/>
      <c r="O64" s="46"/>
      <c r="P64" s="46"/>
      <c r="Q64" s="46">
        <v>1200</v>
      </c>
      <c r="R64" s="46"/>
      <c r="S64" s="46"/>
      <c r="T64" s="46"/>
      <c r="U64" s="46"/>
      <c r="V64" s="46">
        <v>3200</v>
      </c>
      <c r="W64" s="46"/>
      <c r="X64" s="46"/>
      <c r="Y64" s="46"/>
      <c r="Z64" s="46">
        <v>2160</v>
      </c>
      <c r="AA64" s="46"/>
      <c r="AB64" s="46"/>
      <c r="AC64" s="46"/>
      <c r="AD64" s="43">
        <f t="shared" si="2"/>
        <v>10960</v>
      </c>
      <c r="AE64" s="43">
        <f t="shared" si="3"/>
        <v>137</v>
      </c>
    </row>
    <row r="65" spans="1:31" x14ac:dyDescent="0.2">
      <c r="A65" s="43">
        <v>53</v>
      </c>
      <c r="B65" s="117" t="s">
        <v>451</v>
      </c>
      <c r="C65" s="116" t="s">
        <v>304</v>
      </c>
      <c r="D65" s="43">
        <v>5</v>
      </c>
      <c r="E65" s="46">
        <v>75</v>
      </c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>
        <v>600</v>
      </c>
      <c r="R65" s="46"/>
      <c r="S65" s="46"/>
      <c r="T65" s="46"/>
      <c r="U65" s="46"/>
      <c r="V65" s="46"/>
      <c r="W65" s="46"/>
      <c r="X65" s="46">
        <v>300</v>
      </c>
      <c r="Y65" s="46"/>
      <c r="Z65" s="46">
        <v>300</v>
      </c>
      <c r="AA65" s="46"/>
      <c r="AB65" s="46"/>
      <c r="AC65" s="46"/>
      <c r="AD65" s="43">
        <f t="shared" si="2"/>
        <v>1200</v>
      </c>
      <c r="AE65" s="43">
        <f t="shared" si="3"/>
        <v>16</v>
      </c>
    </row>
    <row r="66" spans="1:31" x14ac:dyDescent="0.2">
      <c r="A66" s="43">
        <v>54</v>
      </c>
      <c r="B66" s="117" t="s">
        <v>452</v>
      </c>
      <c r="C66" s="116" t="s">
        <v>36</v>
      </c>
      <c r="D66" s="43">
        <v>5</v>
      </c>
      <c r="E66" s="46">
        <v>50</v>
      </c>
      <c r="F66" s="46"/>
      <c r="G66" s="46"/>
      <c r="H66" s="46">
        <v>1500</v>
      </c>
      <c r="I66" s="46"/>
      <c r="J66" s="46">
        <v>1500</v>
      </c>
      <c r="K66" s="46">
        <v>750</v>
      </c>
      <c r="L66" s="46"/>
      <c r="M66" s="46">
        <v>850</v>
      </c>
      <c r="N66" s="46"/>
      <c r="O66" s="46"/>
      <c r="P66" s="46"/>
      <c r="Q66" s="46">
        <v>2400</v>
      </c>
      <c r="R66" s="46"/>
      <c r="S66" s="46"/>
      <c r="T66" s="46"/>
      <c r="U66" s="46"/>
      <c r="V66" s="46"/>
      <c r="W66" s="46"/>
      <c r="X66" s="46"/>
      <c r="Y66" s="46"/>
      <c r="Z66" s="46">
        <v>3000</v>
      </c>
      <c r="AA66" s="46"/>
      <c r="AB66" s="46"/>
      <c r="AC66" s="46"/>
      <c r="AD66" s="43">
        <f t="shared" si="2"/>
        <v>10000</v>
      </c>
      <c r="AE66" s="43">
        <f t="shared" si="3"/>
        <v>200</v>
      </c>
    </row>
    <row r="67" spans="1:31" x14ac:dyDescent="0.2">
      <c r="A67" s="43">
        <v>55</v>
      </c>
      <c r="B67" s="44" t="s">
        <v>453</v>
      </c>
      <c r="C67" s="116" t="s">
        <v>260</v>
      </c>
      <c r="D67" s="43">
        <v>5</v>
      </c>
      <c r="E67" s="46">
        <v>35</v>
      </c>
      <c r="F67" s="46"/>
      <c r="G67" s="46">
        <v>350</v>
      </c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3">
        <f t="shared" ref="AD67" si="8">SUM(F67:AC67)</f>
        <v>350</v>
      </c>
      <c r="AE67" s="43">
        <f t="shared" ref="AE67" si="9">AD67/E67</f>
        <v>10</v>
      </c>
    </row>
    <row r="68" spans="1:31" x14ac:dyDescent="0.2">
      <c r="A68" s="43">
        <v>55</v>
      </c>
      <c r="B68" s="44" t="s">
        <v>453</v>
      </c>
      <c r="C68" s="116" t="s">
        <v>260</v>
      </c>
      <c r="D68" s="43">
        <v>5</v>
      </c>
      <c r="E68" s="46">
        <v>30</v>
      </c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>
        <v>570</v>
      </c>
      <c r="AA68" s="46"/>
      <c r="AB68" s="46"/>
      <c r="AC68" s="46"/>
      <c r="AD68" s="43">
        <f t="shared" si="2"/>
        <v>570</v>
      </c>
      <c r="AE68" s="43">
        <f t="shared" si="3"/>
        <v>19</v>
      </c>
    </row>
    <row r="69" spans="1:31" x14ac:dyDescent="0.2">
      <c r="A69" s="43"/>
      <c r="B69" s="117"/>
      <c r="C69" s="45"/>
      <c r="D69" s="43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3"/>
      <c r="AE69" s="43"/>
    </row>
    <row r="70" spans="1:31" x14ac:dyDescent="0.2">
      <c r="A70" s="428" t="s">
        <v>135</v>
      </c>
      <c r="B70" s="429"/>
      <c r="C70" s="429"/>
      <c r="D70" s="429"/>
      <c r="E70" s="430"/>
      <c r="F70" s="18">
        <f t="shared" ref="F70:AD70" si="10">SUM(F7:F69)</f>
        <v>2800</v>
      </c>
      <c r="G70" s="18">
        <f t="shared" si="10"/>
        <v>162900</v>
      </c>
      <c r="H70" s="18">
        <f t="shared" si="10"/>
        <v>134070</v>
      </c>
      <c r="I70" s="18">
        <f t="shared" si="10"/>
        <v>82300</v>
      </c>
      <c r="J70" s="18">
        <f t="shared" si="10"/>
        <v>62080</v>
      </c>
      <c r="K70" s="18">
        <f t="shared" si="10"/>
        <v>76160</v>
      </c>
      <c r="L70" s="18">
        <f t="shared" si="10"/>
        <v>26100</v>
      </c>
      <c r="M70" s="18">
        <f t="shared" si="10"/>
        <v>25250</v>
      </c>
      <c r="N70" s="18">
        <f t="shared" si="10"/>
        <v>6000</v>
      </c>
      <c r="O70" s="18">
        <f t="shared" si="10"/>
        <v>61700</v>
      </c>
      <c r="P70" s="18">
        <f t="shared" si="10"/>
        <v>11750</v>
      </c>
      <c r="Q70" s="18">
        <f t="shared" si="10"/>
        <v>52990</v>
      </c>
      <c r="R70" s="18">
        <f t="shared" si="10"/>
        <v>14400</v>
      </c>
      <c r="S70" s="18">
        <f t="shared" si="10"/>
        <v>5250</v>
      </c>
      <c r="T70" s="18">
        <f t="shared" si="10"/>
        <v>67400</v>
      </c>
      <c r="U70" s="18">
        <f t="shared" si="10"/>
        <v>22400</v>
      </c>
      <c r="V70" s="18">
        <f t="shared" si="10"/>
        <v>85060</v>
      </c>
      <c r="W70" s="18">
        <f t="shared" si="10"/>
        <v>104500</v>
      </c>
      <c r="X70" s="18">
        <f t="shared" si="10"/>
        <v>76650</v>
      </c>
      <c r="Y70" s="18">
        <f t="shared" si="10"/>
        <v>4300</v>
      </c>
      <c r="Z70" s="18">
        <f t="shared" si="10"/>
        <v>113570</v>
      </c>
      <c r="AA70" s="18">
        <f t="shared" si="10"/>
        <v>0</v>
      </c>
      <c r="AB70" s="18">
        <f t="shared" si="10"/>
        <v>0</v>
      </c>
      <c r="AC70" s="18">
        <f t="shared" si="10"/>
        <v>0</v>
      </c>
      <c r="AD70" s="18">
        <f t="shared" si="10"/>
        <v>1197630</v>
      </c>
      <c r="AE70" s="15"/>
    </row>
    <row r="71" spans="1:31" x14ac:dyDescent="0.2">
      <c r="A71" s="424" t="s">
        <v>184</v>
      </c>
      <c r="B71" s="424"/>
      <c r="C71" s="424"/>
      <c r="D71" s="424"/>
      <c r="E71" s="424"/>
      <c r="AE71" s="242">
        <f>SUM(AE7:AE69)</f>
        <v>1951</v>
      </c>
    </row>
    <row r="72" spans="1:31" x14ac:dyDescent="0.2">
      <c r="AE72" s="241">
        <f>SUM(F3:AC3)</f>
        <v>1951</v>
      </c>
    </row>
  </sheetData>
  <mergeCells count="7">
    <mergeCell ref="A71:E71"/>
    <mergeCell ref="A1:E1"/>
    <mergeCell ref="AD1:AE1"/>
    <mergeCell ref="A2:E2"/>
    <mergeCell ref="D3:E3"/>
    <mergeCell ref="D4:E4"/>
    <mergeCell ref="A70:E70"/>
  </mergeCells>
  <pageMargins left="0.51181102362204722" right="0.51181102362204722" top="0.51181102362204722" bottom="0.51181102362204722" header="0" footer="0"/>
  <pageSetup paperSize="9" fitToWidth="0" fitToHeight="0" orientation="landscape" blackAndWhite="1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G87"/>
  <sheetViews>
    <sheetView zoomScaleNormal="100" workbookViewId="0">
      <pane xSplit="8" ySplit="2" topLeftCell="I3" activePane="bottomRight" state="frozen"/>
      <selection pane="topRight" activeCell="H1" sqref="H1"/>
      <selection pane="bottomLeft" activeCell="A4" sqref="A4"/>
      <selection pane="bottomRight" activeCell="I3" sqref="I3"/>
    </sheetView>
  </sheetViews>
  <sheetFormatPr defaultRowHeight="12.75" x14ac:dyDescent="0.2"/>
  <cols>
    <col min="1" max="1" width="4.28515625" style="47" bestFit="1" customWidth="1"/>
    <col min="2" max="2" width="12.85546875" style="47" bestFit="1" customWidth="1"/>
    <col min="3" max="3" width="32.7109375" style="47" customWidth="1"/>
    <col min="4" max="4" width="10.28515625" style="47" bestFit="1" customWidth="1"/>
    <col min="5" max="6" width="11.28515625" style="47" customWidth="1"/>
    <col min="7" max="7" width="5.85546875" style="47" bestFit="1" customWidth="1"/>
    <col min="8" max="8" width="5" style="47" bestFit="1" customWidth="1"/>
    <col min="9" max="9" width="9.7109375" style="47" bestFit="1" customWidth="1"/>
    <col min="10" max="10" width="5" style="47" customWidth="1"/>
    <col min="11" max="11" width="8.140625" style="47" bestFit="1" customWidth="1"/>
    <col min="12" max="12" width="8" style="47" customWidth="1"/>
    <col min="13" max="13" width="8.140625" style="47" bestFit="1" customWidth="1"/>
    <col min="14" max="14" width="9.7109375" style="47" customWidth="1"/>
    <col min="15" max="15" width="7.5703125" style="241" bestFit="1" customWidth="1"/>
    <col min="16" max="16" width="8.5703125" style="47" bestFit="1" customWidth="1"/>
    <col min="17" max="32" width="9.28515625" style="47" bestFit="1" customWidth="1"/>
    <col min="33" max="33" width="12.28515625" style="47" customWidth="1"/>
    <col min="34" max="16384" width="9.140625" style="47"/>
  </cols>
  <sheetData>
    <row r="1" spans="1:32" ht="19.5" customHeight="1" x14ac:dyDescent="0.2">
      <c r="A1" s="464" t="s">
        <v>1</v>
      </c>
      <c r="B1" s="464" t="s">
        <v>2</v>
      </c>
      <c r="C1" s="467" t="s">
        <v>0</v>
      </c>
      <c r="D1" s="467" t="s">
        <v>487</v>
      </c>
      <c r="E1" s="467" t="s">
        <v>488</v>
      </c>
      <c r="F1" s="467" t="s">
        <v>491</v>
      </c>
      <c r="G1" s="469" t="s">
        <v>3</v>
      </c>
      <c r="H1" s="469"/>
      <c r="I1" s="281" t="s">
        <v>138</v>
      </c>
      <c r="J1" s="462" t="s">
        <v>495</v>
      </c>
      <c r="K1" s="286" t="s">
        <v>568</v>
      </c>
      <c r="L1" s="379" t="s">
        <v>569</v>
      </c>
      <c r="M1" s="373">
        <v>2024</v>
      </c>
      <c r="N1" s="286">
        <v>2023</v>
      </c>
      <c r="O1" s="132">
        <v>2022</v>
      </c>
      <c r="P1" s="132">
        <v>2021</v>
      </c>
      <c r="Q1" s="132">
        <v>2020</v>
      </c>
      <c r="R1" s="132">
        <v>2019</v>
      </c>
      <c r="S1" s="132">
        <v>2018</v>
      </c>
      <c r="T1" s="132">
        <v>2017</v>
      </c>
      <c r="U1" s="132">
        <v>2016</v>
      </c>
      <c r="V1" s="132">
        <v>2015</v>
      </c>
      <c r="W1" s="132">
        <v>2014</v>
      </c>
      <c r="X1" s="132">
        <v>2013</v>
      </c>
      <c r="Y1" s="132">
        <v>2012</v>
      </c>
      <c r="Z1" s="281">
        <v>2011</v>
      </c>
      <c r="AA1" s="281">
        <v>2010</v>
      </c>
      <c r="AB1" s="281">
        <v>2009</v>
      </c>
      <c r="AC1" s="281">
        <v>2008</v>
      </c>
      <c r="AD1" s="281">
        <v>2007</v>
      </c>
      <c r="AE1" s="281">
        <v>2006</v>
      </c>
      <c r="AF1" s="281">
        <v>2005</v>
      </c>
    </row>
    <row r="2" spans="1:32" ht="19.5" customHeight="1" x14ac:dyDescent="0.2">
      <c r="A2" s="465"/>
      <c r="B2" s="466"/>
      <c r="C2" s="468"/>
      <c r="D2" s="468"/>
      <c r="E2" s="468"/>
      <c r="F2" s="468"/>
      <c r="G2" s="132" t="s">
        <v>4</v>
      </c>
      <c r="H2" s="132" t="s">
        <v>5</v>
      </c>
      <c r="I2" s="305" t="s">
        <v>116</v>
      </c>
      <c r="J2" s="463"/>
      <c r="K2" s="373" t="s">
        <v>116</v>
      </c>
      <c r="L2" s="379" t="s">
        <v>116</v>
      </c>
      <c r="M2" s="373" t="s">
        <v>116</v>
      </c>
      <c r="N2" s="286" t="s">
        <v>116</v>
      </c>
      <c r="O2" s="132" t="s">
        <v>116</v>
      </c>
      <c r="P2" s="132" t="s">
        <v>116</v>
      </c>
      <c r="Q2" s="132" t="s">
        <v>116</v>
      </c>
      <c r="R2" s="132" t="s">
        <v>116</v>
      </c>
      <c r="S2" s="132" t="s">
        <v>116</v>
      </c>
      <c r="T2" s="132" t="s">
        <v>116</v>
      </c>
      <c r="U2" s="132" t="s">
        <v>116</v>
      </c>
      <c r="V2" s="132" t="s">
        <v>116</v>
      </c>
      <c r="W2" s="132" t="s">
        <v>116</v>
      </c>
      <c r="X2" s="132" t="s">
        <v>116</v>
      </c>
      <c r="Y2" s="132" t="s">
        <v>116</v>
      </c>
      <c r="Z2" s="132" t="s">
        <v>116</v>
      </c>
      <c r="AA2" s="132" t="s">
        <v>116</v>
      </c>
      <c r="AB2" s="132" t="s">
        <v>116</v>
      </c>
      <c r="AC2" s="132" t="s">
        <v>116</v>
      </c>
      <c r="AD2" s="132" t="s">
        <v>116</v>
      </c>
      <c r="AE2" s="132" t="s">
        <v>116</v>
      </c>
      <c r="AF2" s="132" t="s">
        <v>116</v>
      </c>
    </row>
    <row r="3" spans="1:32" s="280" customFormat="1" ht="25.5" x14ac:dyDescent="0.2">
      <c r="A3" s="308">
        <v>1</v>
      </c>
      <c r="B3" s="287" t="s">
        <v>410</v>
      </c>
      <c r="C3" s="309" t="s">
        <v>496</v>
      </c>
      <c r="D3" s="310" t="s">
        <v>485</v>
      </c>
      <c r="E3" s="311">
        <v>39148</v>
      </c>
      <c r="F3" s="282">
        <v>4</v>
      </c>
      <c r="G3" s="308">
        <v>50</v>
      </c>
      <c r="H3" s="308">
        <v>2800</v>
      </c>
      <c r="I3" s="312">
        <f>SUM(J3:AF3)</f>
        <v>831600</v>
      </c>
      <c r="J3" s="313"/>
      <c r="K3" s="314">
        <f>'Moulded-2025-26'!AD7</f>
        <v>22400</v>
      </c>
      <c r="L3" s="314">
        <f>'Moulded-2024-25'!Q7</f>
        <v>19600</v>
      </c>
      <c r="M3" s="314">
        <f>'Moulded-2024'!P7</f>
        <v>8400</v>
      </c>
      <c r="N3" s="314">
        <f>'Moulded-2023'!Z7</f>
        <v>0</v>
      </c>
      <c r="O3" s="314">
        <v>42000</v>
      </c>
      <c r="P3" s="314">
        <v>58800</v>
      </c>
      <c r="Q3" s="314">
        <v>28000</v>
      </c>
      <c r="R3" s="314">
        <v>56000</v>
      </c>
      <c r="S3" s="314">
        <v>61600</v>
      </c>
      <c r="T3" s="314">
        <v>61600</v>
      </c>
      <c r="U3" s="314">
        <v>64400</v>
      </c>
      <c r="V3" s="314">
        <v>30800</v>
      </c>
      <c r="W3" s="314">
        <v>78400</v>
      </c>
      <c r="X3" s="314">
        <v>44800</v>
      </c>
      <c r="Y3" s="314">
        <v>33600</v>
      </c>
      <c r="Z3" s="314">
        <v>36400</v>
      </c>
      <c r="AA3" s="314">
        <v>56000</v>
      </c>
      <c r="AB3" s="314">
        <v>30800</v>
      </c>
      <c r="AC3" s="314">
        <v>56000</v>
      </c>
      <c r="AD3" s="314">
        <v>36400</v>
      </c>
      <c r="AE3" s="314">
        <v>5600</v>
      </c>
      <c r="AF3" s="314"/>
    </row>
    <row r="4" spans="1:32" s="280" customFormat="1" ht="25.5" x14ac:dyDescent="0.2">
      <c r="A4" s="486">
        <v>2</v>
      </c>
      <c r="B4" s="288" t="s">
        <v>142</v>
      </c>
      <c r="C4" s="315" t="s">
        <v>497</v>
      </c>
      <c r="D4" s="440" t="s">
        <v>485</v>
      </c>
      <c r="E4" s="442">
        <v>39148</v>
      </c>
      <c r="F4" s="444">
        <v>4</v>
      </c>
      <c r="G4" s="316">
        <v>50</v>
      </c>
      <c r="H4" s="316">
        <v>550</v>
      </c>
      <c r="I4" s="455">
        <f>SUM(J4:AF4)+SUM(J5:AF5)</f>
        <v>1063150</v>
      </c>
      <c r="J4" s="313"/>
      <c r="K4" s="317">
        <f>'Moulded-2025-26'!AD8</f>
        <v>39600</v>
      </c>
      <c r="L4" s="317">
        <f>'Moulded-2024-25'!Q8</f>
        <v>6600</v>
      </c>
      <c r="M4" s="317">
        <f>'Moulded-2024'!P8</f>
        <v>26400</v>
      </c>
      <c r="N4" s="317">
        <f>'Moulded-2023'!Z8</f>
        <v>48400</v>
      </c>
      <c r="O4" s="317">
        <v>16500</v>
      </c>
      <c r="P4" s="317">
        <v>55000</v>
      </c>
      <c r="Q4" s="317">
        <v>15950</v>
      </c>
      <c r="R4" s="317">
        <v>34100</v>
      </c>
      <c r="S4" s="317">
        <v>36300</v>
      </c>
      <c r="T4" s="317">
        <v>33550</v>
      </c>
      <c r="U4" s="317">
        <v>54450</v>
      </c>
      <c r="V4" s="317">
        <v>7150</v>
      </c>
      <c r="W4" s="317">
        <v>45650</v>
      </c>
      <c r="X4" s="317">
        <v>33000</v>
      </c>
      <c r="Y4" s="317">
        <v>26400</v>
      </c>
      <c r="Z4" s="317">
        <v>20350</v>
      </c>
      <c r="AA4" s="317"/>
      <c r="AB4" s="317"/>
      <c r="AC4" s="317"/>
      <c r="AD4" s="317"/>
      <c r="AE4" s="317"/>
      <c r="AF4" s="317"/>
    </row>
    <row r="5" spans="1:32" s="280" customFormat="1" ht="25.5" x14ac:dyDescent="0.2">
      <c r="A5" s="451"/>
      <c r="B5" s="288" t="s">
        <v>412</v>
      </c>
      <c r="C5" s="315" t="s">
        <v>499</v>
      </c>
      <c r="D5" s="502"/>
      <c r="E5" s="473"/>
      <c r="F5" s="502"/>
      <c r="G5" s="316">
        <v>50</v>
      </c>
      <c r="H5" s="316">
        <v>550</v>
      </c>
      <c r="I5" s="456"/>
      <c r="J5" s="313"/>
      <c r="K5" s="317">
        <f>'Moulded-2025-26'!AD10</f>
        <v>15950</v>
      </c>
      <c r="L5" s="317">
        <f>'Moulded-2024-25'!Q10</f>
        <v>0</v>
      </c>
      <c r="M5" s="317">
        <f>'Moulded-2024'!P10</f>
        <v>9900</v>
      </c>
      <c r="N5" s="317">
        <f>'Moulded-2023'!Z10</f>
        <v>39600</v>
      </c>
      <c r="O5" s="317">
        <v>27500</v>
      </c>
      <c r="P5" s="317">
        <v>49500</v>
      </c>
      <c r="Q5" s="317">
        <v>15950</v>
      </c>
      <c r="R5" s="317">
        <v>27500</v>
      </c>
      <c r="S5" s="317">
        <v>40700</v>
      </c>
      <c r="T5" s="317">
        <v>39600</v>
      </c>
      <c r="U5" s="317">
        <v>53350</v>
      </c>
      <c r="V5" s="317">
        <v>12650</v>
      </c>
      <c r="W5" s="317">
        <v>40150</v>
      </c>
      <c r="X5" s="317">
        <v>33000</v>
      </c>
      <c r="Y5" s="317">
        <v>20350</v>
      </c>
      <c r="Z5" s="317">
        <v>26950</v>
      </c>
      <c r="AA5" s="317">
        <v>16500</v>
      </c>
      <c r="AB5" s="317">
        <v>32450</v>
      </c>
      <c r="AC5" s="317">
        <v>34650</v>
      </c>
      <c r="AD5" s="317">
        <v>27500</v>
      </c>
      <c r="AE5" s="317"/>
      <c r="AF5" s="317"/>
    </row>
    <row r="6" spans="1:32" s="280" customFormat="1" ht="25.5" x14ac:dyDescent="0.2">
      <c r="A6" s="308">
        <v>3</v>
      </c>
      <c r="B6" s="287" t="s">
        <v>411</v>
      </c>
      <c r="C6" s="309" t="s">
        <v>498</v>
      </c>
      <c r="D6" s="310" t="s">
        <v>485</v>
      </c>
      <c r="E6" s="311">
        <v>41072</v>
      </c>
      <c r="F6" s="282">
        <v>2</v>
      </c>
      <c r="G6" s="308">
        <v>10</v>
      </c>
      <c r="H6" s="308">
        <v>1200</v>
      </c>
      <c r="I6" s="312">
        <f>SUM(J6:AF6)</f>
        <v>716400</v>
      </c>
      <c r="J6" s="313"/>
      <c r="K6" s="314">
        <f>'Moulded-2025-26'!AD9</f>
        <v>67200</v>
      </c>
      <c r="L6" s="314">
        <f>'Moulded-2024-25'!Q9</f>
        <v>12000</v>
      </c>
      <c r="M6" s="314">
        <f>'Moulded-2024'!P9</f>
        <v>56400</v>
      </c>
      <c r="N6" s="314">
        <f>'Moulded-2023'!Z9</f>
        <v>85200</v>
      </c>
      <c r="O6" s="314">
        <v>58800</v>
      </c>
      <c r="P6" s="314">
        <v>51600</v>
      </c>
      <c r="Q6" s="314">
        <v>37200</v>
      </c>
      <c r="R6" s="314">
        <v>61200</v>
      </c>
      <c r="S6" s="314">
        <v>52800</v>
      </c>
      <c r="T6" s="314">
        <v>54000</v>
      </c>
      <c r="U6" s="314">
        <v>56400</v>
      </c>
      <c r="V6" s="314">
        <v>6000</v>
      </c>
      <c r="W6" s="314">
        <v>62400</v>
      </c>
      <c r="X6" s="314">
        <v>28800</v>
      </c>
      <c r="Y6" s="314">
        <v>26400</v>
      </c>
      <c r="Z6" s="314"/>
      <c r="AA6" s="314"/>
      <c r="AB6" s="314"/>
      <c r="AC6" s="314"/>
      <c r="AD6" s="314"/>
      <c r="AE6" s="314"/>
      <c r="AF6" s="314"/>
    </row>
    <row r="7" spans="1:32" s="280" customFormat="1" x14ac:dyDescent="0.2">
      <c r="A7" s="316">
        <v>4</v>
      </c>
      <c r="B7" s="482" t="s">
        <v>413</v>
      </c>
      <c r="C7" s="484" t="s">
        <v>500</v>
      </c>
      <c r="D7" s="318" t="s">
        <v>485</v>
      </c>
      <c r="E7" s="319">
        <v>38709</v>
      </c>
      <c r="F7" s="283">
        <v>4</v>
      </c>
      <c r="G7" s="316">
        <v>100</v>
      </c>
      <c r="H7" s="316">
        <v>1200</v>
      </c>
      <c r="I7" s="312">
        <f>SUM(J7:AF7)</f>
        <v>2281200</v>
      </c>
      <c r="J7" s="313"/>
      <c r="K7" s="316"/>
      <c r="L7" s="316"/>
      <c r="M7" s="316"/>
      <c r="N7" s="317">
        <f>'Moulded-2023'!Z11-Moulded!N8</f>
        <v>24000</v>
      </c>
      <c r="O7" s="317">
        <v>48000</v>
      </c>
      <c r="P7" s="317">
        <f>162000-P8</f>
        <v>66000</v>
      </c>
      <c r="Q7" s="317">
        <f>114000-Q8</f>
        <v>90000</v>
      </c>
      <c r="R7" s="317">
        <v>180000</v>
      </c>
      <c r="S7" s="317">
        <v>140400</v>
      </c>
      <c r="T7" s="317">
        <v>134400</v>
      </c>
      <c r="U7" s="317">
        <v>168000</v>
      </c>
      <c r="V7" s="317">
        <v>109200</v>
      </c>
      <c r="W7" s="317">
        <v>192000</v>
      </c>
      <c r="X7" s="317">
        <v>126000</v>
      </c>
      <c r="Y7" s="317">
        <v>91200</v>
      </c>
      <c r="Z7" s="317">
        <v>79200</v>
      </c>
      <c r="AA7" s="317">
        <v>186000</v>
      </c>
      <c r="AB7" s="317">
        <v>142800</v>
      </c>
      <c r="AC7" s="317">
        <v>148800</v>
      </c>
      <c r="AD7" s="317">
        <v>151200</v>
      </c>
      <c r="AE7" s="317">
        <v>54000</v>
      </c>
      <c r="AF7" s="317">
        <v>150000</v>
      </c>
    </row>
    <row r="8" spans="1:32" s="280" customFormat="1" x14ac:dyDescent="0.2">
      <c r="A8" s="316">
        <v>5</v>
      </c>
      <c r="B8" s="483"/>
      <c r="C8" s="473"/>
      <c r="D8" s="318" t="s">
        <v>486</v>
      </c>
      <c r="E8" s="319">
        <v>44167</v>
      </c>
      <c r="F8" s="283">
        <v>6</v>
      </c>
      <c r="G8" s="316">
        <v>100</v>
      </c>
      <c r="H8" s="316">
        <v>1200</v>
      </c>
      <c r="I8" s="312">
        <f>SUM(J8:AF8)</f>
        <v>759600</v>
      </c>
      <c r="J8" s="313"/>
      <c r="K8" s="317">
        <f>'Moulded-2025-26'!AD11</f>
        <v>193200</v>
      </c>
      <c r="L8" s="317">
        <f>'Moulded-2024-25'!Q11</f>
        <v>134400</v>
      </c>
      <c r="M8" s="317">
        <f>'Moulded-2024'!P11</f>
        <v>80400</v>
      </c>
      <c r="N8" s="317">
        <f>'Moulded-2023'!Z11-'Moulded-2023'!I11</f>
        <v>171600</v>
      </c>
      <c r="O8" s="317">
        <v>60000</v>
      </c>
      <c r="P8" s="317">
        <f>12000+12000+12000+12000+24000+24000</f>
        <v>96000</v>
      </c>
      <c r="Q8" s="317">
        <f>24000</f>
        <v>24000</v>
      </c>
      <c r="R8" s="317"/>
      <c r="S8" s="317"/>
      <c r="T8" s="317"/>
      <c r="U8" s="317"/>
      <c r="V8" s="317"/>
      <c r="W8" s="317"/>
      <c r="X8" s="317"/>
      <c r="Y8" s="317"/>
      <c r="Z8" s="317"/>
      <c r="AA8" s="317"/>
      <c r="AB8" s="317"/>
      <c r="AC8" s="317"/>
      <c r="AD8" s="317"/>
      <c r="AE8" s="317"/>
      <c r="AF8" s="317"/>
    </row>
    <row r="9" spans="1:32" s="280" customFormat="1" x14ac:dyDescent="0.2">
      <c r="A9" s="485">
        <v>6</v>
      </c>
      <c r="B9" s="503" t="s">
        <v>200</v>
      </c>
      <c r="C9" s="437" t="s">
        <v>501</v>
      </c>
      <c r="D9" s="449" t="s">
        <v>485</v>
      </c>
      <c r="E9" s="457">
        <v>41473</v>
      </c>
      <c r="F9" s="459">
        <v>2</v>
      </c>
      <c r="G9" s="320">
        <v>50</v>
      </c>
      <c r="H9" s="320">
        <v>800</v>
      </c>
      <c r="I9" s="455">
        <f>SUM(J9:AF9)+SUM(J10:AF10)</f>
        <v>211200</v>
      </c>
      <c r="J9" s="321"/>
      <c r="K9" s="322"/>
      <c r="L9" s="322"/>
      <c r="M9" s="322"/>
      <c r="N9" s="322"/>
      <c r="O9" s="322"/>
      <c r="P9" s="322"/>
      <c r="Q9" s="322"/>
      <c r="R9" s="322"/>
      <c r="S9" s="322"/>
      <c r="T9" s="322"/>
      <c r="U9" s="322"/>
      <c r="V9" s="322">
        <v>4800</v>
      </c>
      <c r="W9" s="322">
        <v>24000</v>
      </c>
      <c r="X9" s="322">
        <v>4800</v>
      </c>
      <c r="Y9" s="322"/>
      <c r="Z9" s="322"/>
      <c r="AA9" s="322"/>
      <c r="AB9" s="322"/>
      <c r="AC9" s="322"/>
      <c r="AD9" s="322"/>
      <c r="AE9" s="322"/>
      <c r="AF9" s="322"/>
    </row>
    <row r="10" spans="1:32" s="280" customFormat="1" x14ac:dyDescent="0.2">
      <c r="A10" s="450"/>
      <c r="B10" s="504"/>
      <c r="C10" s="458"/>
      <c r="D10" s="480"/>
      <c r="E10" s="458"/>
      <c r="F10" s="460"/>
      <c r="G10" s="323">
        <v>10</v>
      </c>
      <c r="H10" s="323">
        <v>800</v>
      </c>
      <c r="I10" s="456"/>
      <c r="J10" s="324"/>
      <c r="K10" s="325">
        <f>'Moulded-2025-26'!AD12</f>
        <v>13600</v>
      </c>
      <c r="L10" s="325">
        <f>'Moulded-2024-25'!Q12</f>
        <v>2400</v>
      </c>
      <c r="M10" s="325">
        <f>'Moulded-2024'!P12</f>
        <v>11200</v>
      </c>
      <c r="N10" s="325">
        <f>'Moulded-2023'!Z12</f>
        <v>14400</v>
      </c>
      <c r="O10" s="325">
        <v>8800</v>
      </c>
      <c r="P10" s="325">
        <v>20000</v>
      </c>
      <c r="Q10" s="325">
        <v>10400</v>
      </c>
      <c r="R10" s="325">
        <v>26400</v>
      </c>
      <c r="S10" s="325">
        <v>24800</v>
      </c>
      <c r="T10" s="325">
        <v>18400</v>
      </c>
      <c r="U10" s="325">
        <v>22400</v>
      </c>
      <c r="V10" s="325">
        <v>4800</v>
      </c>
      <c r="W10" s="325"/>
      <c r="X10" s="325"/>
      <c r="Y10" s="325"/>
      <c r="Z10" s="325"/>
      <c r="AA10" s="325"/>
      <c r="AB10" s="325"/>
      <c r="AC10" s="325"/>
      <c r="AD10" s="325"/>
      <c r="AE10" s="325"/>
      <c r="AF10" s="325"/>
    </row>
    <row r="11" spans="1:32" s="280" customFormat="1" x14ac:dyDescent="0.2">
      <c r="A11" s="486">
        <v>7</v>
      </c>
      <c r="B11" s="505" t="s">
        <v>349</v>
      </c>
      <c r="C11" s="431" t="s">
        <v>538</v>
      </c>
      <c r="D11" s="440" t="s">
        <v>486</v>
      </c>
      <c r="E11" s="442">
        <v>43831</v>
      </c>
      <c r="F11" s="444">
        <v>2</v>
      </c>
      <c r="G11" s="326">
        <v>10</v>
      </c>
      <c r="H11" s="327">
        <v>520</v>
      </c>
      <c r="I11" s="455">
        <f>SUM(J11:AF11)+SUM(J12:AF12)</f>
        <v>7730</v>
      </c>
      <c r="J11" s="328"/>
      <c r="K11" s="329">
        <f>'Moulded-2025-26'!AD13</f>
        <v>0</v>
      </c>
      <c r="L11" s="329">
        <f>'Moulded-2024-25'!Q13</f>
        <v>520</v>
      </c>
      <c r="M11" s="329">
        <v>0</v>
      </c>
      <c r="N11" s="329">
        <f>'Moulded-2023'!Z13</f>
        <v>0</v>
      </c>
      <c r="O11" s="329">
        <v>1040</v>
      </c>
      <c r="P11" s="329">
        <v>3120</v>
      </c>
      <c r="Q11" s="329">
        <v>2600</v>
      </c>
      <c r="R11" s="329"/>
      <c r="S11" s="329"/>
      <c r="T11" s="329"/>
      <c r="U11" s="329"/>
      <c r="V11" s="329"/>
      <c r="W11" s="329"/>
      <c r="X11" s="329"/>
      <c r="Y11" s="329"/>
      <c r="Z11" s="329"/>
      <c r="AA11" s="329"/>
      <c r="AB11" s="329"/>
      <c r="AC11" s="329"/>
      <c r="AD11" s="329"/>
      <c r="AE11" s="329"/>
      <c r="AF11" s="329"/>
    </row>
    <row r="12" spans="1:32" s="280" customFormat="1" x14ac:dyDescent="0.2">
      <c r="A12" s="451"/>
      <c r="B12" s="506"/>
      <c r="C12" s="443"/>
      <c r="D12" s="441"/>
      <c r="E12" s="443"/>
      <c r="F12" s="445"/>
      <c r="G12" s="330">
        <v>10</v>
      </c>
      <c r="H12" s="331">
        <v>450</v>
      </c>
      <c r="I12" s="456"/>
      <c r="J12" s="332"/>
      <c r="K12" s="333">
        <f>'Moulded-2025-26'!AD14</f>
        <v>0</v>
      </c>
      <c r="L12" s="333">
        <f>'Moulded-2024-25'!Q14</f>
        <v>0</v>
      </c>
      <c r="M12" s="333">
        <v>0</v>
      </c>
      <c r="N12" s="333">
        <f>'Moulded-2023'!Z14</f>
        <v>0</v>
      </c>
      <c r="O12" s="333"/>
      <c r="P12" s="333"/>
      <c r="Q12" s="333">
        <v>450</v>
      </c>
      <c r="R12" s="333"/>
      <c r="S12" s="333"/>
      <c r="T12" s="333"/>
      <c r="U12" s="333"/>
      <c r="V12" s="333"/>
      <c r="W12" s="333"/>
      <c r="X12" s="333"/>
      <c r="Y12" s="333"/>
      <c r="Z12" s="333"/>
      <c r="AA12" s="333"/>
      <c r="AB12" s="333"/>
      <c r="AC12" s="333"/>
      <c r="AD12" s="333"/>
      <c r="AE12" s="333"/>
      <c r="AF12" s="333"/>
    </row>
    <row r="13" spans="1:32" s="280" customFormat="1" x14ac:dyDescent="0.2">
      <c r="A13" s="308"/>
      <c r="B13" s="287" t="s">
        <v>414</v>
      </c>
      <c r="C13" s="334" t="s">
        <v>397</v>
      </c>
      <c r="D13" s="310" t="s">
        <v>486</v>
      </c>
      <c r="E13" s="335">
        <v>40693</v>
      </c>
      <c r="F13" s="362">
        <v>2</v>
      </c>
      <c r="G13" s="308">
        <v>10</v>
      </c>
      <c r="H13" s="308">
        <v>2500</v>
      </c>
      <c r="I13" s="312">
        <f t="shared" ref="I13:I33" si="0">SUM(J13:AF13)</f>
        <v>215000</v>
      </c>
      <c r="J13" s="313"/>
      <c r="K13" s="314">
        <f>'Moulded-2025-26'!AD15</f>
        <v>0</v>
      </c>
      <c r="L13" s="314">
        <f>'Moulded-2024-25'!Q15</f>
        <v>67500</v>
      </c>
      <c r="M13" s="314">
        <f>'Moulded-2024'!P15</f>
        <v>62500</v>
      </c>
      <c r="N13" s="314">
        <f>'Moulded-2023'!Z15</f>
        <v>85000</v>
      </c>
      <c r="O13" s="314"/>
      <c r="P13" s="314"/>
      <c r="Q13" s="314"/>
      <c r="R13" s="314"/>
      <c r="S13" s="314"/>
      <c r="T13" s="314"/>
      <c r="U13" s="314"/>
      <c r="V13" s="314"/>
      <c r="W13" s="314"/>
      <c r="X13" s="314"/>
      <c r="Y13" s="314"/>
      <c r="Z13" s="314"/>
      <c r="AA13" s="314"/>
      <c r="AB13" s="314"/>
      <c r="AC13" s="314"/>
      <c r="AD13" s="314"/>
      <c r="AE13" s="314"/>
      <c r="AF13" s="314"/>
    </row>
    <row r="14" spans="1:32" s="280" customFormat="1" x14ac:dyDescent="0.2">
      <c r="A14" s="316"/>
      <c r="B14" s="288" t="s">
        <v>415</v>
      </c>
      <c r="C14" s="336" t="s">
        <v>398</v>
      </c>
      <c r="D14" s="318" t="s">
        <v>486</v>
      </c>
      <c r="E14" s="319">
        <v>40693</v>
      </c>
      <c r="F14" s="283">
        <v>2</v>
      </c>
      <c r="G14" s="316">
        <v>10</v>
      </c>
      <c r="H14" s="316">
        <v>1500</v>
      </c>
      <c r="I14" s="312">
        <f t="shared" si="0"/>
        <v>43500</v>
      </c>
      <c r="J14" s="313"/>
      <c r="K14" s="317">
        <f>'Moulded-2025-26'!AD16</f>
        <v>3000</v>
      </c>
      <c r="L14" s="317">
        <f>'Moulded-2024-25'!Q16</f>
        <v>4500</v>
      </c>
      <c r="M14" s="317">
        <f>'Moulded-2024'!P16</f>
        <v>10500</v>
      </c>
      <c r="N14" s="317">
        <f>'Moulded-2023'!Z16</f>
        <v>25500</v>
      </c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</row>
    <row r="15" spans="1:32" s="280" customFormat="1" x14ac:dyDescent="0.2">
      <c r="A15" s="308"/>
      <c r="B15" s="287" t="s">
        <v>416</v>
      </c>
      <c r="C15" s="334" t="s">
        <v>539</v>
      </c>
      <c r="D15" s="310" t="s">
        <v>486</v>
      </c>
      <c r="E15" s="311">
        <v>40693</v>
      </c>
      <c r="F15" s="282">
        <v>2</v>
      </c>
      <c r="G15" s="308">
        <v>10</v>
      </c>
      <c r="H15" s="308">
        <v>900</v>
      </c>
      <c r="I15" s="312">
        <f t="shared" si="0"/>
        <v>18000</v>
      </c>
      <c r="J15" s="313"/>
      <c r="K15" s="314">
        <f>'Moulded-2025-26'!AD17</f>
        <v>1800</v>
      </c>
      <c r="L15" s="314">
        <f>'Moulded-2024-25'!Q17</f>
        <v>900</v>
      </c>
      <c r="M15" s="314">
        <f>'Moulded-2024'!P17</f>
        <v>6300</v>
      </c>
      <c r="N15" s="314">
        <f>'Moulded-2023'!Z17</f>
        <v>9000</v>
      </c>
      <c r="O15" s="314"/>
      <c r="P15" s="314"/>
      <c r="Q15" s="314"/>
      <c r="R15" s="314"/>
      <c r="S15" s="314"/>
      <c r="T15" s="314"/>
      <c r="U15" s="314"/>
      <c r="V15" s="314"/>
      <c r="W15" s="314"/>
      <c r="X15" s="314"/>
      <c r="Y15" s="314"/>
      <c r="Z15" s="314"/>
      <c r="AA15" s="314"/>
      <c r="AB15" s="314"/>
      <c r="AC15" s="314"/>
      <c r="AD15" s="314"/>
      <c r="AE15" s="314"/>
      <c r="AF15" s="314"/>
    </row>
    <row r="16" spans="1:32" s="280" customFormat="1" x14ac:dyDescent="0.2">
      <c r="A16" s="316"/>
      <c r="B16" s="288" t="s">
        <v>417</v>
      </c>
      <c r="C16" s="336" t="s">
        <v>502</v>
      </c>
      <c r="D16" s="318" t="s">
        <v>485</v>
      </c>
      <c r="E16" s="319">
        <v>40525</v>
      </c>
      <c r="F16" s="283">
        <v>1</v>
      </c>
      <c r="G16" s="316">
        <v>10</v>
      </c>
      <c r="H16" s="316">
        <v>1900</v>
      </c>
      <c r="I16" s="312">
        <f t="shared" si="0"/>
        <v>285000</v>
      </c>
      <c r="J16" s="313"/>
      <c r="K16" s="317">
        <f>'Moulded-2025-26'!AD18</f>
        <v>19000</v>
      </c>
      <c r="L16" s="317">
        <f>'Moulded-2024-25'!Q18</f>
        <v>77900</v>
      </c>
      <c r="M16" s="317">
        <f>'Moulded-2024'!P18</f>
        <v>66500</v>
      </c>
      <c r="N16" s="317">
        <f>'Moulded-2023'!Z18</f>
        <v>102600</v>
      </c>
      <c r="O16" s="317">
        <v>19000</v>
      </c>
      <c r="P16" s="317"/>
      <c r="Q16" s="317"/>
      <c r="R16" s="317"/>
      <c r="S16" s="317"/>
      <c r="T16" s="317"/>
      <c r="U16" s="317"/>
      <c r="V16" s="317"/>
      <c r="W16" s="317"/>
      <c r="X16" s="317"/>
      <c r="Y16" s="317"/>
      <c r="Z16" s="317"/>
      <c r="AA16" s="317"/>
      <c r="AB16" s="317"/>
      <c r="AC16" s="317"/>
      <c r="AD16" s="317"/>
      <c r="AE16" s="317"/>
      <c r="AF16" s="317"/>
    </row>
    <row r="17" spans="1:32" s="280" customFormat="1" x14ac:dyDescent="0.2">
      <c r="A17" s="308"/>
      <c r="B17" s="287" t="s">
        <v>418</v>
      </c>
      <c r="C17" s="334" t="s">
        <v>503</v>
      </c>
      <c r="D17" s="310" t="s">
        <v>485</v>
      </c>
      <c r="E17" s="311">
        <v>40693</v>
      </c>
      <c r="F17" s="282">
        <v>1</v>
      </c>
      <c r="G17" s="308">
        <v>10</v>
      </c>
      <c r="H17" s="308">
        <v>890</v>
      </c>
      <c r="I17" s="312">
        <f t="shared" si="0"/>
        <v>77430</v>
      </c>
      <c r="J17" s="313"/>
      <c r="K17" s="314">
        <f>'Moulded-2025-26'!AD19</f>
        <v>7120</v>
      </c>
      <c r="L17" s="314">
        <f>'Moulded-2024-25'!Q19</f>
        <v>7120</v>
      </c>
      <c r="M17" s="314">
        <f>'Moulded-2024'!P19</f>
        <v>22250</v>
      </c>
      <c r="N17" s="314">
        <f>'Moulded-2023'!Z19</f>
        <v>32040</v>
      </c>
      <c r="O17" s="314">
        <v>8900</v>
      </c>
      <c r="P17" s="314"/>
      <c r="Q17" s="314"/>
      <c r="R17" s="314"/>
      <c r="S17" s="314"/>
      <c r="T17" s="314"/>
      <c r="U17" s="314"/>
      <c r="V17" s="314"/>
      <c r="W17" s="314"/>
      <c r="X17" s="314"/>
      <c r="Y17" s="314"/>
      <c r="Z17" s="314"/>
      <c r="AA17" s="314"/>
      <c r="AB17" s="314"/>
      <c r="AC17" s="314"/>
      <c r="AD17" s="314"/>
      <c r="AE17" s="314"/>
      <c r="AF17" s="314"/>
    </row>
    <row r="18" spans="1:32" s="280" customFormat="1" x14ac:dyDescent="0.2">
      <c r="A18" s="316"/>
      <c r="B18" s="288" t="s">
        <v>419</v>
      </c>
      <c r="C18" s="336" t="s">
        <v>504</v>
      </c>
      <c r="D18" s="318" t="s">
        <v>485</v>
      </c>
      <c r="E18" s="319">
        <v>40693</v>
      </c>
      <c r="F18" s="283">
        <v>1</v>
      </c>
      <c r="G18" s="316">
        <v>10</v>
      </c>
      <c r="H18" s="316">
        <v>600</v>
      </c>
      <c r="I18" s="312">
        <f t="shared" si="0"/>
        <v>90000</v>
      </c>
      <c r="J18" s="313"/>
      <c r="K18" s="317">
        <f>'Moulded-2025-26'!AD20</f>
        <v>6600</v>
      </c>
      <c r="L18" s="317">
        <f>'Moulded-2024-25'!Q20</f>
        <v>6000</v>
      </c>
      <c r="M18" s="317">
        <f>'Moulded-2024'!P20</f>
        <v>20400</v>
      </c>
      <c r="N18" s="317">
        <f>'Moulded-2023'!Z20</f>
        <v>51000</v>
      </c>
      <c r="O18" s="317">
        <v>6000</v>
      </c>
      <c r="P18" s="317"/>
      <c r="Q18" s="317"/>
      <c r="R18" s="317"/>
      <c r="S18" s="317"/>
      <c r="T18" s="317"/>
      <c r="U18" s="317"/>
      <c r="V18" s="317"/>
      <c r="W18" s="317"/>
      <c r="X18" s="317"/>
      <c r="Y18" s="317"/>
      <c r="Z18" s="317"/>
      <c r="AA18" s="317"/>
      <c r="AB18" s="317"/>
      <c r="AC18" s="317"/>
      <c r="AD18" s="317"/>
      <c r="AE18" s="317"/>
      <c r="AF18" s="317"/>
    </row>
    <row r="19" spans="1:32" s="280" customFormat="1" x14ac:dyDescent="0.2">
      <c r="A19" s="308"/>
      <c r="B19" s="287" t="s">
        <v>457</v>
      </c>
      <c r="C19" s="334" t="s">
        <v>540</v>
      </c>
      <c r="D19" s="310" t="s">
        <v>486</v>
      </c>
      <c r="E19" s="311">
        <v>40270</v>
      </c>
      <c r="F19" s="308">
        <v>4</v>
      </c>
      <c r="G19" s="308">
        <v>10</v>
      </c>
      <c r="H19" s="308">
        <v>2900</v>
      </c>
      <c r="I19" s="312">
        <f t="shared" si="0"/>
        <v>214600</v>
      </c>
      <c r="J19" s="313"/>
      <c r="K19" s="314">
        <f>'Moulded-2025-26'!AD21</f>
        <v>72500</v>
      </c>
      <c r="L19" s="314">
        <f>'Moulded-2024-25'!Q21</f>
        <v>8700</v>
      </c>
      <c r="M19" s="314">
        <f>'Moulded-2024'!P21</f>
        <v>46400</v>
      </c>
      <c r="N19" s="314">
        <f>'Moulded-2023'!Z21</f>
        <v>87000</v>
      </c>
      <c r="O19" s="314"/>
      <c r="P19" s="314"/>
      <c r="Q19" s="314"/>
      <c r="R19" s="314"/>
      <c r="S19" s="314"/>
      <c r="T19" s="314"/>
      <c r="U19" s="314"/>
      <c r="V19" s="314"/>
      <c r="W19" s="314"/>
      <c r="X19" s="314"/>
      <c r="Y19" s="314"/>
      <c r="Z19" s="314"/>
      <c r="AA19" s="314"/>
      <c r="AB19" s="314"/>
      <c r="AC19" s="314"/>
      <c r="AD19" s="314"/>
      <c r="AE19" s="314"/>
      <c r="AF19" s="314"/>
    </row>
    <row r="20" spans="1:32" s="280" customFormat="1" x14ac:dyDescent="0.2">
      <c r="A20" s="316"/>
      <c r="B20" s="288" t="s">
        <v>462</v>
      </c>
      <c r="C20" s="336" t="s">
        <v>541</v>
      </c>
      <c r="D20" s="318" t="s">
        <v>486</v>
      </c>
      <c r="E20" s="319">
        <v>40693</v>
      </c>
      <c r="F20" s="316">
        <v>4</v>
      </c>
      <c r="G20" s="316">
        <v>10</v>
      </c>
      <c r="H20" s="316">
        <v>1700</v>
      </c>
      <c r="I20" s="312">
        <f t="shared" si="0"/>
        <v>45900</v>
      </c>
      <c r="J20" s="313"/>
      <c r="K20" s="317">
        <f>'Moulded-2025-26'!AD22</f>
        <v>13600</v>
      </c>
      <c r="L20" s="317">
        <f>'Moulded-2024-25'!Q22</f>
        <v>0</v>
      </c>
      <c r="M20" s="317">
        <f>'Moulded-2024'!P22</f>
        <v>11900</v>
      </c>
      <c r="N20" s="317">
        <f>'Moulded-2023'!Z22</f>
        <v>20400</v>
      </c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317"/>
      <c r="AB20" s="317"/>
      <c r="AC20" s="317"/>
      <c r="AD20" s="317"/>
      <c r="AE20" s="317"/>
      <c r="AF20" s="317"/>
    </row>
    <row r="21" spans="1:32" s="280" customFormat="1" x14ac:dyDescent="0.2">
      <c r="A21" s="308"/>
      <c r="B21" s="287" t="s">
        <v>420</v>
      </c>
      <c r="C21" s="334" t="s">
        <v>542</v>
      </c>
      <c r="D21" s="310" t="s">
        <v>486</v>
      </c>
      <c r="E21" s="311">
        <v>40693</v>
      </c>
      <c r="F21" s="308">
        <v>2</v>
      </c>
      <c r="G21" s="308">
        <v>10</v>
      </c>
      <c r="H21" s="308">
        <v>1000</v>
      </c>
      <c r="I21" s="312">
        <f t="shared" si="0"/>
        <v>28000</v>
      </c>
      <c r="J21" s="313"/>
      <c r="K21" s="314">
        <f>'Moulded-2025-26'!AD23</f>
        <v>7000</v>
      </c>
      <c r="L21" s="314">
        <f>'Moulded-2024-25'!Q23</f>
        <v>0</v>
      </c>
      <c r="M21" s="314">
        <f>'Moulded-2024'!P23</f>
        <v>6000</v>
      </c>
      <c r="N21" s="314">
        <f>'Moulded-2023'!Z23</f>
        <v>15000</v>
      </c>
      <c r="O21" s="314"/>
      <c r="P21" s="314"/>
      <c r="Q21" s="314"/>
      <c r="R21" s="314"/>
      <c r="S21" s="314"/>
      <c r="T21" s="314"/>
      <c r="U21" s="314"/>
      <c r="V21" s="314"/>
      <c r="W21" s="314"/>
      <c r="X21" s="314"/>
      <c r="Y21" s="314"/>
      <c r="Z21" s="314"/>
      <c r="AA21" s="314"/>
      <c r="AB21" s="314"/>
      <c r="AC21" s="314"/>
      <c r="AD21" s="314"/>
      <c r="AE21" s="314"/>
      <c r="AF21" s="314"/>
    </row>
    <row r="22" spans="1:32" s="280" customFormat="1" ht="25.5" x14ac:dyDescent="0.2">
      <c r="A22" s="316">
        <v>8</v>
      </c>
      <c r="B22" s="288" t="s">
        <v>421</v>
      </c>
      <c r="C22" s="315" t="s">
        <v>505</v>
      </c>
      <c r="D22" s="318" t="s">
        <v>485</v>
      </c>
      <c r="E22" s="319">
        <v>39310</v>
      </c>
      <c r="F22" s="283">
        <v>2</v>
      </c>
      <c r="G22" s="316">
        <v>50</v>
      </c>
      <c r="H22" s="316">
        <v>1750</v>
      </c>
      <c r="I22" s="312">
        <f t="shared" si="0"/>
        <v>738500</v>
      </c>
      <c r="J22" s="313"/>
      <c r="K22" s="317">
        <f>'Moulded-2025-26'!AD24</f>
        <v>38500</v>
      </c>
      <c r="L22" s="317">
        <f>'Moulded-2024-25'!Q24</f>
        <v>1750</v>
      </c>
      <c r="M22" s="317">
        <f>'Moulded-2024'!P24</f>
        <v>52500</v>
      </c>
      <c r="N22" s="317">
        <f>'Moulded-2023'!Z24</f>
        <v>56000</v>
      </c>
      <c r="O22" s="317">
        <v>21000</v>
      </c>
      <c r="P22" s="317">
        <v>29750</v>
      </c>
      <c r="Q22" s="317"/>
      <c r="R22" s="317">
        <v>35000</v>
      </c>
      <c r="S22" s="317">
        <v>70000</v>
      </c>
      <c r="T22" s="317">
        <v>36750</v>
      </c>
      <c r="U22" s="317">
        <v>56000</v>
      </c>
      <c r="V22" s="317">
        <v>29750</v>
      </c>
      <c r="W22" s="317">
        <v>71750</v>
      </c>
      <c r="X22" s="317">
        <v>33250</v>
      </c>
      <c r="Y22" s="317">
        <v>33250</v>
      </c>
      <c r="Z22" s="317">
        <v>24500</v>
      </c>
      <c r="AA22" s="317">
        <v>50750</v>
      </c>
      <c r="AB22" s="317">
        <v>21000</v>
      </c>
      <c r="AC22" s="317">
        <v>36750</v>
      </c>
      <c r="AD22" s="317">
        <v>40250</v>
      </c>
      <c r="AE22" s="317"/>
      <c r="AF22" s="317"/>
    </row>
    <row r="23" spans="1:32" s="280" customFormat="1" ht="25.5" x14ac:dyDescent="0.2">
      <c r="A23" s="308">
        <v>9</v>
      </c>
      <c r="B23" s="382" t="s">
        <v>422</v>
      </c>
      <c r="C23" s="309" t="s">
        <v>506</v>
      </c>
      <c r="D23" s="310" t="s">
        <v>485</v>
      </c>
      <c r="E23" s="311">
        <v>38709</v>
      </c>
      <c r="F23" s="282">
        <v>2</v>
      </c>
      <c r="G23" s="308">
        <v>100</v>
      </c>
      <c r="H23" s="308">
        <v>1000</v>
      </c>
      <c r="I23" s="312">
        <f t="shared" si="0"/>
        <v>870800</v>
      </c>
      <c r="J23" s="313"/>
      <c r="K23" s="314">
        <f>'Moulded-2025-26'!AD25</f>
        <v>30000</v>
      </c>
      <c r="L23" s="314">
        <f>'Moulded-2024-25'!Q25</f>
        <v>14000</v>
      </c>
      <c r="M23" s="314">
        <f>'Moulded-2024'!P25</f>
        <v>30000</v>
      </c>
      <c r="N23" s="314">
        <f>'Moulded-2023'!Z25</f>
        <v>42000</v>
      </c>
      <c r="O23" s="314">
        <v>44000</v>
      </c>
      <c r="P23" s="314">
        <v>57000</v>
      </c>
      <c r="Q23" s="314">
        <v>21000</v>
      </c>
      <c r="R23" s="314">
        <v>63000</v>
      </c>
      <c r="S23" s="314">
        <v>69000</v>
      </c>
      <c r="T23" s="314">
        <v>76000</v>
      </c>
      <c r="U23" s="314">
        <v>50000</v>
      </c>
      <c r="V23" s="314">
        <v>39000</v>
      </c>
      <c r="W23" s="314">
        <v>56000</v>
      </c>
      <c r="X23" s="314">
        <v>10000</v>
      </c>
      <c r="Y23" s="314">
        <v>28000</v>
      </c>
      <c r="Z23" s="314">
        <v>27000</v>
      </c>
      <c r="AA23" s="314">
        <v>45000</v>
      </c>
      <c r="AB23" s="314">
        <v>22000</v>
      </c>
      <c r="AC23" s="314">
        <v>44400</v>
      </c>
      <c r="AD23" s="314">
        <v>45000</v>
      </c>
      <c r="AE23" s="314"/>
      <c r="AF23" s="314">
        <v>58400</v>
      </c>
    </row>
    <row r="24" spans="1:32" s="280" customFormat="1" ht="25.5" x14ac:dyDescent="0.2">
      <c r="A24" s="316">
        <v>10</v>
      </c>
      <c r="B24" s="382" t="s">
        <v>423</v>
      </c>
      <c r="C24" s="315" t="s">
        <v>507</v>
      </c>
      <c r="D24" s="318" t="s">
        <v>485</v>
      </c>
      <c r="E24" s="319">
        <v>39310</v>
      </c>
      <c r="F24" s="283">
        <v>2</v>
      </c>
      <c r="G24" s="316">
        <v>50</v>
      </c>
      <c r="H24" s="316">
        <v>600</v>
      </c>
      <c r="I24" s="312">
        <f t="shared" si="0"/>
        <v>111600</v>
      </c>
      <c r="J24" s="313"/>
      <c r="K24" s="317">
        <f>'Moulded-2025-26'!AD26</f>
        <v>2400</v>
      </c>
      <c r="L24" s="317">
        <f>'Moulded-2024-25'!Q26</f>
        <v>6600</v>
      </c>
      <c r="M24" s="317">
        <f>'Moulded-2024'!P26</f>
        <v>4200</v>
      </c>
      <c r="N24" s="317">
        <f>'Moulded-2023'!Z26</f>
        <v>1800</v>
      </c>
      <c r="O24" s="317">
        <v>7800</v>
      </c>
      <c r="P24" s="317">
        <v>4800</v>
      </c>
      <c r="Q24" s="317">
        <v>600</v>
      </c>
      <c r="R24" s="317">
        <v>2400</v>
      </c>
      <c r="S24" s="317">
        <v>8400</v>
      </c>
      <c r="T24" s="317">
        <v>6600</v>
      </c>
      <c r="U24" s="317">
        <v>2400</v>
      </c>
      <c r="V24" s="317">
        <v>2400</v>
      </c>
      <c r="W24" s="317">
        <v>9000</v>
      </c>
      <c r="X24" s="317"/>
      <c r="Y24" s="317"/>
      <c r="Z24" s="317">
        <v>18000</v>
      </c>
      <c r="AA24" s="317">
        <v>6000</v>
      </c>
      <c r="AB24" s="317"/>
      <c r="AC24" s="317"/>
      <c r="AD24" s="317">
        <v>28200</v>
      </c>
      <c r="AE24" s="317"/>
      <c r="AF24" s="317"/>
    </row>
    <row r="25" spans="1:32" s="280" customFormat="1" x14ac:dyDescent="0.2">
      <c r="A25" s="308">
        <v>11</v>
      </c>
      <c r="B25" s="470" t="s">
        <v>424</v>
      </c>
      <c r="C25" s="472" t="s">
        <v>508</v>
      </c>
      <c r="D25" s="310" t="s">
        <v>485</v>
      </c>
      <c r="E25" s="311">
        <v>40908</v>
      </c>
      <c r="F25" s="282">
        <v>1</v>
      </c>
      <c r="G25" s="308">
        <v>50</v>
      </c>
      <c r="H25" s="308">
        <v>350</v>
      </c>
      <c r="I25" s="312">
        <f t="shared" si="0"/>
        <v>56000</v>
      </c>
      <c r="J25" s="313"/>
      <c r="K25" s="314">
        <f>'Moulded-2025-26'!AD27</f>
        <v>1050</v>
      </c>
      <c r="L25" s="314">
        <f>'Moulded-2024-25'!Q27</f>
        <v>1400</v>
      </c>
      <c r="M25" s="314">
        <f>'Moulded-2024'!P27</f>
        <v>1050</v>
      </c>
      <c r="N25" s="314">
        <f>'Moulded-2023'!Z27</f>
        <v>1050</v>
      </c>
      <c r="O25" s="314">
        <v>4900</v>
      </c>
      <c r="P25" s="314">
        <v>4900</v>
      </c>
      <c r="Q25" s="314">
        <v>1750</v>
      </c>
      <c r="R25" s="314">
        <v>4200</v>
      </c>
      <c r="S25" s="314">
        <v>4200</v>
      </c>
      <c r="T25" s="314">
        <v>3150</v>
      </c>
      <c r="U25" s="314">
        <v>2800</v>
      </c>
      <c r="V25" s="314">
        <v>2100</v>
      </c>
      <c r="W25" s="314">
        <v>700</v>
      </c>
      <c r="X25" s="314"/>
      <c r="Y25" s="314">
        <v>22750</v>
      </c>
      <c r="Z25" s="314"/>
      <c r="AA25" s="314"/>
      <c r="AB25" s="314"/>
      <c r="AC25" s="314"/>
      <c r="AD25" s="314"/>
      <c r="AE25" s="314"/>
      <c r="AF25" s="314"/>
    </row>
    <row r="26" spans="1:32" s="280" customFormat="1" x14ac:dyDescent="0.2">
      <c r="A26" s="308">
        <v>12</v>
      </c>
      <c r="B26" s="471"/>
      <c r="C26" s="473"/>
      <c r="D26" s="310" t="s">
        <v>567</v>
      </c>
      <c r="E26" s="311">
        <v>46041</v>
      </c>
      <c r="F26" s="282">
        <v>4</v>
      </c>
      <c r="G26" s="308"/>
      <c r="H26" s="308"/>
      <c r="I26" s="312">
        <f t="shared" si="0"/>
        <v>0</v>
      </c>
      <c r="J26" s="313"/>
      <c r="K26" s="314"/>
      <c r="L26" s="314"/>
      <c r="M26" s="314"/>
      <c r="N26" s="314"/>
      <c r="O26" s="314"/>
      <c r="P26" s="314"/>
      <c r="Q26" s="314"/>
      <c r="R26" s="314"/>
      <c r="S26" s="314"/>
      <c r="T26" s="314"/>
      <c r="U26" s="314"/>
      <c r="V26" s="314"/>
      <c r="W26" s="314"/>
      <c r="X26" s="314"/>
      <c r="Y26" s="314"/>
      <c r="Z26" s="314"/>
      <c r="AA26" s="314"/>
      <c r="AB26" s="314"/>
      <c r="AC26" s="314"/>
      <c r="AD26" s="314"/>
      <c r="AE26" s="314"/>
      <c r="AF26" s="314"/>
    </row>
    <row r="27" spans="1:32" s="280" customFormat="1" x14ac:dyDescent="0.2">
      <c r="A27" s="316">
        <v>12</v>
      </c>
      <c r="B27" s="433" t="s">
        <v>425</v>
      </c>
      <c r="C27" s="431" t="s">
        <v>543</v>
      </c>
      <c r="D27" s="318" t="s">
        <v>485</v>
      </c>
      <c r="E27" s="319">
        <v>41072</v>
      </c>
      <c r="F27" s="283">
        <v>1</v>
      </c>
      <c r="G27" s="316">
        <v>10</v>
      </c>
      <c r="H27" s="316">
        <v>300</v>
      </c>
      <c r="I27" s="312">
        <f t="shared" si="0"/>
        <v>62100</v>
      </c>
      <c r="J27" s="313"/>
      <c r="K27" s="317"/>
      <c r="L27" s="317"/>
      <c r="M27" s="317"/>
      <c r="N27" s="317"/>
      <c r="O27" s="317"/>
      <c r="P27" s="317"/>
      <c r="Q27" s="317"/>
      <c r="R27" s="317"/>
      <c r="S27" s="317"/>
      <c r="T27" s="317">
        <f>3000</f>
        <v>3000</v>
      </c>
      <c r="U27" s="317">
        <v>9000</v>
      </c>
      <c r="V27" s="317"/>
      <c r="W27" s="317">
        <v>39900</v>
      </c>
      <c r="X27" s="317"/>
      <c r="Y27" s="317">
        <v>10200</v>
      </c>
      <c r="Z27" s="317"/>
      <c r="AA27" s="317"/>
      <c r="AB27" s="317"/>
      <c r="AC27" s="317"/>
      <c r="AD27" s="317"/>
      <c r="AE27" s="317"/>
      <c r="AF27" s="317"/>
    </row>
    <row r="28" spans="1:32" s="280" customFormat="1" x14ac:dyDescent="0.2">
      <c r="A28" s="299">
        <v>13</v>
      </c>
      <c r="B28" s="434"/>
      <c r="C28" s="432"/>
      <c r="D28" s="294" t="s">
        <v>486</v>
      </c>
      <c r="E28" s="293">
        <v>42756</v>
      </c>
      <c r="F28" s="300">
        <v>2</v>
      </c>
      <c r="G28" s="316">
        <v>10</v>
      </c>
      <c r="H28" s="316">
        <v>300</v>
      </c>
      <c r="I28" s="312">
        <f t="shared" si="0"/>
        <v>203400</v>
      </c>
      <c r="J28" s="337"/>
      <c r="K28" s="292">
        <f>'Moulded-2025-26'!AD28</f>
        <v>21300</v>
      </c>
      <c r="L28" s="292">
        <f>'Moulded-2024-25'!Q28</f>
        <v>10500</v>
      </c>
      <c r="M28" s="292">
        <f>'Moulded-2024'!P28</f>
        <v>12000</v>
      </c>
      <c r="N28" s="292">
        <f>'Moulded-2023'!Z28</f>
        <v>42000</v>
      </c>
      <c r="O28" s="317">
        <v>18000</v>
      </c>
      <c r="P28" s="317">
        <v>15000</v>
      </c>
      <c r="Q28" s="317">
        <v>12000</v>
      </c>
      <c r="R28" s="317"/>
      <c r="S28" s="317">
        <v>38700</v>
      </c>
      <c r="T28" s="317">
        <f>36900-T27</f>
        <v>33900</v>
      </c>
      <c r="U28" s="317"/>
      <c r="V28" s="317"/>
      <c r="W28" s="317"/>
      <c r="X28" s="317"/>
      <c r="Y28" s="317"/>
      <c r="Z28" s="317"/>
      <c r="AA28" s="317"/>
      <c r="AB28" s="317"/>
      <c r="AC28" s="317"/>
      <c r="AD28" s="317"/>
      <c r="AE28" s="317"/>
      <c r="AF28" s="317"/>
    </row>
    <row r="29" spans="1:32" s="280" customFormat="1" ht="25.5" x14ac:dyDescent="0.2">
      <c r="A29" s="485">
        <v>14</v>
      </c>
      <c r="B29" s="304" t="s">
        <v>426</v>
      </c>
      <c r="C29" s="338" t="s">
        <v>544</v>
      </c>
      <c r="D29" s="449" t="s">
        <v>486</v>
      </c>
      <c r="E29" s="457">
        <v>42815</v>
      </c>
      <c r="F29" s="295">
        <v>1</v>
      </c>
      <c r="G29" s="320">
        <v>10</v>
      </c>
      <c r="H29" s="320">
        <v>230</v>
      </c>
      <c r="I29" s="339">
        <f t="shared" si="0"/>
        <v>3680</v>
      </c>
      <c r="J29" s="321"/>
      <c r="K29" s="322">
        <f>'Moulded-2025-26'!AD29</f>
        <v>0</v>
      </c>
      <c r="L29" s="322">
        <f>'Moulded-2024-25'!Q29</f>
        <v>0</v>
      </c>
      <c r="M29" s="322">
        <f>'Moulded-2024'!P29</f>
        <v>0</v>
      </c>
      <c r="N29" s="322">
        <f>'Moulded-2023'!Z29</f>
        <v>0</v>
      </c>
      <c r="O29" s="322"/>
      <c r="P29" s="322"/>
      <c r="Q29" s="322"/>
      <c r="R29" s="322"/>
      <c r="S29" s="322">
        <v>1840</v>
      </c>
      <c r="T29" s="322">
        <v>1840</v>
      </c>
      <c r="U29" s="322"/>
      <c r="V29" s="322"/>
      <c r="W29" s="322"/>
      <c r="X29" s="322"/>
      <c r="Y29" s="322"/>
      <c r="Z29" s="322"/>
      <c r="AA29" s="322"/>
      <c r="AB29" s="322"/>
      <c r="AC29" s="322"/>
      <c r="AD29" s="322"/>
      <c r="AE29" s="322"/>
      <c r="AF29" s="322"/>
    </row>
    <row r="30" spans="1:32" s="280" customFormat="1" ht="25.5" x14ac:dyDescent="0.2">
      <c r="A30" s="450"/>
      <c r="B30" s="289" t="s">
        <v>427</v>
      </c>
      <c r="C30" s="340" t="s">
        <v>545</v>
      </c>
      <c r="D30" s="450"/>
      <c r="E30" s="513"/>
      <c r="F30" s="296">
        <v>1</v>
      </c>
      <c r="G30" s="323">
        <v>10</v>
      </c>
      <c r="H30" s="323">
        <v>160</v>
      </c>
      <c r="I30" s="341">
        <f t="shared" si="0"/>
        <v>3040</v>
      </c>
      <c r="J30" s="324"/>
      <c r="K30" s="325">
        <f>'Moulded-2025-26'!AD30</f>
        <v>0</v>
      </c>
      <c r="L30" s="325">
        <f>'Moulded-2024-25'!Q30</f>
        <v>0</v>
      </c>
      <c r="M30" s="325">
        <f>'Moulded-2024'!P30</f>
        <v>0</v>
      </c>
      <c r="N30" s="325">
        <f>'Moulded-2023'!Z30</f>
        <v>0</v>
      </c>
      <c r="O30" s="325"/>
      <c r="P30" s="325"/>
      <c r="Q30" s="325"/>
      <c r="R30" s="325"/>
      <c r="S30" s="325">
        <v>2080</v>
      </c>
      <c r="T30" s="325">
        <v>960</v>
      </c>
      <c r="U30" s="325"/>
      <c r="V30" s="325"/>
      <c r="W30" s="325"/>
      <c r="X30" s="325"/>
      <c r="Y30" s="325"/>
      <c r="Z30" s="325"/>
      <c r="AA30" s="325"/>
      <c r="AB30" s="325"/>
      <c r="AC30" s="325"/>
      <c r="AD30" s="325"/>
      <c r="AE30" s="325"/>
      <c r="AF30" s="325"/>
    </row>
    <row r="31" spans="1:32" s="280" customFormat="1" ht="25.5" x14ac:dyDescent="0.2">
      <c r="A31" s="486">
        <v>15</v>
      </c>
      <c r="B31" s="290" t="s">
        <v>428</v>
      </c>
      <c r="C31" s="342" t="s">
        <v>546</v>
      </c>
      <c r="D31" s="440" t="s">
        <v>486</v>
      </c>
      <c r="E31" s="442">
        <v>42815</v>
      </c>
      <c r="F31" s="284">
        <v>1</v>
      </c>
      <c r="G31" s="326">
        <v>5</v>
      </c>
      <c r="H31" s="326">
        <v>85</v>
      </c>
      <c r="I31" s="339">
        <f t="shared" si="0"/>
        <v>3655</v>
      </c>
      <c r="J31" s="321"/>
      <c r="K31" s="329">
        <f>'Moulded-2025-26'!AD31</f>
        <v>0</v>
      </c>
      <c r="L31" s="329">
        <f>'Moulded-2024-25'!Q31</f>
        <v>0</v>
      </c>
      <c r="M31" s="329">
        <f>'Moulded-2024'!P31</f>
        <v>0</v>
      </c>
      <c r="N31" s="329">
        <f>'Moulded-2023'!Z31</f>
        <v>0</v>
      </c>
      <c r="O31" s="329"/>
      <c r="P31" s="329">
        <v>680</v>
      </c>
      <c r="Q31" s="329">
        <v>170</v>
      </c>
      <c r="R31" s="329">
        <v>765</v>
      </c>
      <c r="S31" s="329">
        <v>1020</v>
      </c>
      <c r="T31" s="329">
        <v>1020</v>
      </c>
      <c r="U31" s="329"/>
      <c r="V31" s="329"/>
      <c r="W31" s="329"/>
      <c r="X31" s="329"/>
      <c r="Y31" s="329"/>
      <c r="Z31" s="329"/>
      <c r="AA31" s="329"/>
      <c r="AB31" s="329"/>
      <c r="AC31" s="329"/>
      <c r="AD31" s="329"/>
      <c r="AE31" s="329"/>
      <c r="AF31" s="329"/>
    </row>
    <row r="32" spans="1:32" s="280" customFormat="1" ht="25.5" x14ac:dyDescent="0.2">
      <c r="A32" s="451"/>
      <c r="B32" s="291" t="s">
        <v>429</v>
      </c>
      <c r="C32" s="343" t="s">
        <v>547</v>
      </c>
      <c r="D32" s="451"/>
      <c r="E32" s="461"/>
      <c r="F32" s="285">
        <v>1</v>
      </c>
      <c r="G32" s="330">
        <v>5</v>
      </c>
      <c r="H32" s="330">
        <v>75</v>
      </c>
      <c r="I32" s="341">
        <f t="shared" si="0"/>
        <v>3675</v>
      </c>
      <c r="J32" s="324"/>
      <c r="K32" s="333">
        <f>'Moulded-2025-26'!AD32</f>
        <v>0</v>
      </c>
      <c r="L32" s="333">
        <f>'Moulded-2024-25'!Q32</f>
        <v>0</v>
      </c>
      <c r="M32" s="333">
        <f>'Moulded-2024'!P32</f>
        <v>0</v>
      </c>
      <c r="N32" s="333">
        <f>'Moulded-2023'!Z32</f>
        <v>0</v>
      </c>
      <c r="O32" s="333"/>
      <c r="P32" s="333">
        <v>375</v>
      </c>
      <c r="Q32" s="333">
        <v>600</v>
      </c>
      <c r="R32" s="333">
        <v>150</v>
      </c>
      <c r="S32" s="333">
        <v>1200</v>
      </c>
      <c r="T32" s="333">
        <v>1350</v>
      </c>
      <c r="U32" s="333"/>
      <c r="V32" s="333"/>
      <c r="W32" s="333"/>
      <c r="X32" s="333"/>
      <c r="Y32" s="333"/>
      <c r="Z32" s="333"/>
      <c r="AA32" s="333"/>
      <c r="AB32" s="333"/>
      <c r="AC32" s="333"/>
      <c r="AD32" s="333"/>
      <c r="AE32" s="333"/>
      <c r="AF32" s="333"/>
    </row>
    <row r="33" spans="1:32" s="280" customFormat="1" ht="25.5" x14ac:dyDescent="0.2">
      <c r="A33" s="308">
        <v>16</v>
      </c>
      <c r="B33" s="287" t="s">
        <v>430</v>
      </c>
      <c r="C33" s="309" t="s">
        <v>548</v>
      </c>
      <c r="D33" s="310" t="s">
        <v>486</v>
      </c>
      <c r="E33" s="311">
        <v>42815</v>
      </c>
      <c r="F33" s="282">
        <v>1</v>
      </c>
      <c r="G33" s="308">
        <v>5</v>
      </c>
      <c r="H33" s="308">
        <v>45</v>
      </c>
      <c r="I33" s="312">
        <f t="shared" si="0"/>
        <v>3015</v>
      </c>
      <c r="J33" s="313"/>
      <c r="K33" s="314">
        <f>'Moulded-2025-26'!AD33</f>
        <v>0</v>
      </c>
      <c r="L33" s="314">
        <f>'Moulded-2024-25'!Q33</f>
        <v>0</v>
      </c>
      <c r="M33" s="314">
        <f>'Moulded-2024'!P33</f>
        <v>0</v>
      </c>
      <c r="N33" s="314">
        <f>'Moulded-2023'!Z33</f>
        <v>0</v>
      </c>
      <c r="O33" s="314"/>
      <c r="P33" s="314">
        <v>225</v>
      </c>
      <c r="Q33" s="314"/>
      <c r="R33" s="314">
        <v>585</v>
      </c>
      <c r="S33" s="314">
        <v>1215</v>
      </c>
      <c r="T33" s="314">
        <v>990</v>
      </c>
      <c r="U33" s="314"/>
      <c r="V33" s="314"/>
      <c r="W33" s="314"/>
      <c r="X33" s="314"/>
      <c r="Y33" s="314"/>
      <c r="Z33" s="314"/>
      <c r="AA33" s="314"/>
      <c r="AB33" s="314"/>
      <c r="AC33" s="314"/>
      <c r="AD33" s="314"/>
      <c r="AE33" s="314"/>
      <c r="AF33" s="314"/>
    </row>
    <row r="34" spans="1:32" s="280" customFormat="1" x14ac:dyDescent="0.2">
      <c r="A34" s="486">
        <v>17</v>
      </c>
      <c r="B34" s="476" t="s">
        <v>490</v>
      </c>
      <c r="C34" s="431" t="s">
        <v>509</v>
      </c>
      <c r="D34" s="440" t="s">
        <v>485</v>
      </c>
      <c r="E34" s="442">
        <v>39148</v>
      </c>
      <c r="F34" s="444">
        <v>3</v>
      </c>
      <c r="G34" s="486">
        <v>100</v>
      </c>
      <c r="H34" s="327">
        <v>2800</v>
      </c>
      <c r="I34" s="455">
        <f>SUM(J34:AF34)+SUM(J35:AF35)</f>
        <v>1558400</v>
      </c>
      <c r="J34" s="328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V34" s="329">
        <v>48000</v>
      </c>
      <c r="W34" s="329">
        <v>140000</v>
      </c>
      <c r="X34" s="329">
        <v>173600</v>
      </c>
      <c r="Y34" s="329">
        <v>168000</v>
      </c>
      <c r="Z34" s="329"/>
      <c r="AA34" s="329"/>
      <c r="AB34" s="329"/>
      <c r="AC34" s="329">
        <v>162400</v>
      </c>
      <c r="AD34" s="329">
        <v>266000</v>
      </c>
      <c r="AE34" s="329">
        <v>11200</v>
      </c>
      <c r="AF34" s="329"/>
    </row>
    <row r="35" spans="1:32" s="280" customFormat="1" x14ac:dyDescent="0.2">
      <c r="A35" s="451"/>
      <c r="B35" s="477"/>
      <c r="C35" s="479"/>
      <c r="D35" s="441"/>
      <c r="E35" s="461"/>
      <c r="F35" s="445"/>
      <c r="G35" s="451"/>
      <c r="H35" s="331">
        <v>2000</v>
      </c>
      <c r="I35" s="456"/>
      <c r="J35" s="332"/>
      <c r="K35" s="333"/>
      <c r="L35" s="333"/>
      <c r="M35" s="333"/>
      <c r="N35" s="333"/>
      <c r="O35" s="333"/>
      <c r="P35" s="333"/>
      <c r="Q35" s="333"/>
      <c r="R35" s="333">
        <v>8000</v>
      </c>
      <c r="S35" s="333">
        <v>262000</v>
      </c>
      <c r="T35" s="333">
        <v>40000</v>
      </c>
      <c r="U35" s="333">
        <v>180000</v>
      </c>
      <c r="V35" s="333">
        <v>27200</v>
      </c>
      <c r="W35" s="333">
        <v>72000</v>
      </c>
      <c r="X35" s="333"/>
      <c r="Y35" s="333"/>
      <c r="Z35" s="333"/>
      <c r="AA35" s="333"/>
      <c r="AB35" s="333"/>
      <c r="AC35" s="333"/>
      <c r="AD35" s="333"/>
      <c r="AE35" s="333"/>
      <c r="AF35" s="333"/>
    </row>
    <row r="36" spans="1:32" s="280" customFormat="1" x14ac:dyDescent="0.2">
      <c r="A36" s="316">
        <v>18</v>
      </c>
      <c r="B36" s="478"/>
      <c r="C36" s="434"/>
      <c r="D36" s="318" t="s">
        <v>486</v>
      </c>
      <c r="E36" s="319">
        <v>43347</v>
      </c>
      <c r="F36" s="283">
        <v>8</v>
      </c>
      <c r="G36" s="316">
        <v>5</v>
      </c>
      <c r="H36" s="318">
        <v>2000</v>
      </c>
      <c r="I36" s="312">
        <f t="shared" ref="I36:I42" si="1">SUM(J36:AF36)</f>
        <v>898000</v>
      </c>
      <c r="J36" s="355"/>
      <c r="K36" s="317">
        <f>'Moulded-2025-26'!AD34</f>
        <v>94000</v>
      </c>
      <c r="L36" s="317">
        <f>'Moulded-2024-25'!Q34</f>
        <v>130000</v>
      </c>
      <c r="M36" s="317">
        <f>'Moulded-2024'!P34</f>
        <v>96000</v>
      </c>
      <c r="N36" s="317">
        <f>'Moulded-2023'!Z34</f>
        <v>104000</v>
      </c>
      <c r="O36" s="317"/>
      <c r="P36" s="317">
        <v>300000</v>
      </c>
      <c r="Q36" s="317">
        <v>76000</v>
      </c>
      <c r="R36" s="317">
        <v>48000</v>
      </c>
      <c r="S36" s="317">
        <v>50000</v>
      </c>
      <c r="T36" s="317"/>
      <c r="U36" s="317"/>
      <c r="V36" s="317"/>
      <c r="W36" s="317"/>
      <c r="X36" s="317"/>
      <c r="Y36" s="317"/>
      <c r="Z36" s="317"/>
      <c r="AA36" s="317"/>
      <c r="AB36" s="317"/>
      <c r="AC36" s="317"/>
      <c r="AD36" s="317"/>
      <c r="AE36" s="317"/>
      <c r="AF36" s="317"/>
    </row>
    <row r="37" spans="1:32" s="280" customFormat="1" x14ac:dyDescent="0.2">
      <c r="A37" s="308">
        <v>19</v>
      </c>
      <c r="B37" s="435" t="s">
        <v>432</v>
      </c>
      <c r="C37" s="437" t="s">
        <v>510</v>
      </c>
      <c r="D37" s="310" t="s">
        <v>485</v>
      </c>
      <c r="E37" s="311">
        <v>41473</v>
      </c>
      <c r="F37" s="282">
        <v>4</v>
      </c>
      <c r="G37" s="308">
        <v>100</v>
      </c>
      <c r="H37" s="308">
        <v>2000</v>
      </c>
      <c r="I37" s="312">
        <f t="shared" si="1"/>
        <v>1010000</v>
      </c>
      <c r="J37" s="313"/>
      <c r="K37" s="314">
        <f>'Moulded-2025-26'!AD35</f>
        <v>2000</v>
      </c>
      <c r="L37" s="314">
        <f>'Moulded-2024-25'!Q35</f>
        <v>40000</v>
      </c>
      <c r="M37" s="314">
        <f>'Moulded-2024'!P35</f>
        <v>64000</v>
      </c>
      <c r="N37" s="314">
        <f>'Moulded-2023'!Z35</f>
        <v>78000</v>
      </c>
      <c r="O37" s="314">
        <v>40000</v>
      </c>
      <c r="P37" s="314">
        <v>126000</v>
      </c>
      <c r="Q37" s="314">
        <v>54000</v>
      </c>
      <c r="R37" s="314">
        <v>50000</v>
      </c>
      <c r="S37" s="314">
        <v>136000</v>
      </c>
      <c r="T37" s="314">
        <v>70000</v>
      </c>
      <c r="U37" s="314">
        <v>140000</v>
      </c>
      <c r="V37" s="314">
        <v>30000</v>
      </c>
      <c r="W37" s="314">
        <v>150000</v>
      </c>
      <c r="X37" s="314">
        <v>30000</v>
      </c>
      <c r="Y37" s="314"/>
      <c r="Z37" s="314"/>
      <c r="AA37" s="314"/>
      <c r="AB37" s="314"/>
      <c r="AC37" s="314"/>
      <c r="AD37" s="314"/>
      <c r="AE37" s="314"/>
      <c r="AF37" s="314"/>
    </row>
    <row r="38" spans="1:32" s="280" customFormat="1" x14ac:dyDescent="0.2">
      <c r="A38" s="308">
        <v>20</v>
      </c>
      <c r="B38" s="436"/>
      <c r="C38" s="434"/>
      <c r="D38" s="393" t="s">
        <v>567</v>
      </c>
      <c r="E38" s="311">
        <v>45980</v>
      </c>
      <c r="F38" s="282">
        <v>4</v>
      </c>
      <c r="G38" s="308">
        <v>50</v>
      </c>
      <c r="H38" s="308">
        <v>1800</v>
      </c>
      <c r="I38" s="312">
        <f t="shared" si="1"/>
        <v>75600</v>
      </c>
      <c r="J38" s="313"/>
      <c r="K38" s="314">
        <f>'Moulded-2025-26'!AD36</f>
        <v>75600</v>
      </c>
      <c r="L38" s="314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  <c r="AA38" s="314"/>
      <c r="AB38" s="314"/>
      <c r="AC38" s="314"/>
      <c r="AD38" s="314"/>
      <c r="AE38" s="314"/>
      <c r="AF38" s="314"/>
    </row>
    <row r="39" spans="1:32" s="280" customFormat="1" ht="25.5" x14ac:dyDescent="0.2">
      <c r="A39" s="391">
        <v>20</v>
      </c>
      <c r="B39" s="288" t="s">
        <v>433</v>
      </c>
      <c r="C39" s="315" t="s">
        <v>511</v>
      </c>
      <c r="D39" s="318" t="s">
        <v>485</v>
      </c>
      <c r="E39" s="319">
        <v>38709</v>
      </c>
      <c r="F39" s="283">
        <v>3</v>
      </c>
      <c r="G39" s="316">
        <v>50</v>
      </c>
      <c r="H39" s="316">
        <v>1100</v>
      </c>
      <c r="I39" s="312">
        <f t="shared" si="1"/>
        <v>1304600</v>
      </c>
      <c r="J39" s="313"/>
      <c r="K39" s="317">
        <f>'Moulded-2025-26'!AD37</f>
        <v>93500</v>
      </c>
      <c r="L39" s="317">
        <f>'Moulded-2024-25'!Q36</f>
        <v>73700</v>
      </c>
      <c r="M39" s="317">
        <f>'Moulded-2024'!P36</f>
        <v>52800</v>
      </c>
      <c r="N39" s="317">
        <f>'Moulded-2023'!Z36</f>
        <v>92400</v>
      </c>
      <c r="O39" s="317">
        <v>33000</v>
      </c>
      <c r="P39" s="317">
        <v>99000</v>
      </c>
      <c r="Q39" s="317">
        <v>64900</v>
      </c>
      <c r="R39" s="317">
        <v>41800</v>
      </c>
      <c r="S39" s="317">
        <v>95700</v>
      </c>
      <c r="T39" s="317">
        <v>50600</v>
      </c>
      <c r="U39" s="317">
        <v>88000</v>
      </c>
      <c r="V39" s="317">
        <v>33000</v>
      </c>
      <c r="W39" s="317">
        <v>96800</v>
      </c>
      <c r="X39" s="317">
        <v>49500</v>
      </c>
      <c r="Y39" s="317">
        <v>47300</v>
      </c>
      <c r="Z39" s="317">
        <v>46200</v>
      </c>
      <c r="AA39" s="317">
        <v>50600</v>
      </c>
      <c r="AB39" s="317">
        <v>45100</v>
      </c>
      <c r="AC39" s="317">
        <v>37400</v>
      </c>
      <c r="AD39" s="317">
        <v>69300</v>
      </c>
      <c r="AE39" s="317">
        <v>44000</v>
      </c>
      <c r="AF39" s="317"/>
    </row>
    <row r="40" spans="1:32" s="280" customFormat="1" x14ac:dyDescent="0.2">
      <c r="A40" s="391">
        <v>21</v>
      </c>
      <c r="B40" s="474" t="s">
        <v>434</v>
      </c>
      <c r="C40" s="437" t="s">
        <v>512</v>
      </c>
      <c r="D40" s="310" t="s">
        <v>485</v>
      </c>
      <c r="E40" s="311">
        <v>38709</v>
      </c>
      <c r="F40" s="282">
        <v>3</v>
      </c>
      <c r="G40" s="308">
        <v>50</v>
      </c>
      <c r="H40" s="308">
        <v>1000</v>
      </c>
      <c r="I40" s="312">
        <f t="shared" si="1"/>
        <v>758400</v>
      </c>
      <c r="J40" s="313"/>
      <c r="K40" s="314"/>
      <c r="L40" s="314"/>
      <c r="M40" s="314"/>
      <c r="N40" s="314">
        <f>'Moulded-2023'!Z37+'Moulded-2023'!Z38-Moulded!N41</f>
        <v>10000</v>
      </c>
      <c r="O40" s="314">
        <v>7000</v>
      </c>
      <c r="P40" s="314">
        <v>10000</v>
      </c>
      <c r="Q40" s="314">
        <v>56000</v>
      </c>
      <c r="R40" s="314">
        <v>27000</v>
      </c>
      <c r="S40" s="314">
        <v>63000</v>
      </c>
      <c r="T40" s="314">
        <v>47000</v>
      </c>
      <c r="U40" s="314">
        <v>80000</v>
      </c>
      <c r="V40" s="314">
        <v>40000</v>
      </c>
      <c r="W40" s="314">
        <v>88000</v>
      </c>
      <c r="X40" s="314">
        <v>45000</v>
      </c>
      <c r="Y40" s="314">
        <v>46000</v>
      </c>
      <c r="Z40" s="314">
        <v>36000</v>
      </c>
      <c r="AA40" s="314">
        <v>41000</v>
      </c>
      <c r="AB40" s="314">
        <v>47000</v>
      </c>
      <c r="AC40" s="314">
        <v>21000</v>
      </c>
      <c r="AD40" s="314">
        <v>58800</v>
      </c>
      <c r="AE40" s="314">
        <v>35600</v>
      </c>
      <c r="AF40" s="314"/>
    </row>
    <row r="41" spans="1:32" s="280" customFormat="1" x14ac:dyDescent="0.2">
      <c r="A41" s="391">
        <v>22</v>
      </c>
      <c r="B41" s="475"/>
      <c r="C41" s="434"/>
      <c r="D41" s="310" t="s">
        <v>486</v>
      </c>
      <c r="E41" s="311">
        <v>43831</v>
      </c>
      <c r="F41" s="282">
        <v>4</v>
      </c>
      <c r="G41" s="308">
        <v>50</v>
      </c>
      <c r="H41" s="308">
        <v>1000</v>
      </c>
      <c r="I41" s="312">
        <f t="shared" si="1"/>
        <v>367000</v>
      </c>
      <c r="J41" s="313"/>
      <c r="K41" s="314">
        <f>'Moulded-2025-26'!AD38</f>
        <v>71000</v>
      </c>
      <c r="L41" s="314">
        <f>'Moulded-2024-25'!Q37</f>
        <v>50000</v>
      </c>
      <c r="M41" s="388">
        <f>'Moulded-2024'!P37</f>
        <v>56000</v>
      </c>
      <c r="N41" s="314">
        <f>'Moulded-2023'!Z37+'Moulded-2023'!Z38-'Moulded-2023'!I38</f>
        <v>73000</v>
      </c>
      <c r="O41" s="314">
        <v>31000</v>
      </c>
      <c r="P41" s="314">
        <v>56000</v>
      </c>
      <c r="Q41" s="314">
        <v>30000</v>
      </c>
      <c r="R41" s="314"/>
      <c r="S41" s="314"/>
      <c r="T41" s="314"/>
      <c r="U41" s="314"/>
      <c r="V41" s="314"/>
      <c r="W41" s="314"/>
      <c r="X41" s="314"/>
      <c r="Y41" s="314"/>
      <c r="Z41" s="314"/>
      <c r="AA41" s="314"/>
      <c r="AB41" s="314"/>
      <c r="AC41" s="314"/>
      <c r="AD41" s="314"/>
      <c r="AE41" s="314"/>
      <c r="AF41" s="314"/>
    </row>
    <row r="42" spans="1:32" s="280" customFormat="1" ht="25.5" x14ac:dyDescent="0.2">
      <c r="A42" s="391">
        <v>23</v>
      </c>
      <c r="B42" s="288" t="s">
        <v>435</v>
      </c>
      <c r="C42" s="315" t="s">
        <v>513</v>
      </c>
      <c r="D42" s="318" t="s">
        <v>485</v>
      </c>
      <c r="E42" s="319">
        <v>40525</v>
      </c>
      <c r="F42" s="283">
        <v>4</v>
      </c>
      <c r="G42" s="316">
        <v>50</v>
      </c>
      <c r="H42" s="316">
        <v>800</v>
      </c>
      <c r="I42" s="312">
        <f t="shared" si="1"/>
        <v>511200</v>
      </c>
      <c r="J42" s="313"/>
      <c r="K42" s="317">
        <f>'Moulded-2025-26'!AD40</f>
        <v>25600</v>
      </c>
      <c r="L42" s="317">
        <f>'Moulded-2024-25'!Q39</f>
        <v>12800</v>
      </c>
      <c r="M42" s="317">
        <f>'Moulded-2024'!P38</f>
        <v>29600</v>
      </c>
      <c r="N42" s="317">
        <f>'Moulded-2023'!Z39</f>
        <v>35200</v>
      </c>
      <c r="O42" s="317">
        <v>4000</v>
      </c>
      <c r="P42" s="317">
        <v>45600</v>
      </c>
      <c r="Q42" s="317">
        <v>28000</v>
      </c>
      <c r="R42" s="317">
        <v>25600</v>
      </c>
      <c r="S42" s="317">
        <v>49600</v>
      </c>
      <c r="T42" s="317">
        <v>36000</v>
      </c>
      <c r="U42" s="317">
        <v>52800</v>
      </c>
      <c r="V42" s="317">
        <v>17600</v>
      </c>
      <c r="W42" s="317">
        <v>44800</v>
      </c>
      <c r="X42" s="317">
        <v>36800</v>
      </c>
      <c r="Y42" s="317">
        <v>29600</v>
      </c>
      <c r="Z42" s="317">
        <v>15200</v>
      </c>
      <c r="AA42" s="317">
        <v>22400</v>
      </c>
      <c r="AB42" s="317"/>
      <c r="AC42" s="317"/>
      <c r="AD42" s="317"/>
      <c r="AE42" s="317"/>
      <c r="AF42" s="317"/>
    </row>
    <row r="43" spans="1:32" s="280" customFormat="1" ht="25.5" x14ac:dyDescent="0.2">
      <c r="A43" s="438">
        <v>24</v>
      </c>
      <c r="B43" s="389" t="s">
        <v>436</v>
      </c>
      <c r="C43" s="309" t="s">
        <v>514</v>
      </c>
      <c r="D43" s="449" t="s">
        <v>485</v>
      </c>
      <c r="E43" s="457">
        <v>38709</v>
      </c>
      <c r="F43" s="459">
        <v>4</v>
      </c>
      <c r="G43" s="320">
        <v>50</v>
      </c>
      <c r="H43" s="320">
        <v>600</v>
      </c>
      <c r="I43" s="455">
        <f>SUM(J43:AF43)+SUM(J44:AF44)</f>
        <v>819000</v>
      </c>
      <c r="J43" s="321"/>
      <c r="K43" s="322"/>
      <c r="L43" s="322">
        <f>'Moulded-2024-25'!Q40-Moulded!L45</f>
        <v>6000</v>
      </c>
      <c r="M43" s="322">
        <v>6000</v>
      </c>
      <c r="N43" s="322">
        <f>'Moulded-2023'!Z40-Moulded!N45</f>
        <v>18000</v>
      </c>
      <c r="O43" s="322">
        <v>39000</v>
      </c>
      <c r="P43" s="322">
        <v>12000</v>
      </c>
      <c r="Q43" s="322"/>
      <c r="R43" s="322">
        <v>38400</v>
      </c>
      <c r="S43" s="322">
        <v>91800</v>
      </c>
      <c r="T43" s="322">
        <v>61200</v>
      </c>
      <c r="U43" s="322">
        <v>70200</v>
      </c>
      <c r="V43" s="322">
        <v>30000</v>
      </c>
      <c r="W43" s="322">
        <v>55200</v>
      </c>
      <c r="X43" s="322">
        <v>35400</v>
      </c>
      <c r="Y43" s="322">
        <v>45000</v>
      </c>
      <c r="Z43" s="322">
        <v>36000</v>
      </c>
      <c r="AA43" s="322">
        <v>36000</v>
      </c>
      <c r="AB43" s="322">
        <v>28200</v>
      </c>
      <c r="AC43" s="322">
        <v>35400</v>
      </c>
      <c r="AD43" s="322">
        <v>71400</v>
      </c>
      <c r="AE43" s="322">
        <v>48000</v>
      </c>
      <c r="AF43" s="322"/>
    </row>
    <row r="44" spans="1:32" s="280" customFormat="1" ht="25.5" x14ac:dyDescent="0.2">
      <c r="A44" s="439"/>
      <c r="B44" s="287" t="s">
        <v>408</v>
      </c>
      <c r="C44" s="309" t="s">
        <v>515</v>
      </c>
      <c r="D44" s="480"/>
      <c r="E44" s="473"/>
      <c r="F44" s="481"/>
      <c r="G44" s="323">
        <v>50</v>
      </c>
      <c r="H44" s="323">
        <v>600</v>
      </c>
      <c r="I44" s="456"/>
      <c r="J44" s="324"/>
      <c r="K44" s="325"/>
      <c r="L44" s="325"/>
      <c r="M44" s="325"/>
      <c r="N44" s="325">
        <f>'Moulded-2023'!Z41-N46</f>
        <v>9600</v>
      </c>
      <c r="O44" s="325"/>
      <c r="P44" s="325"/>
      <c r="Q44" s="325"/>
      <c r="R44" s="325">
        <v>1200</v>
      </c>
      <c r="S44" s="325"/>
      <c r="T44" s="325"/>
      <c r="U44" s="325">
        <v>1200</v>
      </c>
      <c r="V44" s="325">
        <v>3000</v>
      </c>
      <c r="W44" s="325">
        <v>4200</v>
      </c>
      <c r="X44" s="325"/>
      <c r="Y44" s="325">
        <v>10200</v>
      </c>
      <c r="Z44" s="325">
        <v>2400</v>
      </c>
      <c r="AA44" s="325">
        <v>10200</v>
      </c>
      <c r="AB44" s="325">
        <v>4800</v>
      </c>
      <c r="AC44" s="325"/>
      <c r="AD44" s="325">
        <v>9000</v>
      </c>
      <c r="AE44" s="325"/>
      <c r="AF44" s="325"/>
    </row>
    <row r="45" spans="1:32" s="280" customFormat="1" ht="25.5" x14ac:dyDescent="0.2">
      <c r="A45" s="438">
        <v>25</v>
      </c>
      <c r="B45" s="287" t="s">
        <v>436</v>
      </c>
      <c r="C45" s="309" t="s">
        <v>514</v>
      </c>
      <c r="D45" s="449" t="s">
        <v>486</v>
      </c>
      <c r="E45" s="457">
        <v>42570</v>
      </c>
      <c r="F45" s="459">
        <v>2</v>
      </c>
      <c r="G45" s="320">
        <v>50</v>
      </c>
      <c r="H45" s="320">
        <v>600</v>
      </c>
      <c r="I45" s="455">
        <f>SUM(J45:AF45)+SUM(J46:AF46)</f>
        <v>399000</v>
      </c>
      <c r="J45" s="321"/>
      <c r="K45" s="322">
        <f>'Moulded-2025-26'!AD41</f>
        <v>50400</v>
      </c>
      <c r="L45" s="322">
        <f>'Moulded-2024-25'!Q40-'Moulded-2024-25'!G40</f>
        <v>30000</v>
      </c>
      <c r="M45" s="322">
        <f>'Moulded-2024'!P39-M43</f>
        <v>55200</v>
      </c>
      <c r="N45" s="322">
        <f>'Moulded-2023'!Z40-'Moulded-2023'!I40-'Moulded-2023'!K40</f>
        <v>48000</v>
      </c>
      <c r="O45" s="322">
        <v>12000</v>
      </c>
      <c r="P45" s="322">
        <v>48600</v>
      </c>
      <c r="Q45" s="322">
        <v>43200</v>
      </c>
      <c r="R45" s="322">
        <f>6000+4800+6000+6000+6000</f>
        <v>28800</v>
      </c>
      <c r="S45" s="322"/>
      <c r="T45" s="322"/>
      <c r="U45" s="322"/>
      <c r="V45" s="322"/>
      <c r="W45" s="322"/>
      <c r="X45" s="322"/>
      <c r="Y45" s="322"/>
      <c r="Z45" s="322"/>
      <c r="AA45" s="322"/>
      <c r="AB45" s="322"/>
      <c r="AC45" s="322"/>
      <c r="AD45" s="322"/>
      <c r="AE45" s="322"/>
      <c r="AF45" s="322"/>
    </row>
    <row r="46" spans="1:32" s="280" customFormat="1" ht="25.5" x14ac:dyDescent="0.2">
      <c r="A46" s="439"/>
      <c r="B46" s="287" t="s">
        <v>408</v>
      </c>
      <c r="C46" s="309" t="s">
        <v>515</v>
      </c>
      <c r="D46" s="480"/>
      <c r="E46" s="458"/>
      <c r="F46" s="460"/>
      <c r="G46" s="323">
        <v>50</v>
      </c>
      <c r="H46" s="323">
        <v>600</v>
      </c>
      <c r="I46" s="456"/>
      <c r="J46" s="324"/>
      <c r="K46" s="325">
        <f>'Moulded-2025-26'!AD42</f>
        <v>3600</v>
      </c>
      <c r="L46" s="325">
        <f>'Moulded-2024-25'!Q41</f>
        <v>3600</v>
      </c>
      <c r="M46" s="325">
        <f>'Moulded-2024'!P40</f>
        <v>8400</v>
      </c>
      <c r="N46" s="325">
        <f>'Moulded-2023'!Z41-'Moulded-2023'!I41-'Moulded-2023'!J41</f>
        <v>3000</v>
      </c>
      <c r="O46" s="325">
        <v>8400</v>
      </c>
      <c r="P46" s="325">
        <v>3000</v>
      </c>
      <c r="Q46" s="325">
        <v>22200</v>
      </c>
      <c r="R46" s="325">
        <f>1200+1200+1200</f>
        <v>3600</v>
      </c>
      <c r="S46" s="325">
        <v>9000</v>
      </c>
      <c r="T46" s="325">
        <v>16800</v>
      </c>
      <c r="U46" s="325">
        <f>1200</f>
        <v>1200</v>
      </c>
      <c r="V46" s="325"/>
      <c r="W46" s="325"/>
      <c r="X46" s="325"/>
      <c r="Y46" s="325"/>
      <c r="Z46" s="325"/>
      <c r="AA46" s="325"/>
      <c r="AB46" s="325"/>
      <c r="AC46" s="325"/>
      <c r="AD46" s="325"/>
      <c r="AE46" s="325"/>
      <c r="AF46" s="325"/>
    </row>
    <row r="47" spans="1:32" s="280" customFormat="1" ht="25.5" x14ac:dyDescent="0.2">
      <c r="A47" s="391">
        <v>26</v>
      </c>
      <c r="B47" s="288" t="s">
        <v>437</v>
      </c>
      <c r="C47" s="315" t="s">
        <v>516</v>
      </c>
      <c r="D47" s="318" t="s">
        <v>485</v>
      </c>
      <c r="E47" s="319">
        <v>38709</v>
      </c>
      <c r="F47" s="283">
        <v>4</v>
      </c>
      <c r="G47" s="316">
        <v>10</v>
      </c>
      <c r="H47" s="316">
        <v>400</v>
      </c>
      <c r="I47" s="312">
        <f>SUM(J47:AF47)</f>
        <v>208400</v>
      </c>
      <c r="J47" s="313"/>
      <c r="K47" s="317">
        <f>'Moulded-2025-26'!AD43</f>
        <v>4000</v>
      </c>
      <c r="L47" s="317">
        <f>'Moulded-2024-25'!Q42</f>
        <v>10800</v>
      </c>
      <c r="M47" s="317">
        <f>'Moulded-2024'!P41</f>
        <v>0</v>
      </c>
      <c r="N47" s="317">
        <f>'Moulded-2023'!Z42</f>
        <v>3200</v>
      </c>
      <c r="O47" s="317">
        <v>6000</v>
      </c>
      <c r="P47" s="317">
        <v>21600</v>
      </c>
      <c r="Q47" s="317">
        <v>5200</v>
      </c>
      <c r="R47" s="317">
        <v>1200</v>
      </c>
      <c r="S47" s="317">
        <v>18000</v>
      </c>
      <c r="T47" s="317">
        <v>13600</v>
      </c>
      <c r="U47" s="317">
        <v>10000</v>
      </c>
      <c r="V47" s="317">
        <v>5200</v>
      </c>
      <c r="W47" s="317">
        <v>10000</v>
      </c>
      <c r="X47" s="317">
        <v>4400</v>
      </c>
      <c r="Y47" s="317">
        <v>8000</v>
      </c>
      <c r="Z47" s="317">
        <v>7200</v>
      </c>
      <c r="AA47" s="317">
        <v>11600</v>
      </c>
      <c r="AB47" s="317"/>
      <c r="AC47" s="317">
        <v>18000</v>
      </c>
      <c r="AD47" s="317">
        <v>22000</v>
      </c>
      <c r="AE47" s="317">
        <v>28400</v>
      </c>
      <c r="AF47" s="317"/>
    </row>
    <row r="48" spans="1:32" s="280" customFormat="1" ht="25.5" x14ac:dyDescent="0.2">
      <c r="A48" s="391">
        <v>27</v>
      </c>
      <c r="B48" s="287" t="s">
        <v>438</v>
      </c>
      <c r="C48" s="309" t="s">
        <v>517</v>
      </c>
      <c r="D48" s="310" t="s">
        <v>485</v>
      </c>
      <c r="E48" s="311">
        <v>38709</v>
      </c>
      <c r="F48" s="282">
        <v>4</v>
      </c>
      <c r="G48" s="308">
        <v>10</v>
      </c>
      <c r="H48" s="308">
        <v>400</v>
      </c>
      <c r="I48" s="312">
        <f>SUM(J48:AF48)</f>
        <v>910000</v>
      </c>
      <c r="J48" s="313"/>
      <c r="K48" s="314">
        <f>'Moulded-2025-26'!AD44</f>
        <v>4000</v>
      </c>
      <c r="L48" s="314">
        <f>'Moulded-2024-25'!Q43</f>
        <v>32000</v>
      </c>
      <c r="M48" s="314">
        <f>'Moulded-2024'!P42</f>
        <v>52000</v>
      </c>
      <c r="N48" s="314">
        <f>'Moulded-2023'!Z43</f>
        <v>54000</v>
      </c>
      <c r="O48" s="314">
        <v>32000</v>
      </c>
      <c r="P48" s="314">
        <v>56000</v>
      </c>
      <c r="Q48" s="314">
        <v>36000</v>
      </c>
      <c r="R48" s="314">
        <v>54000</v>
      </c>
      <c r="S48" s="314">
        <v>60000</v>
      </c>
      <c r="T48" s="314">
        <v>43200</v>
      </c>
      <c r="U48" s="314">
        <v>64800</v>
      </c>
      <c r="V48" s="314">
        <v>36000</v>
      </c>
      <c r="W48" s="314">
        <v>60000</v>
      </c>
      <c r="X48" s="314">
        <v>46000</v>
      </c>
      <c r="Y48" s="314">
        <v>44000</v>
      </c>
      <c r="Z48" s="314">
        <v>33200</v>
      </c>
      <c r="AA48" s="314">
        <v>45600</v>
      </c>
      <c r="AB48" s="314">
        <v>42400</v>
      </c>
      <c r="AC48" s="314">
        <v>20400</v>
      </c>
      <c r="AD48" s="314">
        <v>20000</v>
      </c>
      <c r="AE48" s="314">
        <v>74400</v>
      </c>
      <c r="AF48" s="314"/>
    </row>
    <row r="49" spans="1:32" s="280" customFormat="1" ht="25.5" x14ac:dyDescent="0.2">
      <c r="A49" s="438">
        <v>28</v>
      </c>
      <c r="B49" s="383" t="s">
        <v>439</v>
      </c>
      <c r="C49" s="342" t="s">
        <v>518</v>
      </c>
      <c r="D49" s="440" t="s">
        <v>485</v>
      </c>
      <c r="E49" s="442">
        <v>38709</v>
      </c>
      <c r="F49" s="444">
        <v>4</v>
      </c>
      <c r="G49" s="326">
        <v>10</v>
      </c>
      <c r="H49" s="326">
        <v>300</v>
      </c>
      <c r="I49" s="455">
        <f>SUM(J49:AF49)+SUM(J50:AF50)</f>
        <v>1382700</v>
      </c>
      <c r="J49" s="321"/>
      <c r="K49" s="329">
        <f>'Moulded-2025-26'!AD45</f>
        <v>63000</v>
      </c>
      <c r="L49" s="329">
        <f>'Moulded-2024-25'!Q44</f>
        <v>36000</v>
      </c>
      <c r="M49" s="329">
        <f>'Moulded-2024'!P43</f>
        <v>51000</v>
      </c>
      <c r="N49" s="329">
        <f>'Moulded-2023'!Z44</f>
        <v>51000</v>
      </c>
      <c r="O49" s="329">
        <v>42000</v>
      </c>
      <c r="P49" s="329">
        <v>90000</v>
      </c>
      <c r="Q49" s="329">
        <v>46800</v>
      </c>
      <c r="R49" s="329">
        <v>76500</v>
      </c>
      <c r="S49" s="329">
        <v>84000</v>
      </c>
      <c r="T49" s="329">
        <v>75000</v>
      </c>
      <c r="U49" s="329">
        <v>90000</v>
      </c>
      <c r="V49" s="329">
        <v>42000</v>
      </c>
      <c r="W49" s="329">
        <v>94200</v>
      </c>
      <c r="X49" s="329">
        <v>7800</v>
      </c>
      <c r="Y49" s="329">
        <v>69600</v>
      </c>
      <c r="Z49" s="329">
        <v>52800</v>
      </c>
      <c r="AA49" s="329">
        <v>28500</v>
      </c>
      <c r="AB49" s="329"/>
      <c r="AC49" s="329"/>
      <c r="AD49" s="329">
        <v>42500</v>
      </c>
      <c r="AE49" s="329">
        <v>60500</v>
      </c>
      <c r="AF49" s="329">
        <v>100000</v>
      </c>
    </row>
    <row r="50" spans="1:32" s="280" customFormat="1" ht="25.5" x14ac:dyDescent="0.2">
      <c r="A50" s="439"/>
      <c r="B50" s="384" t="s">
        <v>403</v>
      </c>
      <c r="C50" s="343" t="s">
        <v>519</v>
      </c>
      <c r="D50" s="441"/>
      <c r="E50" s="461"/>
      <c r="F50" s="445"/>
      <c r="G50" s="330">
        <v>10</v>
      </c>
      <c r="H50" s="330">
        <v>300</v>
      </c>
      <c r="I50" s="456"/>
      <c r="J50" s="324"/>
      <c r="K50" s="333">
        <f>'Moulded-2025-26'!AD46</f>
        <v>3600</v>
      </c>
      <c r="L50" s="333">
        <f>'Moulded-2024-25'!Q45</f>
        <v>0</v>
      </c>
      <c r="M50" s="333">
        <f>'Moulded-2024'!P44</f>
        <v>18000</v>
      </c>
      <c r="N50" s="333">
        <f>'Moulded-2023'!Z45</f>
        <v>16200</v>
      </c>
      <c r="O50" s="333">
        <v>4200</v>
      </c>
      <c r="P50" s="333">
        <v>21000</v>
      </c>
      <c r="Q50" s="333">
        <v>25200</v>
      </c>
      <c r="R50" s="333">
        <v>14400</v>
      </c>
      <c r="S50" s="333">
        <v>8100</v>
      </c>
      <c r="T50" s="333">
        <v>12900</v>
      </c>
      <c r="U50" s="333">
        <v>14700</v>
      </c>
      <c r="V50" s="333">
        <v>6000</v>
      </c>
      <c r="W50" s="333">
        <v>7200</v>
      </c>
      <c r="X50" s="333"/>
      <c r="Y50" s="333">
        <v>8100</v>
      </c>
      <c r="Z50" s="333">
        <v>3900</v>
      </c>
      <c r="AA50" s="333"/>
      <c r="AB50" s="333"/>
      <c r="AC50" s="333"/>
      <c r="AD50" s="333">
        <v>16000</v>
      </c>
      <c r="AE50" s="333"/>
      <c r="AF50" s="333"/>
    </row>
    <row r="51" spans="1:32" s="280" customFormat="1" ht="25.5" x14ac:dyDescent="0.2">
      <c r="A51" s="391">
        <v>29</v>
      </c>
      <c r="B51" s="287" t="s">
        <v>442</v>
      </c>
      <c r="C51" s="309" t="s">
        <v>520</v>
      </c>
      <c r="D51" s="310" t="s">
        <v>485</v>
      </c>
      <c r="E51" s="311">
        <v>41473</v>
      </c>
      <c r="F51" s="282">
        <v>2</v>
      </c>
      <c r="G51" s="308">
        <v>50</v>
      </c>
      <c r="H51" s="308">
        <v>1300</v>
      </c>
      <c r="I51" s="312">
        <f>SUM(J51:AF51)</f>
        <v>185900</v>
      </c>
      <c r="J51" s="324"/>
      <c r="K51" s="314">
        <f>'Moulded-2025-26'!AD47</f>
        <v>13000</v>
      </c>
      <c r="L51" s="314">
        <f>'Moulded-2024-25'!Q46</f>
        <v>3900</v>
      </c>
      <c r="M51" s="314">
        <f>'Moulded-2024'!P45</f>
        <v>14300</v>
      </c>
      <c r="N51" s="314">
        <f>'Moulded-2023'!Z46</f>
        <v>0</v>
      </c>
      <c r="O51" s="314">
        <v>9100</v>
      </c>
      <c r="P51" s="314">
        <v>24700</v>
      </c>
      <c r="Q51" s="314">
        <v>15600</v>
      </c>
      <c r="R51" s="314">
        <v>5200</v>
      </c>
      <c r="S51" s="314">
        <v>24700</v>
      </c>
      <c r="T51" s="314">
        <v>22100</v>
      </c>
      <c r="U51" s="314">
        <v>18200</v>
      </c>
      <c r="V51" s="314">
        <v>1300</v>
      </c>
      <c r="W51" s="314">
        <v>26000</v>
      </c>
      <c r="X51" s="314">
        <v>7800</v>
      </c>
      <c r="Y51" s="314"/>
      <c r="Z51" s="314"/>
      <c r="AA51" s="314"/>
      <c r="AB51" s="314"/>
      <c r="AC51" s="314"/>
      <c r="AD51" s="314"/>
      <c r="AE51" s="314"/>
      <c r="AF51" s="314"/>
    </row>
    <row r="52" spans="1:32" s="280" customFormat="1" ht="25.5" x14ac:dyDescent="0.2">
      <c r="A52" s="391">
        <v>30</v>
      </c>
      <c r="B52" s="288" t="s">
        <v>443</v>
      </c>
      <c r="C52" s="315" t="s">
        <v>521</v>
      </c>
      <c r="D52" s="318" t="s">
        <v>485</v>
      </c>
      <c r="E52" s="319">
        <v>41473</v>
      </c>
      <c r="F52" s="283">
        <v>2</v>
      </c>
      <c r="G52" s="316">
        <v>50</v>
      </c>
      <c r="H52" s="316">
        <v>800</v>
      </c>
      <c r="I52" s="312">
        <f>SUM(J52:AF52)</f>
        <v>156000</v>
      </c>
      <c r="J52" s="313"/>
      <c r="K52" s="317">
        <f>'Moulded-2025-26'!AD48</f>
        <v>11200</v>
      </c>
      <c r="L52" s="317">
        <f>'Moulded-2024-25'!Q47</f>
        <v>4800</v>
      </c>
      <c r="M52" s="317">
        <f>'Moulded-2024'!P46</f>
        <v>16800</v>
      </c>
      <c r="N52" s="317">
        <f>'Moulded-2023'!Z47</f>
        <v>6400</v>
      </c>
      <c r="O52" s="317">
        <v>8000</v>
      </c>
      <c r="P52" s="317">
        <v>18400</v>
      </c>
      <c r="Q52" s="317">
        <v>11200</v>
      </c>
      <c r="R52" s="317">
        <v>3200</v>
      </c>
      <c r="S52" s="317">
        <v>20000</v>
      </c>
      <c r="T52" s="317">
        <v>14400</v>
      </c>
      <c r="U52" s="317">
        <v>12800</v>
      </c>
      <c r="V52" s="317">
        <v>800</v>
      </c>
      <c r="W52" s="317">
        <v>21600</v>
      </c>
      <c r="X52" s="317">
        <v>6400</v>
      </c>
      <c r="Y52" s="317"/>
      <c r="Z52" s="317"/>
      <c r="AA52" s="317"/>
      <c r="AB52" s="317"/>
      <c r="AC52" s="317"/>
      <c r="AD52" s="317"/>
      <c r="AE52" s="317"/>
      <c r="AF52" s="317"/>
    </row>
    <row r="53" spans="1:32" s="280" customFormat="1" x14ac:dyDescent="0.2">
      <c r="A53" s="438">
        <v>31</v>
      </c>
      <c r="B53" s="508" t="s">
        <v>444</v>
      </c>
      <c r="C53" s="510" t="s">
        <v>522</v>
      </c>
      <c r="D53" s="449" t="s">
        <v>485</v>
      </c>
      <c r="E53" s="515">
        <v>41858</v>
      </c>
      <c r="F53" s="459">
        <v>2</v>
      </c>
      <c r="G53" s="320">
        <v>10</v>
      </c>
      <c r="H53" s="301">
        <v>500</v>
      </c>
      <c r="I53" s="455">
        <f>SUM(J53:AF53)+SUM(J54:AF54)+SUM(J55:AF55)</f>
        <v>269200</v>
      </c>
      <c r="J53" s="321"/>
      <c r="K53" s="322"/>
      <c r="L53" s="322"/>
      <c r="M53" s="322"/>
      <c r="N53" s="322"/>
      <c r="O53" s="322">
        <v>9450</v>
      </c>
      <c r="P53" s="322"/>
      <c r="Q53" s="322"/>
      <c r="R53" s="322"/>
      <c r="S53" s="322"/>
      <c r="T53" s="322"/>
      <c r="U53" s="322">
        <v>22050</v>
      </c>
      <c r="V53" s="322"/>
      <c r="W53" s="322">
        <v>5500</v>
      </c>
      <c r="X53" s="322"/>
      <c r="Y53" s="322"/>
      <c r="Z53" s="322"/>
      <c r="AA53" s="322"/>
      <c r="AB53" s="322"/>
      <c r="AC53" s="322"/>
      <c r="AD53" s="322"/>
      <c r="AE53" s="322"/>
      <c r="AF53" s="322"/>
    </row>
    <row r="54" spans="1:32" s="280" customFormat="1" x14ac:dyDescent="0.2">
      <c r="A54" s="487"/>
      <c r="B54" s="509"/>
      <c r="C54" s="511"/>
      <c r="D54" s="512"/>
      <c r="E54" s="516"/>
      <c r="F54" s="499"/>
      <c r="G54" s="302">
        <v>10</v>
      </c>
      <c r="H54" s="344">
        <v>450</v>
      </c>
      <c r="I54" s="507"/>
      <c r="J54" s="347"/>
      <c r="K54" s="303">
        <f>'Moulded-2025-26'!AD49</f>
        <v>11700</v>
      </c>
      <c r="L54" s="378">
        <f>'Moulded-2024-25'!Q48</f>
        <v>4050</v>
      </c>
      <c r="M54" s="372">
        <f>'Moulded-2024'!P47</f>
        <v>18000</v>
      </c>
      <c r="N54" s="303">
        <f>'Moulded-2023'!Z48</f>
        <v>18450</v>
      </c>
      <c r="O54" s="303"/>
      <c r="P54" s="303">
        <v>21150</v>
      </c>
      <c r="Q54" s="303">
        <v>13950</v>
      </c>
      <c r="R54" s="303">
        <v>16200</v>
      </c>
      <c r="S54" s="303">
        <v>17100</v>
      </c>
      <c r="T54" s="303">
        <v>17100</v>
      </c>
      <c r="U54" s="303"/>
      <c r="V54" s="303">
        <v>8550</v>
      </c>
      <c r="W54" s="303">
        <v>11700</v>
      </c>
      <c r="X54" s="303"/>
      <c r="Y54" s="303"/>
      <c r="Z54" s="303"/>
      <c r="AA54" s="303"/>
      <c r="AB54" s="303"/>
      <c r="AC54" s="303"/>
      <c r="AD54" s="303"/>
      <c r="AE54" s="303"/>
      <c r="AF54" s="303"/>
    </row>
    <row r="55" spans="1:32" s="280" customFormat="1" ht="25.5" x14ac:dyDescent="0.2">
      <c r="A55" s="439"/>
      <c r="B55" s="289" t="s">
        <v>404</v>
      </c>
      <c r="C55" s="340" t="s">
        <v>523</v>
      </c>
      <c r="D55" s="480"/>
      <c r="E55" s="517"/>
      <c r="F55" s="460"/>
      <c r="G55" s="323">
        <v>10</v>
      </c>
      <c r="H55" s="323">
        <v>450</v>
      </c>
      <c r="I55" s="456"/>
      <c r="J55" s="324"/>
      <c r="K55" s="325">
        <f>'Moulded-2025-26'!AD50</f>
        <v>0</v>
      </c>
      <c r="L55" s="325">
        <f>'Moulded-2024-25'!Q49</f>
        <v>900</v>
      </c>
      <c r="M55" s="325">
        <f>'Moulded-2024'!P48</f>
        <v>8550</v>
      </c>
      <c r="N55" s="325">
        <f>'Moulded-2023'!Z49</f>
        <v>4500</v>
      </c>
      <c r="O55" s="325"/>
      <c r="P55" s="325">
        <v>5400</v>
      </c>
      <c r="Q55" s="325">
        <v>3600</v>
      </c>
      <c r="R55" s="325">
        <v>4050</v>
      </c>
      <c r="S55" s="325">
        <v>10350</v>
      </c>
      <c r="T55" s="325">
        <v>17550</v>
      </c>
      <c r="U55" s="325">
        <v>13050</v>
      </c>
      <c r="V55" s="325">
        <v>6300</v>
      </c>
      <c r="W55" s="325"/>
      <c r="X55" s="325"/>
      <c r="Y55" s="325"/>
      <c r="Z55" s="325"/>
      <c r="AA55" s="325"/>
      <c r="AB55" s="325"/>
      <c r="AC55" s="325"/>
      <c r="AD55" s="325"/>
      <c r="AE55" s="325"/>
      <c r="AF55" s="325"/>
    </row>
    <row r="56" spans="1:32" s="280" customFormat="1" x14ac:dyDescent="0.2">
      <c r="A56" s="438">
        <v>32</v>
      </c>
      <c r="B56" s="505" t="s">
        <v>440</v>
      </c>
      <c r="C56" s="431" t="s">
        <v>524</v>
      </c>
      <c r="D56" s="440" t="s">
        <v>485</v>
      </c>
      <c r="E56" s="442">
        <v>39310</v>
      </c>
      <c r="F56" s="444">
        <v>4</v>
      </c>
      <c r="G56" s="326">
        <v>10</v>
      </c>
      <c r="H56" s="327">
        <v>330</v>
      </c>
      <c r="I56" s="455">
        <f>SUM(J56:AF56)+SUM(J57:AF57)</f>
        <v>20750</v>
      </c>
      <c r="J56" s="356"/>
      <c r="K56" s="329"/>
      <c r="L56" s="329"/>
      <c r="M56" s="329">
        <f>'Moulded-2024'!P49</f>
        <v>0</v>
      </c>
      <c r="N56" s="329">
        <f>'Moulded-2023'!Z50</f>
        <v>0</v>
      </c>
      <c r="O56" s="329"/>
      <c r="P56" s="329"/>
      <c r="Q56" s="329">
        <v>330</v>
      </c>
      <c r="R56" s="329">
        <v>1980</v>
      </c>
      <c r="S56" s="329">
        <v>660</v>
      </c>
      <c r="T56" s="329">
        <v>1650</v>
      </c>
      <c r="U56" s="329">
        <v>990</v>
      </c>
      <c r="V56" s="329"/>
      <c r="W56" s="329"/>
      <c r="X56" s="329"/>
      <c r="Y56" s="329">
        <v>660</v>
      </c>
      <c r="Z56" s="329"/>
      <c r="AA56" s="329"/>
      <c r="AB56" s="329"/>
      <c r="AC56" s="329"/>
      <c r="AD56" s="329">
        <v>2640</v>
      </c>
      <c r="AE56" s="329"/>
      <c r="AF56" s="329"/>
    </row>
    <row r="57" spans="1:32" s="280" customFormat="1" x14ac:dyDescent="0.2">
      <c r="A57" s="439"/>
      <c r="B57" s="506"/>
      <c r="C57" s="443"/>
      <c r="D57" s="451"/>
      <c r="E57" s="443"/>
      <c r="F57" s="451"/>
      <c r="G57" s="330">
        <v>10</v>
      </c>
      <c r="H57" s="331">
        <v>320</v>
      </c>
      <c r="I57" s="456"/>
      <c r="J57" s="357"/>
      <c r="K57" s="333">
        <f>'Moulded-2025-26'!AD51</f>
        <v>2240</v>
      </c>
      <c r="L57" s="333">
        <f>'Moulded-2024-25'!Q50+'Moulded-2024-25'!Q51</f>
        <v>1280</v>
      </c>
      <c r="M57" s="333">
        <f>'Moulded-2024'!P50</f>
        <v>1600</v>
      </c>
      <c r="N57" s="333">
        <f>'Moulded-2023'!Z51</f>
        <v>1600</v>
      </c>
      <c r="O57" s="333">
        <v>320</v>
      </c>
      <c r="P57" s="333">
        <v>3840</v>
      </c>
      <c r="Q57" s="333">
        <v>960</v>
      </c>
      <c r="R57" s="333"/>
      <c r="S57" s="333"/>
      <c r="T57" s="333"/>
      <c r="U57" s="333"/>
      <c r="V57" s="333"/>
      <c r="W57" s="333"/>
      <c r="X57" s="333"/>
      <c r="Y57" s="333"/>
      <c r="Z57" s="333"/>
      <c r="AA57" s="333"/>
      <c r="AB57" s="333"/>
      <c r="AC57" s="333"/>
      <c r="AD57" s="333"/>
      <c r="AE57" s="333"/>
      <c r="AF57" s="333"/>
    </row>
    <row r="58" spans="1:32" s="280" customFormat="1" ht="25.5" x14ac:dyDescent="0.2">
      <c r="A58" s="392">
        <v>33</v>
      </c>
      <c r="B58" s="306" t="s">
        <v>484</v>
      </c>
      <c r="C58" s="307" t="s">
        <v>549</v>
      </c>
      <c r="D58" s="297" t="s">
        <v>485</v>
      </c>
      <c r="E58" s="298">
        <v>39310</v>
      </c>
      <c r="F58" s="295">
        <v>4</v>
      </c>
      <c r="G58" s="320">
        <v>10</v>
      </c>
      <c r="H58" s="320">
        <v>270</v>
      </c>
      <c r="I58" s="312">
        <f>SUM(J58:AF58)</f>
        <v>263250</v>
      </c>
      <c r="J58" s="324"/>
      <c r="K58" s="322"/>
      <c r="L58" s="322"/>
      <c r="M58" s="322"/>
      <c r="N58" s="322"/>
      <c r="O58" s="322"/>
      <c r="P58" s="322"/>
      <c r="Q58" s="322"/>
      <c r="R58" s="322"/>
      <c r="S58" s="322"/>
      <c r="T58" s="322"/>
      <c r="U58" s="322"/>
      <c r="V58" s="322">
        <v>29160</v>
      </c>
      <c r="W58" s="322">
        <v>40770</v>
      </c>
      <c r="X58" s="322">
        <v>36450</v>
      </c>
      <c r="Y58" s="322">
        <v>31590</v>
      </c>
      <c r="Z58" s="322">
        <v>41850</v>
      </c>
      <c r="AA58" s="322">
        <v>28620</v>
      </c>
      <c r="AB58" s="322">
        <v>9990</v>
      </c>
      <c r="AC58" s="322">
        <v>5130</v>
      </c>
      <c r="AD58" s="322">
        <v>39690</v>
      </c>
      <c r="AE58" s="322"/>
      <c r="AF58" s="322"/>
    </row>
    <row r="59" spans="1:32" s="280" customFormat="1" ht="25.5" x14ac:dyDescent="0.2">
      <c r="A59" s="438">
        <v>34</v>
      </c>
      <c r="B59" s="383" t="s">
        <v>441</v>
      </c>
      <c r="C59" s="342" t="s">
        <v>525</v>
      </c>
      <c r="D59" s="440" t="s">
        <v>485</v>
      </c>
      <c r="E59" s="442">
        <v>39310</v>
      </c>
      <c r="F59" s="444">
        <v>2</v>
      </c>
      <c r="G59" s="326">
        <v>10</v>
      </c>
      <c r="H59" s="326">
        <v>230</v>
      </c>
      <c r="I59" s="455">
        <f>SUM(J59:AF59)+SUM(J60:AF60)</f>
        <v>349830</v>
      </c>
      <c r="J59" s="321"/>
      <c r="K59" s="329">
        <f>'Moulded-2025-26'!AD52</f>
        <v>11500</v>
      </c>
      <c r="L59" s="329">
        <f>'Moulded-2024-25'!Q52</f>
        <v>11500</v>
      </c>
      <c r="M59" s="329">
        <f>'Moulded-2024'!P51</f>
        <v>10580</v>
      </c>
      <c r="N59" s="329">
        <f>'Moulded-2023'!Z52</f>
        <v>11960</v>
      </c>
      <c r="O59" s="329">
        <v>5980</v>
      </c>
      <c r="P59" s="329">
        <v>19090</v>
      </c>
      <c r="Q59" s="329">
        <v>9200</v>
      </c>
      <c r="R59" s="329">
        <v>14950</v>
      </c>
      <c r="S59" s="329">
        <v>14260</v>
      </c>
      <c r="T59" s="329">
        <v>15410</v>
      </c>
      <c r="U59" s="329">
        <v>19550</v>
      </c>
      <c r="V59" s="329">
        <v>9200</v>
      </c>
      <c r="W59" s="329">
        <v>16100</v>
      </c>
      <c r="X59" s="329">
        <v>12420</v>
      </c>
      <c r="Y59" s="329">
        <v>7130</v>
      </c>
      <c r="Z59" s="329">
        <v>1610</v>
      </c>
      <c r="AA59" s="329">
        <v>9890</v>
      </c>
      <c r="AB59" s="329">
        <v>2990</v>
      </c>
      <c r="AC59" s="329">
        <v>7820</v>
      </c>
      <c r="AD59" s="329">
        <v>9660</v>
      </c>
      <c r="AE59" s="329"/>
      <c r="AF59" s="329"/>
    </row>
    <row r="60" spans="1:32" s="280" customFormat="1" ht="25.5" x14ac:dyDescent="0.2">
      <c r="A60" s="439"/>
      <c r="B60" s="384" t="s">
        <v>405</v>
      </c>
      <c r="C60" s="343" t="s">
        <v>526</v>
      </c>
      <c r="D60" s="441"/>
      <c r="E60" s="443"/>
      <c r="F60" s="445"/>
      <c r="G60" s="330">
        <v>10</v>
      </c>
      <c r="H60" s="330">
        <v>230</v>
      </c>
      <c r="I60" s="456"/>
      <c r="J60" s="324"/>
      <c r="K60" s="333">
        <f>'Moulded-2025-26'!AD53</f>
        <v>0</v>
      </c>
      <c r="L60" s="333">
        <f>'Moulded-2024-25'!Q53</f>
        <v>460</v>
      </c>
      <c r="M60" s="333">
        <f>'Moulded-2024'!P52</f>
        <v>9430</v>
      </c>
      <c r="N60" s="333">
        <f>'Moulded-2023'!Z53</f>
        <v>4600</v>
      </c>
      <c r="O60" s="333"/>
      <c r="P60" s="333">
        <v>12190</v>
      </c>
      <c r="Q60" s="333">
        <v>1150</v>
      </c>
      <c r="R60" s="333">
        <v>8510</v>
      </c>
      <c r="S60" s="333">
        <v>8280</v>
      </c>
      <c r="T60" s="333">
        <v>15410</v>
      </c>
      <c r="U60" s="333">
        <v>16790</v>
      </c>
      <c r="V60" s="333">
        <v>6900</v>
      </c>
      <c r="W60" s="333">
        <v>6900</v>
      </c>
      <c r="X60" s="333">
        <v>12650</v>
      </c>
      <c r="Y60" s="333">
        <v>6440</v>
      </c>
      <c r="Z60" s="333"/>
      <c r="AA60" s="333">
        <v>9200</v>
      </c>
      <c r="AB60" s="333"/>
      <c r="AC60" s="333"/>
      <c r="AD60" s="333">
        <v>10120</v>
      </c>
      <c r="AE60" s="333"/>
      <c r="AF60" s="333"/>
    </row>
    <row r="61" spans="1:32" s="280" customFormat="1" ht="25.5" x14ac:dyDescent="0.2">
      <c r="A61" s="438">
        <v>35</v>
      </c>
      <c r="B61" s="304" t="s">
        <v>445</v>
      </c>
      <c r="C61" s="338" t="s">
        <v>527</v>
      </c>
      <c r="D61" s="449" t="s">
        <v>485</v>
      </c>
      <c r="E61" s="457">
        <v>41858</v>
      </c>
      <c r="F61" s="459">
        <v>1</v>
      </c>
      <c r="G61" s="320">
        <v>10</v>
      </c>
      <c r="H61" s="320">
        <v>400</v>
      </c>
      <c r="I61" s="455">
        <f>SUM(J61:AF61)+SUM(J62:AF62)</f>
        <v>58000</v>
      </c>
      <c r="J61" s="321"/>
      <c r="K61" s="322">
        <f>'Moulded-2025-26'!AD54</f>
        <v>3200</v>
      </c>
      <c r="L61" s="322">
        <f>'Moulded-2024-25'!Q54</f>
        <v>1200</v>
      </c>
      <c r="M61" s="322">
        <f>'Moulded-2024'!P53</f>
        <v>2800</v>
      </c>
      <c r="N61" s="322">
        <f>'Moulded-2023'!Z54</f>
        <v>800</v>
      </c>
      <c r="O61" s="322">
        <v>1600</v>
      </c>
      <c r="P61" s="322">
        <v>3600</v>
      </c>
      <c r="Q61" s="322">
        <v>2000</v>
      </c>
      <c r="R61" s="322"/>
      <c r="S61" s="322">
        <v>2000</v>
      </c>
      <c r="T61" s="322">
        <v>2800</v>
      </c>
      <c r="U61" s="322">
        <v>1600</v>
      </c>
      <c r="V61" s="322"/>
      <c r="W61" s="322">
        <v>2000</v>
      </c>
      <c r="X61" s="322"/>
      <c r="Y61" s="322"/>
      <c r="Z61" s="322"/>
      <c r="AA61" s="322"/>
      <c r="AB61" s="322"/>
      <c r="AC61" s="322"/>
      <c r="AD61" s="322"/>
      <c r="AE61" s="322"/>
      <c r="AF61" s="322"/>
    </row>
    <row r="62" spans="1:32" s="280" customFormat="1" ht="25.5" x14ac:dyDescent="0.2">
      <c r="A62" s="439"/>
      <c r="B62" s="289" t="s">
        <v>409</v>
      </c>
      <c r="C62" s="340" t="s">
        <v>528</v>
      </c>
      <c r="D62" s="450"/>
      <c r="E62" s="458"/>
      <c r="F62" s="460"/>
      <c r="G62" s="323">
        <v>10</v>
      </c>
      <c r="H62" s="323">
        <v>400</v>
      </c>
      <c r="I62" s="456"/>
      <c r="J62" s="324"/>
      <c r="K62" s="325">
        <f>'Moulded-2025-26'!AD55</f>
        <v>4400</v>
      </c>
      <c r="L62" s="325">
        <f>'Moulded-2024-25'!Q55</f>
        <v>3600</v>
      </c>
      <c r="M62" s="325">
        <f>'Moulded-2024'!P54</f>
        <v>3600</v>
      </c>
      <c r="N62" s="325">
        <f>'Moulded-2023'!Z55</f>
        <v>3200</v>
      </c>
      <c r="O62" s="325">
        <v>2800</v>
      </c>
      <c r="P62" s="325">
        <v>3600</v>
      </c>
      <c r="Q62" s="325">
        <v>3600</v>
      </c>
      <c r="R62" s="325">
        <v>2000</v>
      </c>
      <c r="S62" s="325">
        <v>2400</v>
      </c>
      <c r="T62" s="325">
        <v>5200</v>
      </c>
      <c r="U62" s="325"/>
      <c r="V62" s="325"/>
      <c r="W62" s="325"/>
      <c r="X62" s="325"/>
      <c r="Y62" s="325"/>
      <c r="Z62" s="325"/>
      <c r="AA62" s="325"/>
      <c r="AB62" s="325"/>
      <c r="AC62" s="325"/>
      <c r="AD62" s="325"/>
      <c r="AE62" s="325"/>
      <c r="AF62" s="325"/>
    </row>
    <row r="63" spans="1:32" s="280" customFormat="1" ht="25.5" x14ac:dyDescent="0.2">
      <c r="A63" s="438">
        <v>36</v>
      </c>
      <c r="B63" s="290" t="s">
        <v>446</v>
      </c>
      <c r="C63" s="342" t="s">
        <v>529</v>
      </c>
      <c r="D63" s="440" t="s">
        <v>485</v>
      </c>
      <c r="E63" s="442">
        <v>41858</v>
      </c>
      <c r="F63" s="444">
        <v>2</v>
      </c>
      <c r="G63" s="326">
        <v>10</v>
      </c>
      <c r="H63" s="326">
        <v>300</v>
      </c>
      <c r="I63" s="455">
        <f>SUM(J63:AF63)+SUM(J64:AF64)</f>
        <v>188100</v>
      </c>
      <c r="J63" s="321"/>
      <c r="K63" s="329">
        <f>'Moulded-2025-26'!AD56</f>
        <v>2400</v>
      </c>
      <c r="L63" s="329">
        <f>'Moulded-2024-25'!Q56</f>
        <v>1800</v>
      </c>
      <c r="M63" s="329">
        <f>'Moulded-2024'!P55</f>
        <v>3300</v>
      </c>
      <c r="N63" s="329">
        <f>'Moulded-2023'!Z56</f>
        <v>600</v>
      </c>
      <c r="O63" s="329">
        <v>1800</v>
      </c>
      <c r="P63" s="329">
        <v>5100</v>
      </c>
      <c r="Q63" s="329">
        <v>2700</v>
      </c>
      <c r="R63" s="329">
        <v>1500</v>
      </c>
      <c r="S63" s="329">
        <v>2100</v>
      </c>
      <c r="T63" s="329">
        <v>3900</v>
      </c>
      <c r="U63" s="329">
        <v>3600</v>
      </c>
      <c r="V63" s="329">
        <v>3000</v>
      </c>
      <c r="W63" s="329">
        <v>13500</v>
      </c>
      <c r="X63" s="329"/>
      <c r="Y63" s="329"/>
      <c r="Z63" s="329"/>
      <c r="AA63" s="329"/>
      <c r="AB63" s="329"/>
      <c r="AC63" s="329"/>
      <c r="AD63" s="329"/>
      <c r="AE63" s="329"/>
      <c r="AF63" s="329"/>
    </row>
    <row r="64" spans="1:32" s="280" customFormat="1" ht="25.5" x14ac:dyDescent="0.2">
      <c r="A64" s="439"/>
      <c r="B64" s="291" t="s">
        <v>406</v>
      </c>
      <c r="C64" s="343" t="s">
        <v>530</v>
      </c>
      <c r="D64" s="441"/>
      <c r="E64" s="461"/>
      <c r="F64" s="445"/>
      <c r="G64" s="330">
        <v>10</v>
      </c>
      <c r="H64" s="330">
        <v>300</v>
      </c>
      <c r="I64" s="456"/>
      <c r="J64" s="324"/>
      <c r="K64" s="333">
        <f>'Moulded-2025-26'!AD57</f>
        <v>14100</v>
      </c>
      <c r="L64" s="333">
        <f>'Moulded-2024-25'!Q57</f>
        <v>2400</v>
      </c>
      <c r="M64" s="333">
        <f>'Moulded-2024'!P56</f>
        <v>16200</v>
      </c>
      <c r="N64" s="333">
        <f>'Moulded-2023'!Z57</f>
        <v>12000</v>
      </c>
      <c r="O64" s="333">
        <v>3900</v>
      </c>
      <c r="P64" s="333">
        <v>15600</v>
      </c>
      <c r="Q64" s="333">
        <v>15600</v>
      </c>
      <c r="R64" s="333">
        <v>8400</v>
      </c>
      <c r="S64" s="333">
        <v>12000</v>
      </c>
      <c r="T64" s="333">
        <v>18000</v>
      </c>
      <c r="U64" s="333">
        <v>16500</v>
      </c>
      <c r="V64" s="333">
        <v>8100</v>
      </c>
      <c r="W64" s="333"/>
      <c r="X64" s="333"/>
      <c r="Y64" s="333"/>
      <c r="Z64" s="333"/>
      <c r="AA64" s="333"/>
      <c r="AB64" s="333"/>
      <c r="AC64" s="333"/>
      <c r="AD64" s="333"/>
      <c r="AE64" s="333"/>
      <c r="AF64" s="333"/>
    </row>
    <row r="65" spans="1:33" s="280" customFormat="1" ht="25.5" x14ac:dyDescent="0.2">
      <c r="A65" s="438">
        <v>37</v>
      </c>
      <c r="B65" s="383" t="s">
        <v>447</v>
      </c>
      <c r="C65" s="338" t="s">
        <v>531</v>
      </c>
      <c r="D65" s="449" t="s">
        <v>485</v>
      </c>
      <c r="E65" s="457">
        <v>40908</v>
      </c>
      <c r="F65" s="459">
        <v>2</v>
      </c>
      <c r="G65" s="320">
        <v>10</v>
      </c>
      <c r="H65" s="320">
        <v>160</v>
      </c>
      <c r="I65" s="455">
        <f>SUM(J65:AF65)+SUM(J66:AF66)</f>
        <v>303200</v>
      </c>
      <c r="J65" s="321"/>
      <c r="K65" s="322">
        <f>'Moulded-2025-26'!AD58</f>
        <v>6080</v>
      </c>
      <c r="L65" s="322">
        <f>'Moulded-2024-25'!Q58</f>
        <v>7520</v>
      </c>
      <c r="M65" s="322">
        <f>'Moulded-2024'!P57</f>
        <v>8160</v>
      </c>
      <c r="N65" s="322">
        <f>'Moulded-2023'!Z58</f>
        <v>8320</v>
      </c>
      <c r="O65" s="322">
        <v>5600</v>
      </c>
      <c r="P65" s="322">
        <v>14400</v>
      </c>
      <c r="Q65" s="322">
        <v>8800</v>
      </c>
      <c r="R65" s="322">
        <v>10240</v>
      </c>
      <c r="S65" s="322">
        <v>12320</v>
      </c>
      <c r="T65" s="322">
        <v>11680</v>
      </c>
      <c r="U65" s="322">
        <v>11680</v>
      </c>
      <c r="V65" s="322">
        <v>4800</v>
      </c>
      <c r="W65" s="322">
        <v>11200</v>
      </c>
      <c r="X65" s="322">
        <v>4800</v>
      </c>
      <c r="Y65" s="322">
        <v>11680</v>
      </c>
      <c r="Z65" s="322"/>
      <c r="AA65" s="322"/>
      <c r="AB65" s="322"/>
      <c r="AC65" s="322"/>
      <c r="AD65" s="322"/>
      <c r="AE65" s="322"/>
      <c r="AF65" s="322"/>
    </row>
    <row r="66" spans="1:33" s="280" customFormat="1" ht="25.5" x14ac:dyDescent="0.2">
      <c r="A66" s="439"/>
      <c r="B66" s="384" t="s">
        <v>407</v>
      </c>
      <c r="C66" s="340" t="s">
        <v>532</v>
      </c>
      <c r="D66" s="480"/>
      <c r="E66" s="458"/>
      <c r="F66" s="450"/>
      <c r="G66" s="323">
        <v>10</v>
      </c>
      <c r="H66" s="323">
        <v>160</v>
      </c>
      <c r="I66" s="456"/>
      <c r="J66" s="324"/>
      <c r="K66" s="325">
        <f>'Moulded-2025-26'!AD60</f>
        <v>12000</v>
      </c>
      <c r="L66" s="325">
        <f>'Moulded-2024-25'!Q59</f>
        <v>5120</v>
      </c>
      <c r="M66" s="325">
        <f>'Moulded-2024'!P58</f>
        <v>13600</v>
      </c>
      <c r="N66" s="325">
        <f>'Moulded-2023'!Z59</f>
        <v>12000</v>
      </c>
      <c r="O66" s="325">
        <v>1600</v>
      </c>
      <c r="P66" s="325">
        <v>12480</v>
      </c>
      <c r="Q66" s="325">
        <v>14400</v>
      </c>
      <c r="R66" s="325">
        <v>14240</v>
      </c>
      <c r="S66" s="325">
        <v>13600</v>
      </c>
      <c r="T66" s="325">
        <v>16480</v>
      </c>
      <c r="U66" s="325">
        <v>15200</v>
      </c>
      <c r="V66" s="325">
        <v>8000</v>
      </c>
      <c r="W66" s="325">
        <v>12800</v>
      </c>
      <c r="X66" s="325">
        <v>5280</v>
      </c>
      <c r="Y66" s="325">
        <v>9120</v>
      </c>
      <c r="Z66" s="325"/>
      <c r="AA66" s="325"/>
      <c r="AB66" s="325"/>
      <c r="AC66" s="325"/>
      <c r="AD66" s="325"/>
      <c r="AE66" s="325"/>
      <c r="AF66" s="325"/>
    </row>
    <row r="67" spans="1:33" s="280" customFormat="1" ht="25.5" x14ac:dyDescent="0.2">
      <c r="A67" s="391"/>
      <c r="B67" s="288" t="s">
        <v>448</v>
      </c>
      <c r="C67" s="315" t="s">
        <v>533</v>
      </c>
      <c r="D67" s="318" t="s">
        <v>485</v>
      </c>
      <c r="E67" s="317"/>
      <c r="F67" s="283"/>
      <c r="G67" s="345">
        <v>10</v>
      </c>
      <c r="H67" s="316">
        <v>130</v>
      </c>
      <c r="I67" s="312">
        <f t="shared" ref="I67:I76" si="2">SUM(J67:AF67)</f>
        <v>59020</v>
      </c>
      <c r="J67" s="313"/>
      <c r="K67" s="317">
        <f>'Moulded-2025-26'!AD62</f>
        <v>5460</v>
      </c>
      <c r="L67" s="317">
        <f>'Moulded-2024-25'!Q60</f>
        <v>1560</v>
      </c>
      <c r="M67" s="317">
        <f>'Moulded-2024'!P59</f>
        <v>1040</v>
      </c>
      <c r="N67" s="317">
        <f>'Moulded-2023'!Z60</f>
        <v>0</v>
      </c>
      <c r="O67" s="317">
        <v>130</v>
      </c>
      <c r="P67" s="317">
        <v>390</v>
      </c>
      <c r="Q67" s="317">
        <v>910</v>
      </c>
      <c r="R67" s="317"/>
      <c r="S67" s="317"/>
      <c r="T67" s="317"/>
      <c r="U67" s="317">
        <v>1040</v>
      </c>
      <c r="V67" s="317">
        <v>3900</v>
      </c>
      <c r="W67" s="317">
        <v>5200</v>
      </c>
      <c r="X67" s="317">
        <v>7800</v>
      </c>
      <c r="Y67" s="317">
        <v>5980</v>
      </c>
      <c r="Z67" s="317">
        <v>5330</v>
      </c>
      <c r="AA67" s="317">
        <v>2990</v>
      </c>
      <c r="AB67" s="317">
        <v>1950</v>
      </c>
      <c r="AC67" s="317">
        <v>2080</v>
      </c>
      <c r="AD67" s="317">
        <v>8190</v>
      </c>
      <c r="AE67" s="317">
        <v>5070</v>
      </c>
      <c r="AF67" s="317"/>
      <c r="AG67" s="501" t="s">
        <v>494</v>
      </c>
    </row>
    <row r="68" spans="1:33" s="280" customFormat="1" ht="25.5" x14ac:dyDescent="0.2">
      <c r="A68" s="391"/>
      <c r="B68" s="288" t="s">
        <v>449</v>
      </c>
      <c r="C68" s="315" t="s">
        <v>534</v>
      </c>
      <c r="D68" s="318" t="s">
        <v>485</v>
      </c>
      <c r="E68" s="317"/>
      <c r="F68" s="283"/>
      <c r="G68" s="316">
        <v>10</v>
      </c>
      <c r="H68" s="316">
        <v>110</v>
      </c>
      <c r="I68" s="312">
        <f t="shared" si="2"/>
        <v>113300</v>
      </c>
      <c r="J68" s="313"/>
      <c r="K68" s="317">
        <f>'Moulded-2025-26'!AD63</f>
        <v>1100</v>
      </c>
      <c r="L68" s="317">
        <f>'Moulded-2024-25'!Q61</f>
        <v>2530</v>
      </c>
      <c r="M68" s="317">
        <f>'Moulded-2024'!P60</f>
        <v>4180</v>
      </c>
      <c r="N68" s="317">
        <f>'Moulded-2023'!Z61</f>
        <v>4400</v>
      </c>
      <c r="O68" s="317">
        <v>4180</v>
      </c>
      <c r="P68" s="317"/>
      <c r="Q68" s="317">
        <v>1430</v>
      </c>
      <c r="R68" s="317">
        <v>1540</v>
      </c>
      <c r="S68" s="317">
        <v>1430</v>
      </c>
      <c r="T68" s="317">
        <v>1650</v>
      </c>
      <c r="U68" s="317"/>
      <c r="V68" s="317"/>
      <c r="W68" s="317">
        <v>6600</v>
      </c>
      <c r="X68" s="317">
        <v>10780</v>
      </c>
      <c r="Y68" s="317">
        <v>3850</v>
      </c>
      <c r="Z68" s="317">
        <v>11550</v>
      </c>
      <c r="AA68" s="317">
        <v>15180</v>
      </c>
      <c r="AB68" s="317">
        <v>10780</v>
      </c>
      <c r="AC68" s="317">
        <v>3080</v>
      </c>
      <c r="AD68" s="317">
        <v>11000</v>
      </c>
      <c r="AE68" s="317">
        <v>18040</v>
      </c>
      <c r="AF68" s="317"/>
      <c r="AG68" s="501"/>
    </row>
    <row r="69" spans="1:33" s="280" customFormat="1" ht="25.5" x14ac:dyDescent="0.2">
      <c r="A69" s="391"/>
      <c r="B69" s="382" t="s">
        <v>450</v>
      </c>
      <c r="C69" s="315" t="s">
        <v>535</v>
      </c>
      <c r="D69" s="318" t="s">
        <v>485</v>
      </c>
      <c r="E69" s="317"/>
      <c r="F69" s="283"/>
      <c r="G69" s="316">
        <v>10</v>
      </c>
      <c r="H69" s="316">
        <v>80</v>
      </c>
      <c r="I69" s="312">
        <f t="shared" si="2"/>
        <v>159680</v>
      </c>
      <c r="J69" s="313"/>
      <c r="K69" s="317">
        <f>'Moulded-2025-26'!AD64</f>
        <v>10960</v>
      </c>
      <c r="L69" s="317">
        <f>'Moulded-2024-25'!Q62</f>
        <v>17600</v>
      </c>
      <c r="M69" s="317">
        <f>'Moulded-2024'!P61</f>
        <v>4640</v>
      </c>
      <c r="N69" s="317">
        <f>'Moulded-2023'!Z62</f>
        <v>720</v>
      </c>
      <c r="O69" s="317">
        <v>2080</v>
      </c>
      <c r="P69" s="317">
        <v>5280</v>
      </c>
      <c r="Q69" s="317">
        <v>1920</v>
      </c>
      <c r="R69" s="317">
        <v>6800</v>
      </c>
      <c r="S69" s="317">
        <v>4800</v>
      </c>
      <c r="T69" s="317">
        <v>3440</v>
      </c>
      <c r="U69" s="317">
        <v>3280</v>
      </c>
      <c r="V69" s="317">
        <v>2400</v>
      </c>
      <c r="W69" s="317">
        <v>12800</v>
      </c>
      <c r="X69" s="317">
        <v>3200</v>
      </c>
      <c r="Y69" s="317">
        <v>9200</v>
      </c>
      <c r="Z69" s="317">
        <v>2400</v>
      </c>
      <c r="AA69" s="317">
        <v>13600</v>
      </c>
      <c r="AB69" s="317"/>
      <c r="AC69" s="317">
        <v>18240</v>
      </c>
      <c r="AD69" s="317">
        <v>24880</v>
      </c>
      <c r="AE69" s="317">
        <v>6400</v>
      </c>
      <c r="AF69" s="317">
        <v>5040</v>
      </c>
      <c r="AG69" s="501"/>
    </row>
    <row r="70" spans="1:33" s="280" customFormat="1" ht="25.5" x14ac:dyDescent="0.2">
      <c r="A70" s="391"/>
      <c r="B70" s="288" t="s">
        <v>451</v>
      </c>
      <c r="C70" s="315" t="s">
        <v>535</v>
      </c>
      <c r="D70" s="318" t="s">
        <v>485</v>
      </c>
      <c r="E70" s="317"/>
      <c r="F70" s="283"/>
      <c r="G70" s="316">
        <v>5</v>
      </c>
      <c r="H70" s="316">
        <v>75</v>
      </c>
      <c r="I70" s="312">
        <f t="shared" si="2"/>
        <v>32475</v>
      </c>
      <c r="J70" s="313"/>
      <c r="K70" s="317">
        <f>'Moulded-2025-26'!AD65</f>
        <v>1200</v>
      </c>
      <c r="L70" s="317">
        <f>'Moulded-2024-25'!Q63</f>
        <v>300</v>
      </c>
      <c r="M70" s="317">
        <f>'Moulded-2024'!P62</f>
        <v>1650</v>
      </c>
      <c r="N70" s="317">
        <f>'Moulded-2023'!Z63</f>
        <v>450</v>
      </c>
      <c r="O70" s="317">
        <v>750</v>
      </c>
      <c r="P70" s="317">
        <v>300</v>
      </c>
      <c r="Q70" s="317"/>
      <c r="R70" s="317"/>
      <c r="S70" s="317">
        <v>1200</v>
      </c>
      <c r="T70" s="317"/>
      <c r="U70" s="317"/>
      <c r="V70" s="317"/>
      <c r="W70" s="317">
        <v>750</v>
      </c>
      <c r="X70" s="317">
        <v>8025</v>
      </c>
      <c r="Y70" s="317">
        <v>1350</v>
      </c>
      <c r="Z70" s="317">
        <v>6225</v>
      </c>
      <c r="AA70" s="317">
        <v>1275</v>
      </c>
      <c r="AB70" s="317">
        <v>3000</v>
      </c>
      <c r="AC70" s="317"/>
      <c r="AD70" s="317">
        <v>6000</v>
      </c>
      <c r="AE70" s="317"/>
      <c r="AF70" s="317"/>
      <c r="AG70" s="501"/>
    </row>
    <row r="71" spans="1:33" s="280" customFormat="1" ht="25.5" x14ac:dyDescent="0.2">
      <c r="A71" s="391"/>
      <c r="B71" s="382" t="s">
        <v>452</v>
      </c>
      <c r="C71" s="315" t="s">
        <v>536</v>
      </c>
      <c r="D71" s="318" t="s">
        <v>485</v>
      </c>
      <c r="E71" s="317"/>
      <c r="F71" s="283"/>
      <c r="G71" s="316">
        <v>5</v>
      </c>
      <c r="H71" s="316">
        <v>50</v>
      </c>
      <c r="I71" s="312">
        <f t="shared" si="2"/>
        <v>120750</v>
      </c>
      <c r="J71" s="313"/>
      <c r="K71" s="317">
        <f>'Moulded-2025-26'!AD66</f>
        <v>10000</v>
      </c>
      <c r="L71" s="317">
        <f>'Moulded-2024-25'!Q64</f>
        <v>16000</v>
      </c>
      <c r="M71" s="317">
        <f>'Moulded-2024'!P63</f>
        <v>4250</v>
      </c>
      <c r="N71" s="317">
        <f>'Moulded-2023'!Z64</f>
        <v>5750</v>
      </c>
      <c r="O71" s="317">
        <v>1500</v>
      </c>
      <c r="P71" s="317">
        <v>6000</v>
      </c>
      <c r="Q71" s="317">
        <v>1000</v>
      </c>
      <c r="R71" s="317">
        <v>6900</v>
      </c>
      <c r="S71" s="317">
        <v>4800</v>
      </c>
      <c r="T71" s="317">
        <v>2500</v>
      </c>
      <c r="U71" s="317">
        <v>2500</v>
      </c>
      <c r="V71" s="317">
        <v>2500</v>
      </c>
      <c r="W71" s="317">
        <v>5500</v>
      </c>
      <c r="X71" s="317">
        <v>2000</v>
      </c>
      <c r="Y71" s="317">
        <v>8500</v>
      </c>
      <c r="Z71" s="317">
        <v>1250</v>
      </c>
      <c r="AA71" s="317">
        <v>15900</v>
      </c>
      <c r="AB71" s="317">
        <v>3500</v>
      </c>
      <c r="AC71" s="317">
        <v>6000</v>
      </c>
      <c r="AD71" s="317">
        <v>14400</v>
      </c>
      <c r="AE71" s="317"/>
      <c r="AF71" s="317"/>
      <c r="AG71" s="501"/>
    </row>
    <row r="72" spans="1:33" s="280" customFormat="1" ht="25.5" x14ac:dyDescent="0.2">
      <c r="A72" s="391"/>
      <c r="B72" s="382" t="s">
        <v>453</v>
      </c>
      <c r="C72" s="315" t="s">
        <v>537</v>
      </c>
      <c r="D72" s="318" t="s">
        <v>485</v>
      </c>
      <c r="E72" s="317"/>
      <c r="F72" s="283"/>
      <c r="G72" s="316">
        <v>5</v>
      </c>
      <c r="H72" s="316">
        <v>35</v>
      </c>
      <c r="I72" s="312">
        <f t="shared" si="2"/>
        <v>26120</v>
      </c>
      <c r="J72" s="313"/>
      <c r="K72" s="317">
        <f>'Moulded-2025-26'!AD68</f>
        <v>570</v>
      </c>
      <c r="L72" s="317">
        <f>'Moulded-2024-25'!Q65</f>
        <v>2100</v>
      </c>
      <c r="M72" s="317">
        <f>'Moulded-2024'!P64</f>
        <v>1050</v>
      </c>
      <c r="N72" s="317">
        <f>'Moulded-2023'!Z65</f>
        <v>0</v>
      </c>
      <c r="O72" s="317">
        <v>3150</v>
      </c>
      <c r="P72" s="317">
        <v>1400</v>
      </c>
      <c r="Q72" s="317">
        <v>1540</v>
      </c>
      <c r="R72" s="317">
        <v>1400</v>
      </c>
      <c r="S72" s="317">
        <v>5600</v>
      </c>
      <c r="T72" s="317">
        <v>1785</v>
      </c>
      <c r="U72" s="317"/>
      <c r="V72" s="317">
        <v>700</v>
      </c>
      <c r="W72" s="317">
        <v>1750</v>
      </c>
      <c r="X72" s="317">
        <v>1750</v>
      </c>
      <c r="Y72" s="317">
        <v>3325</v>
      </c>
      <c r="Z72" s="317"/>
      <c r="AA72" s="317"/>
      <c r="AB72" s="317"/>
      <c r="AC72" s="317"/>
      <c r="AD72" s="317"/>
      <c r="AE72" s="317"/>
      <c r="AF72" s="317"/>
      <c r="AG72" s="501"/>
    </row>
    <row r="73" spans="1:33" s="280" customFormat="1" x14ac:dyDescent="0.2">
      <c r="A73" s="391">
        <v>38</v>
      </c>
      <c r="B73" s="287" t="s">
        <v>483</v>
      </c>
      <c r="C73" s="334" t="s">
        <v>38</v>
      </c>
      <c r="D73" s="310" t="s">
        <v>485</v>
      </c>
      <c r="E73" s="311">
        <v>39310</v>
      </c>
      <c r="F73" s="282">
        <v>2</v>
      </c>
      <c r="G73" s="308">
        <v>50</v>
      </c>
      <c r="H73" s="308">
        <v>2000</v>
      </c>
      <c r="I73" s="312">
        <f t="shared" si="2"/>
        <v>32000</v>
      </c>
      <c r="J73" s="313"/>
      <c r="K73" s="314"/>
      <c r="L73" s="314"/>
      <c r="M73" s="314"/>
      <c r="N73" s="314"/>
      <c r="O73" s="314"/>
      <c r="P73" s="314"/>
      <c r="Q73" s="314"/>
      <c r="R73" s="314"/>
      <c r="S73" s="314"/>
      <c r="T73" s="314"/>
      <c r="U73" s="314"/>
      <c r="V73" s="314"/>
      <c r="W73" s="314"/>
      <c r="X73" s="314"/>
      <c r="Y73" s="314"/>
      <c r="Z73" s="314"/>
      <c r="AA73" s="314"/>
      <c r="AB73" s="314"/>
      <c r="AC73" s="314">
        <v>16000</v>
      </c>
      <c r="AD73" s="314">
        <v>16000</v>
      </c>
      <c r="AE73" s="314"/>
      <c r="AF73" s="314"/>
    </row>
    <row r="74" spans="1:33" s="280" customFormat="1" x14ac:dyDescent="0.2">
      <c r="A74" s="391">
        <v>39</v>
      </c>
      <c r="B74" s="288" t="s">
        <v>54</v>
      </c>
      <c r="C74" s="336" t="s">
        <v>39</v>
      </c>
      <c r="D74" s="318" t="s">
        <v>485</v>
      </c>
      <c r="E74" s="319">
        <v>39310</v>
      </c>
      <c r="F74" s="283">
        <v>2</v>
      </c>
      <c r="G74" s="316">
        <v>100</v>
      </c>
      <c r="H74" s="316">
        <v>2000</v>
      </c>
      <c r="I74" s="312">
        <f t="shared" si="2"/>
        <v>34000</v>
      </c>
      <c r="J74" s="313"/>
      <c r="K74" s="317"/>
      <c r="L74" s="317"/>
      <c r="M74" s="317"/>
      <c r="N74" s="317"/>
      <c r="O74" s="317"/>
      <c r="P74" s="317"/>
      <c r="Q74" s="317"/>
      <c r="R74" s="317"/>
      <c r="S74" s="317"/>
      <c r="T74" s="317"/>
      <c r="U74" s="317"/>
      <c r="V74" s="317"/>
      <c r="W74" s="317"/>
      <c r="X74" s="317"/>
      <c r="Y74" s="317"/>
      <c r="Z74" s="317"/>
      <c r="AA74" s="317"/>
      <c r="AB74" s="317"/>
      <c r="AC74" s="317">
        <v>16000</v>
      </c>
      <c r="AD74" s="317">
        <v>18000</v>
      </c>
      <c r="AE74" s="317"/>
      <c r="AF74" s="317"/>
    </row>
    <row r="75" spans="1:33" s="280" customFormat="1" x14ac:dyDescent="0.2">
      <c r="A75" s="391">
        <v>40</v>
      </c>
      <c r="B75" s="287" t="s">
        <v>152</v>
      </c>
      <c r="C75" s="334" t="s">
        <v>153</v>
      </c>
      <c r="D75" s="310" t="s">
        <v>485</v>
      </c>
      <c r="E75" s="311">
        <v>40868</v>
      </c>
      <c r="F75" s="282">
        <v>1</v>
      </c>
      <c r="G75" s="308">
        <v>0</v>
      </c>
      <c r="H75" s="308">
        <v>150</v>
      </c>
      <c r="I75" s="312">
        <f t="shared" si="2"/>
        <v>2550</v>
      </c>
      <c r="J75" s="313"/>
      <c r="K75" s="314"/>
      <c r="L75" s="314"/>
      <c r="M75" s="314"/>
      <c r="N75" s="314"/>
      <c r="O75" s="314"/>
      <c r="P75" s="314"/>
      <c r="Q75" s="314"/>
      <c r="R75" s="314"/>
      <c r="S75" s="314"/>
      <c r="T75" s="314"/>
      <c r="U75" s="314"/>
      <c r="V75" s="314">
        <v>1050</v>
      </c>
      <c r="W75" s="314"/>
      <c r="X75" s="314"/>
      <c r="Y75" s="314"/>
      <c r="Z75" s="314">
        <v>1500</v>
      </c>
      <c r="AA75" s="314"/>
      <c r="AB75" s="314"/>
      <c r="AC75" s="314"/>
      <c r="AD75" s="314"/>
      <c r="AE75" s="314"/>
      <c r="AF75" s="314"/>
    </row>
    <row r="76" spans="1:33" s="280" customFormat="1" x14ac:dyDescent="0.2">
      <c r="A76" s="391">
        <v>41</v>
      </c>
      <c r="B76" s="288" t="s">
        <v>151</v>
      </c>
      <c r="C76" s="336" t="s">
        <v>154</v>
      </c>
      <c r="D76" s="318" t="s">
        <v>485</v>
      </c>
      <c r="E76" s="319">
        <v>40868</v>
      </c>
      <c r="F76" s="283">
        <v>1</v>
      </c>
      <c r="G76" s="316">
        <v>0</v>
      </c>
      <c r="H76" s="316">
        <v>360</v>
      </c>
      <c r="I76" s="312">
        <f t="shared" si="2"/>
        <v>7200</v>
      </c>
      <c r="J76" s="313"/>
      <c r="K76" s="317"/>
      <c r="L76" s="317"/>
      <c r="M76" s="317"/>
      <c r="N76" s="317"/>
      <c r="O76" s="317"/>
      <c r="P76" s="317"/>
      <c r="Q76" s="317"/>
      <c r="R76" s="317"/>
      <c r="S76" s="317"/>
      <c r="T76" s="317"/>
      <c r="U76" s="317"/>
      <c r="V76" s="317">
        <v>2160</v>
      </c>
      <c r="W76" s="317"/>
      <c r="X76" s="317"/>
      <c r="Y76" s="317"/>
      <c r="Z76" s="317">
        <v>5040</v>
      </c>
      <c r="AA76" s="317"/>
      <c r="AB76" s="317"/>
      <c r="AC76" s="317"/>
      <c r="AD76" s="317"/>
      <c r="AE76" s="317"/>
      <c r="AF76" s="317"/>
    </row>
    <row r="77" spans="1:33" s="280" customFormat="1" x14ac:dyDescent="0.2">
      <c r="A77" s="438">
        <v>42</v>
      </c>
      <c r="B77" s="491" t="s">
        <v>492</v>
      </c>
      <c r="C77" s="346" t="s">
        <v>277</v>
      </c>
      <c r="D77" s="449" t="s">
        <v>486</v>
      </c>
      <c r="E77" s="457">
        <v>42815</v>
      </c>
      <c r="F77" s="459">
        <v>4</v>
      </c>
      <c r="G77" s="320">
        <v>50</v>
      </c>
      <c r="H77" s="320">
        <v>200</v>
      </c>
      <c r="I77" s="455">
        <f>SUM(J77:AF77)+SUM(J78:AF78)+SUM(J79:AF79)</f>
        <v>137800</v>
      </c>
      <c r="J77" s="321"/>
      <c r="K77" s="322"/>
      <c r="L77" s="322"/>
      <c r="M77" s="322"/>
      <c r="N77" s="322"/>
      <c r="O77" s="322"/>
      <c r="P77" s="322"/>
      <c r="Q77" s="322"/>
      <c r="R77" s="322"/>
      <c r="S77" s="322"/>
      <c r="T77" s="322">
        <v>51600</v>
      </c>
      <c r="U77" s="322"/>
      <c r="V77" s="322"/>
      <c r="W77" s="322"/>
      <c r="X77" s="322"/>
      <c r="Y77" s="322"/>
      <c r="Z77" s="322"/>
      <c r="AA77" s="322"/>
      <c r="AB77" s="322"/>
      <c r="AC77" s="322"/>
      <c r="AD77" s="322"/>
      <c r="AE77" s="322"/>
      <c r="AF77" s="322"/>
    </row>
    <row r="78" spans="1:33" s="280" customFormat="1" x14ac:dyDescent="0.2">
      <c r="A78" s="487"/>
      <c r="B78" s="492"/>
      <c r="C78" s="244" t="s">
        <v>278</v>
      </c>
      <c r="D78" s="494"/>
      <c r="E78" s="514"/>
      <c r="F78" s="499"/>
      <c r="G78" s="302">
        <v>50</v>
      </c>
      <c r="H78" s="302">
        <v>200</v>
      </c>
      <c r="I78" s="507"/>
      <c r="J78" s="347"/>
      <c r="K78" s="303"/>
      <c r="L78" s="378"/>
      <c r="M78" s="372"/>
      <c r="N78" s="303"/>
      <c r="O78" s="303"/>
      <c r="P78" s="303"/>
      <c r="Q78" s="303"/>
      <c r="R78" s="303"/>
      <c r="S78" s="303"/>
      <c r="T78" s="303">
        <v>44600</v>
      </c>
      <c r="U78" s="303"/>
      <c r="V78" s="303"/>
      <c r="W78" s="303"/>
      <c r="X78" s="303"/>
      <c r="Y78" s="303"/>
      <c r="Z78" s="303"/>
      <c r="AA78" s="303"/>
      <c r="AB78" s="303"/>
      <c r="AC78" s="303"/>
      <c r="AD78" s="303"/>
      <c r="AE78" s="303"/>
      <c r="AF78" s="303"/>
    </row>
    <row r="79" spans="1:33" s="280" customFormat="1" x14ac:dyDescent="0.2">
      <c r="A79" s="439"/>
      <c r="B79" s="493"/>
      <c r="C79" s="348" t="s">
        <v>279</v>
      </c>
      <c r="D79" s="450"/>
      <c r="E79" s="458"/>
      <c r="F79" s="460"/>
      <c r="G79" s="323">
        <v>50</v>
      </c>
      <c r="H79" s="323">
        <v>200</v>
      </c>
      <c r="I79" s="456"/>
      <c r="J79" s="324"/>
      <c r="K79" s="325"/>
      <c r="L79" s="325"/>
      <c r="M79" s="325"/>
      <c r="N79" s="325"/>
      <c r="O79" s="325"/>
      <c r="P79" s="325"/>
      <c r="Q79" s="325"/>
      <c r="R79" s="325"/>
      <c r="S79" s="325"/>
      <c r="T79" s="325">
        <v>41600</v>
      </c>
      <c r="U79" s="325"/>
      <c r="V79" s="325"/>
      <c r="W79" s="325"/>
      <c r="X79" s="325"/>
      <c r="Y79" s="325"/>
      <c r="Z79" s="325"/>
      <c r="AA79" s="325"/>
      <c r="AB79" s="325"/>
      <c r="AC79" s="325"/>
      <c r="AD79" s="325"/>
      <c r="AE79" s="325"/>
      <c r="AF79" s="325"/>
    </row>
    <row r="80" spans="1:33" s="280" customFormat="1" x14ac:dyDescent="0.2">
      <c r="A80" s="438">
        <v>43</v>
      </c>
      <c r="B80" s="488" t="s">
        <v>493</v>
      </c>
      <c r="C80" s="349" t="s">
        <v>280</v>
      </c>
      <c r="D80" s="440" t="s">
        <v>486</v>
      </c>
      <c r="E80" s="442">
        <v>42815</v>
      </c>
      <c r="F80" s="496"/>
      <c r="G80" s="326">
        <v>50</v>
      </c>
      <c r="H80" s="326">
        <v>150</v>
      </c>
      <c r="I80" s="455">
        <f>SUM(J80:AF80)+SUM(J81:AF81)+SUM(J82:AF82)</f>
        <v>109800</v>
      </c>
      <c r="J80" s="321"/>
      <c r="K80" s="329"/>
      <c r="L80" s="329"/>
      <c r="M80" s="329"/>
      <c r="N80" s="329"/>
      <c r="O80" s="329"/>
      <c r="P80" s="329"/>
      <c r="Q80" s="329"/>
      <c r="R80" s="329"/>
      <c r="S80" s="329"/>
      <c r="T80" s="329">
        <v>39150</v>
      </c>
      <c r="U80" s="329"/>
      <c r="V80" s="329"/>
      <c r="W80" s="329"/>
      <c r="X80" s="329"/>
      <c r="Y80" s="329"/>
      <c r="Z80" s="329"/>
      <c r="AA80" s="329"/>
      <c r="AB80" s="329"/>
      <c r="AC80" s="329"/>
      <c r="AD80" s="329"/>
      <c r="AE80" s="329"/>
      <c r="AF80" s="329"/>
    </row>
    <row r="81" spans="1:32" s="280" customFormat="1" x14ac:dyDescent="0.2">
      <c r="A81" s="487"/>
      <c r="B81" s="489"/>
      <c r="C81" s="350" t="s">
        <v>281</v>
      </c>
      <c r="D81" s="495"/>
      <c r="E81" s="500"/>
      <c r="F81" s="497"/>
      <c r="G81" s="351">
        <v>50</v>
      </c>
      <c r="H81" s="351">
        <v>150</v>
      </c>
      <c r="I81" s="507"/>
      <c r="J81" s="347"/>
      <c r="K81" s="352"/>
      <c r="L81" s="352"/>
      <c r="M81" s="352"/>
      <c r="N81" s="352"/>
      <c r="O81" s="352"/>
      <c r="P81" s="352"/>
      <c r="Q81" s="352"/>
      <c r="R81" s="352"/>
      <c r="S81" s="352"/>
      <c r="T81" s="352">
        <v>37650</v>
      </c>
      <c r="U81" s="352"/>
      <c r="V81" s="352"/>
      <c r="W81" s="352"/>
      <c r="X81" s="352"/>
      <c r="Y81" s="352"/>
      <c r="Z81" s="352"/>
      <c r="AA81" s="352"/>
      <c r="AB81" s="352"/>
      <c r="AC81" s="352"/>
      <c r="AD81" s="352"/>
      <c r="AE81" s="352"/>
      <c r="AF81" s="352"/>
    </row>
    <row r="82" spans="1:32" s="280" customFormat="1" x14ac:dyDescent="0.2">
      <c r="A82" s="439"/>
      <c r="B82" s="490"/>
      <c r="C82" s="353" t="s">
        <v>282</v>
      </c>
      <c r="D82" s="451"/>
      <c r="E82" s="443"/>
      <c r="F82" s="498"/>
      <c r="G82" s="330">
        <v>50</v>
      </c>
      <c r="H82" s="330">
        <v>150</v>
      </c>
      <c r="I82" s="456"/>
      <c r="J82" s="324"/>
      <c r="K82" s="333"/>
      <c r="L82" s="333"/>
      <c r="M82" s="333"/>
      <c r="N82" s="333"/>
      <c r="O82" s="333"/>
      <c r="P82" s="333"/>
      <c r="Q82" s="333"/>
      <c r="R82" s="333"/>
      <c r="S82" s="333"/>
      <c r="T82" s="333">
        <v>33000</v>
      </c>
      <c r="U82" s="333"/>
      <c r="V82" s="333"/>
      <c r="W82" s="333"/>
      <c r="X82" s="333"/>
      <c r="Y82" s="333"/>
      <c r="Z82" s="333"/>
      <c r="AA82" s="333"/>
      <c r="AB82" s="333"/>
      <c r="AC82" s="333"/>
      <c r="AD82" s="333"/>
      <c r="AE82" s="333"/>
      <c r="AF82" s="333"/>
    </row>
    <row r="83" spans="1:32" s="280" customFormat="1" x14ac:dyDescent="0.2">
      <c r="A83" s="446" t="s">
        <v>489</v>
      </c>
      <c r="B83" s="447"/>
      <c r="C83" s="447"/>
      <c r="D83" s="447"/>
      <c r="E83" s="447"/>
      <c r="F83" s="447"/>
      <c r="G83" s="447"/>
      <c r="H83" s="448"/>
      <c r="I83" s="354">
        <f>SUM(J83:AF83)</f>
        <v>21779000</v>
      </c>
      <c r="J83" s="354">
        <f t="shared" ref="J83:AF83" si="3">SUM(J3:J82)</f>
        <v>0</v>
      </c>
      <c r="K83" s="354">
        <f t="shared" si="3"/>
        <v>1187230</v>
      </c>
      <c r="L83" s="354">
        <f t="shared" si="3"/>
        <v>895910</v>
      </c>
      <c r="M83" s="354">
        <f t="shared" si="3"/>
        <v>1177930</v>
      </c>
      <c r="N83" s="354">
        <f t="shared" si="3"/>
        <v>1644940</v>
      </c>
      <c r="O83" s="354">
        <f t="shared" si="3"/>
        <v>712780</v>
      </c>
      <c r="P83" s="354">
        <f t="shared" si="3"/>
        <v>1574470</v>
      </c>
      <c r="Q83" s="354">
        <f t="shared" si="3"/>
        <v>858060</v>
      </c>
      <c r="R83" s="354">
        <f t="shared" si="3"/>
        <v>1016910</v>
      </c>
      <c r="S83" s="354">
        <f t="shared" si="3"/>
        <v>1639055</v>
      </c>
      <c r="T83" s="354">
        <f t="shared" si="3"/>
        <v>1392065</v>
      </c>
      <c r="U83" s="354">
        <f t="shared" si="3"/>
        <v>1490930</v>
      </c>
      <c r="V83" s="354">
        <f t="shared" si="3"/>
        <v>665470</v>
      </c>
      <c r="W83" s="354">
        <f t="shared" si="3"/>
        <v>1643020</v>
      </c>
      <c r="X83" s="354">
        <f t="shared" si="3"/>
        <v>861505</v>
      </c>
      <c r="Y83" s="354">
        <f t="shared" si="3"/>
        <v>866775</v>
      </c>
      <c r="Z83" s="354">
        <f t="shared" si="3"/>
        <v>542055</v>
      </c>
      <c r="AA83" s="354">
        <f t="shared" si="3"/>
        <v>702805</v>
      </c>
      <c r="AB83" s="354">
        <f t="shared" si="3"/>
        <v>448760</v>
      </c>
      <c r="AC83" s="354">
        <f t="shared" si="3"/>
        <v>689550</v>
      </c>
      <c r="AD83" s="354">
        <f t="shared" si="3"/>
        <v>1064130</v>
      </c>
      <c r="AE83" s="354">
        <f t="shared" si="3"/>
        <v>391210</v>
      </c>
      <c r="AF83" s="354">
        <f t="shared" si="3"/>
        <v>313440</v>
      </c>
    </row>
    <row r="84" spans="1:32" x14ac:dyDescent="0.2">
      <c r="A84" s="446" t="s">
        <v>572</v>
      </c>
      <c r="B84" s="447"/>
      <c r="C84" s="447"/>
      <c r="D84" s="447"/>
      <c r="E84" s="447"/>
      <c r="F84" s="447"/>
      <c r="G84" s="447"/>
      <c r="H84" s="448"/>
      <c r="I84" s="354">
        <f>SUM(J84:AF84)</f>
        <v>21789400</v>
      </c>
      <c r="J84" s="354">
        <v>0</v>
      </c>
      <c r="K84" s="354">
        <f>'Moulded-2025-26'!AD70</f>
        <v>1197630</v>
      </c>
      <c r="L84" s="354">
        <f>'Moulded-2024-25'!Q67</f>
        <v>895910</v>
      </c>
      <c r="M84" s="354">
        <f>'Moulded-2024'!P66</f>
        <v>1177930</v>
      </c>
      <c r="N84" s="354">
        <f>'Moulded-2023'!Z67</f>
        <v>1644940</v>
      </c>
      <c r="O84" s="354">
        <f>'Moulded-2022 '!P61</f>
        <v>712780</v>
      </c>
      <c r="P84" s="354">
        <f>'Moulded-2021'!AA58</f>
        <v>1574470</v>
      </c>
      <c r="Q84" s="354">
        <f>'Moulded-2020'!Q58</f>
        <v>858060</v>
      </c>
      <c r="R84" s="354">
        <f>'Moulded-2019'!V54</f>
        <v>1016910</v>
      </c>
      <c r="S84" s="354">
        <f>'Moulded-2018'!S54</f>
        <v>1639055</v>
      </c>
      <c r="T84" s="354">
        <f>'Moulded-2017'!AC59</f>
        <v>1392065</v>
      </c>
      <c r="U84" s="354">
        <f>'Moulded-2016'!V45</f>
        <v>1490930</v>
      </c>
      <c r="V84" s="354">
        <f>'Moulded-2015'!Q48</f>
        <v>665470</v>
      </c>
      <c r="W84" s="354">
        <f>'Moulded-2014'!P48</f>
        <v>1643020</v>
      </c>
      <c r="X84" s="354">
        <f>'Moulded-2013'!P38</f>
        <v>861505</v>
      </c>
      <c r="Y84" s="354">
        <f>'Moulded-2012'!S38</f>
        <v>866775</v>
      </c>
      <c r="Z84" s="354">
        <f>'Moulded-2011'!N39</f>
        <v>542055</v>
      </c>
      <c r="AA84" s="354">
        <f>'Moulded-2010'!S35</f>
        <v>702805</v>
      </c>
      <c r="AB84" s="354">
        <f>'Moulded-2009'!M35</f>
        <v>448760</v>
      </c>
      <c r="AC84" s="354">
        <f>'Moulded-2008'!K35</f>
        <v>689550</v>
      </c>
      <c r="AD84" s="354">
        <f>'Moulded-2007'!L36</f>
        <v>1064130</v>
      </c>
      <c r="AE84" s="354">
        <f>'Moulded-2006'!H36</f>
        <v>391210</v>
      </c>
      <c r="AF84" s="354">
        <f>'Moulded-2005'!F36</f>
        <v>313440</v>
      </c>
    </row>
    <row r="85" spans="1:32" s="387" customFormat="1" x14ac:dyDescent="0.2">
      <c r="A85" s="452" t="s">
        <v>573</v>
      </c>
      <c r="B85" s="453"/>
      <c r="C85" s="453"/>
      <c r="D85" s="453"/>
      <c r="E85" s="453"/>
      <c r="F85" s="453"/>
      <c r="G85" s="453"/>
      <c r="H85" s="454"/>
      <c r="I85" s="386">
        <f>I84-I83</f>
        <v>10400</v>
      </c>
      <c r="J85" s="386">
        <f t="shared" ref="J85:AF85" si="4">J84-J83</f>
        <v>0</v>
      </c>
      <c r="K85" s="386">
        <f t="shared" si="4"/>
        <v>10400</v>
      </c>
      <c r="L85" s="386">
        <f t="shared" si="4"/>
        <v>0</v>
      </c>
      <c r="M85" s="386">
        <f t="shared" si="4"/>
        <v>0</v>
      </c>
      <c r="N85" s="386">
        <f t="shared" si="4"/>
        <v>0</v>
      </c>
      <c r="O85" s="386">
        <f t="shared" si="4"/>
        <v>0</v>
      </c>
      <c r="P85" s="386">
        <f t="shared" si="4"/>
        <v>0</v>
      </c>
      <c r="Q85" s="386">
        <f t="shared" si="4"/>
        <v>0</v>
      </c>
      <c r="R85" s="386">
        <f t="shared" si="4"/>
        <v>0</v>
      </c>
      <c r="S85" s="386">
        <f t="shared" si="4"/>
        <v>0</v>
      </c>
      <c r="T85" s="386">
        <f t="shared" si="4"/>
        <v>0</v>
      </c>
      <c r="U85" s="386">
        <f t="shared" si="4"/>
        <v>0</v>
      </c>
      <c r="V85" s="386">
        <f t="shared" si="4"/>
        <v>0</v>
      </c>
      <c r="W85" s="386">
        <f t="shared" si="4"/>
        <v>0</v>
      </c>
      <c r="X85" s="386">
        <f t="shared" si="4"/>
        <v>0</v>
      </c>
      <c r="Y85" s="386">
        <f t="shared" si="4"/>
        <v>0</v>
      </c>
      <c r="Z85" s="386">
        <f t="shared" si="4"/>
        <v>0</v>
      </c>
      <c r="AA85" s="386">
        <f t="shared" si="4"/>
        <v>0</v>
      </c>
      <c r="AB85" s="386">
        <f t="shared" si="4"/>
        <v>0</v>
      </c>
      <c r="AC85" s="386">
        <f t="shared" si="4"/>
        <v>0</v>
      </c>
      <c r="AD85" s="386">
        <f t="shared" si="4"/>
        <v>0</v>
      </c>
      <c r="AE85" s="386">
        <f t="shared" si="4"/>
        <v>0</v>
      </c>
      <c r="AF85" s="386">
        <f t="shared" si="4"/>
        <v>0</v>
      </c>
    </row>
    <row r="87" spans="1:32" x14ac:dyDescent="0.2">
      <c r="C87" s="385"/>
    </row>
  </sheetData>
  <mergeCells count="116">
    <mergeCell ref="D11:D12"/>
    <mergeCell ref="E11:E12"/>
    <mergeCell ref="E31:E32"/>
    <mergeCell ref="E29:E30"/>
    <mergeCell ref="I34:I35"/>
    <mergeCell ref="I9:I10"/>
    <mergeCell ref="I11:I12"/>
    <mergeCell ref="I80:I82"/>
    <mergeCell ref="I77:I79"/>
    <mergeCell ref="D65:D66"/>
    <mergeCell ref="E65:E66"/>
    <mergeCell ref="E77:E79"/>
    <mergeCell ref="E53:E55"/>
    <mergeCell ref="F53:F55"/>
    <mergeCell ref="F56:F57"/>
    <mergeCell ref="I56:I57"/>
    <mergeCell ref="F9:F10"/>
    <mergeCell ref="D9:D10"/>
    <mergeCell ref="E9:E10"/>
    <mergeCell ref="AG67:AG72"/>
    <mergeCell ref="F34:F35"/>
    <mergeCell ref="F11:F12"/>
    <mergeCell ref="A4:A5"/>
    <mergeCell ref="D4:D5"/>
    <mergeCell ref="E4:E5"/>
    <mergeCell ref="F4:F5"/>
    <mergeCell ref="I4:I5"/>
    <mergeCell ref="B9:B10"/>
    <mergeCell ref="C9:C10"/>
    <mergeCell ref="C11:C12"/>
    <mergeCell ref="B11:B12"/>
    <mergeCell ref="I53:I55"/>
    <mergeCell ref="I43:I44"/>
    <mergeCell ref="I45:I46"/>
    <mergeCell ref="A53:A55"/>
    <mergeCell ref="B53:B54"/>
    <mergeCell ref="C53:C54"/>
    <mergeCell ref="A56:A57"/>
    <mergeCell ref="B56:B57"/>
    <mergeCell ref="C56:C57"/>
    <mergeCell ref="D56:D57"/>
    <mergeCell ref="E56:E57"/>
    <mergeCell ref="D53:D55"/>
    <mergeCell ref="A9:A10"/>
    <mergeCell ref="A11:A12"/>
    <mergeCell ref="A31:A32"/>
    <mergeCell ref="A29:A30"/>
    <mergeCell ref="A34:A35"/>
    <mergeCell ref="D34:D35"/>
    <mergeCell ref="E34:E35"/>
    <mergeCell ref="G34:G35"/>
    <mergeCell ref="A80:A82"/>
    <mergeCell ref="B80:B82"/>
    <mergeCell ref="B77:B79"/>
    <mergeCell ref="A77:A79"/>
    <mergeCell ref="D77:D79"/>
    <mergeCell ref="D80:D82"/>
    <mergeCell ref="F80:F82"/>
    <mergeCell ref="A45:A46"/>
    <mergeCell ref="D45:D46"/>
    <mergeCell ref="E45:E46"/>
    <mergeCell ref="F45:F46"/>
    <mergeCell ref="F77:F79"/>
    <mergeCell ref="A65:A66"/>
    <mergeCell ref="A49:A50"/>
    <mergeCell ref="F65:F66"/>
    <mergeCell ref="E80:E82"/>
    <mergeCell ref="J1:J2"/>
    <mergeCell ref="A1:A2"/>
    <mergeCell ref="B1:B2"/>
    <mergeCell ref="C1:C2"/>
    <mergeCell ref="D1:D2"/>
    <mergeCell ref="E1:E2"/>
    <mergeCell ref="F1:F2"/>
    <mergeCell ref="G1:H1"/>
    <mergeCell ref="I49:I50"/>
    <mergeCell ref="F49:F50"/>
    <mergeCell ref="E49:E50"/>
    <mergeCell ref="D49:D50"/>
    <mergeCell ref="B25:B26"/>
    <mergeCell ref="C25:C26"/>
    <mergeCell ref="B40:B41"/>
    <mergeCell ref="C40:C41"/>
    <mergeCell ref="B34:B36"/>
    <mergeCell ref="C34:C36"/>
    <mergeCell ref="A43:A44"/>
    <mergeCell ref="D43:D44"/>
    <mergeCell ref="E43:E44"/>
    <mergeCell ref="F43:F44"/>
    <mergeCell ref="B7:B8"/>
    <mergeCell ref="C7:C8"/>
    <mergeCell ref="A85:H85"/>
    <mergeCell ref="I59:I60"/>
    <mergeCell ref="A63:A64"/>
    <mergeCell ref="A61:A62"/>
    <mergeCell ref="D61:D62"/>
    <mergeCell ref="E61:E62"/>
    <mergeCell ref="F61:F62"/>
    <mergeCell ref="I65:I66"/>
    <mergeCell ref="I63:I64"/>
    <mergeCell ref="F63:F64"/>
    <mergeCell ref="E63:E64"/>
    <mergeCell ref="D63:D64"/>
    <mergeCell ref="I61:I62"/>
    <mergeCell ref="A83:H83"/>
    <mergeCell ref="C27:C28"/>
    <mergeCell ref="B27:B28"/>
    <mergeCell ref="B37:B38"/>
    <mergeCell ref="C37:C38"/>
    <mergeCell ref="A59:A60"/>
    <mergeCell ref="D59:D60"/>
    <mergeCell ref="E59:E60"/>
    <mergeCell ref="F59:F60"/>
    <mergeCell ref="A84:H84"/>
    <mergeCell ref="D29:D30"/>
    <mergeCell ref="D31:D32"/>
  </mergeCells>
  <phoneticPr fontId="0" type="noConversion"/>
  <pageMargins left="0.5" right="0.5" top="0.5" bottom="0.5" header="0" footer="0"/>
  <pageSetup paperSize="9" orientation="landscape" horizontalDpi="4294967295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13</vt:i4>
      </vt:variant>
    </vt:vector>
  </HeadingPairs>
  <TitlesOfParts>
    <vt:vector size="36" baseType="lpstr">
      <vt:lpstr>Moulded-2005</vt:lpstr>
      <vt:lpstr>Moulded-2006</vt:lpstr>
      <vt:lpstr>Moulded-2007</vt:lpstr>
      <vt:lpstr>Moulded-2008</vt:lpstr>
      <vt:lpstr>Moulded-2009</vt:lpstr>
      <vt:lpstr>Moulded-2010</vt:lpstr>
      <vt:lpstr>Moulded-2011</vt:lpstr>
      <vt:lpstr>Moulded-2012</vt:lpstr>
      <vt:lpstr>Moulded-2013</vt:lpstr>
      <vt:lpstr>Moulded-2014</vt:lpstr>
      <vt:lpstr>Moulded-2015</vt:lpstr>
      <vt:lpstr>Moulded-2016</vt:lpstr>
      <vt:lpstr>Moulded-2017</vt:lpstr>
      <vt:lpstr>Moulded-2018</vt:lpstr>
      <vt:lpstr>Moulded-2019</vt:lpstr>
      <vt:lpstr>Moulded-2020</vt:lpstr>
      <vt:lpstr>Moulded-2021</vt:lpstr>
      <vt:lpstr>Moulded-2022 </vt:lpstr>
      <vt:lpstr>Moulded-2023</vt:lpstr>
      <vt:lpstr>Moulded-2024</vt:lpstr>
      <vt:lpstr>Moulded-2024-25</vt:lpstr>
      <vt:lpstr>Moulded-2025-26</vt:lpstr>
      <vt:lpstr>Moulded</vt:lpstr>
      <vt:lpstr>'Moulded-2014'!Print_Area</vt:lpstr>
      <vt:lpstr>'Moulded-2015'!Print_Area</vt:lpstr>
      <vt:lpstr>'Moulded-2016'!Print_Area</vt:lpstr>
      <vt:lpstr>'Moulded-2017'!Print_Area</vt:lpstr>
      <vt:lpstr>'Moulded-2018'!Print_Area</vt:lpstr>
      <vt:lpstr>'Moulded-2019'!Print_Area</vt:lpstr>
      <vt:lpstr>'Moulded-2020'!Print_Area</vt:lpstr>
      <vt:lpstr>'Moulded-2021'!Print_Area</vt:lpstr>
      <vt:lpstr>'Moulded-2022 '!Print_Area</vt:lpstr>
      <vt:lpstr>'Moulded-2023'!Print_Area</vt:lpstr>
      <vt:lpstr>'Moulded-2024'!Print_Area</vt:lpstr>
      <vt:lpstr>'Moulded-2024-25'!Print_Area</vt:lpstr>
      <vt:lpstr>'Moulded-2025-26'!Print_Area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Jaikvin</dc:creator>
  <cp:lastModifiedBy>Admin</cp:lastModifiedBy>
  <cp:lastPrinted>2026-01-29T08:00:31Z</cp:lastPrinted>
  <dcterms:created xsi:type="dcterms:W3CDTF">2008-09-30T09:18:06Z</dcterms:created>
  <dcterms:modified xsi:type="dcterms:W3CDTF">2026-05-29T10:55:38Z</dcterms:modified>
</cp:coreProperties>
</file>