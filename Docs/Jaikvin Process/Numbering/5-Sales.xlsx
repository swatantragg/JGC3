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Jaikvin Global\Process to Software\Numbering\"/>
    </mc:Choice>
  </mc:AlternateContent>
  <bookViews>
    <workbookView xWindow="-105" yWindow="-105" windowWidth="19425" windowHeight="10545"/>
  </bookViews>
  <sheets>
    <sheet name="SalesPP" sheetId="1" r:id="rId1"/>
    <sheet name="SalesGRN" sheetId="2" r:id="rId2"/>
  </sheets>
  <definedNames>
    <definedName name="_xlnm._FilterDatabase" localSheetId="1" hidden="1">SalesGRN!#REF!</definedName>
    <definedName name="_xlnm._FilterDatabase" localSheetId="0" hidden="1">SalesPP!$B$3:$H$18</definedName>
  </definedNames>
  <calcPr calcId="152511"/>
</workbook>
</file>

<file path=xl/calcChain.xml><?xml version="1.0" encoding="utf-8"?>
<calcChain xmlns="http://schemas.openxmlformats.org/spreadsheetml/2006/main">
  <c r="H22" i="2" l="1"/>
  <c r="K21" i="2"/>
  <c r="M21" i="2" s="1"/>
  <c r="L21" i="2" s="1"/>
  <c r="I21" i="2"/>
  <c r="M20" i="2"/>
  <c r="L20" i="2"/>
  <c r="K20" i="2"/>
  <c r="I20" i="2"/>
  <c r="K19" i="2"/>
  <c r="M19" i="2" s="1"/>
  <c r="L19" i="2" s="1"/>
  <c r="I19" i="2"/>
  <c r="K18" i="2"/>
  <c r="M18" i="2" s="1"/>
  <c r="L18" i="2" s="1"/>
  <c r="I18" i="2"/>
  <c r="M17" i="2"/>
  <c r="L17" i="2"/>
  <c r="K17" i="2"/>
  <c r="I17" i="2"/>
  <c r="K16" i="2"/>
  <c r="M16" i="2" s="1"/>
  <c r="L16" i="2" s="1"/>
  <c r="I16" i="2"/>
  <c r="K15" i="2"/>
  <c r="M15" i="2" s="1"/>
  <c r="L15" i="2" s="1"/>
  <c r="I15" i="2"/>
  <c r="M14" i="2"/>
  <c r="L14" i="2"/>
  <c r="K14" i="2"/>
  <c r="I14" i="2"/>
  <c r="K13" i="2"/>
  <c r="M13" i="2" s="1"/>
  <c r="L13" i="2" s="1"/>
  <c r="I13" i="2"/>
  <c r="K12" i="2"/>
  <c r="M12" i="2" s="1"/>
  <c r="L12" i="2" s="1"/>
  <c r="I12" i="2"/>
  <c r="M11" i="2"/>
  <c r="L11" i="2"/>
  <c r="K11" i="2"/>
  <c r="I11" i="2"/>
  <c r="K10" i="2"/>
  <c r="M10" i="2" s="1"/>
  <c r="L10" i="2" s="1"/>
  <c r="I10" i="2"/>
  <c r="K9" i="2"/>
  <c r="M9" i="2" s="1"/>
  <c r="L9" i="2" s="1"/>
  <c r="I9" i="2"/>
  <c r="M8" i="2"/>
  <c r="L8" i="2"/>
  <c r="K8" i="2"/>
  <c r="I8" i="2"/>
  <c r="K7" i="2"/>
  <c r="M7" i="2" s="1"/>
  <c r="L7" i="2" s="1"/>
  <c r="I7" i="2"/>
  <c r="K6" i="2"/>
  <c r="M6" i="2" s="1"/>
  <c r="L6" i="2" s="1"/>
  <c r="I6" i="2"/>
  <c r="M5" i="2"/>
  <c r="L5" i="2"/>
  <c r="K5" i="2"/>
  <c r="I5" i="2"/>
  <c r="K4" i="2"/>
  <c r="K22" i="2" s="1"/>
  <c r="I4" i="2"/>
  <c r="I22" i="2" s="1"/>
  <c r="M4" i="2" l="1"/>
  <c r="M22" i="2" l="1"/>
  <c r="L4" i="2"/>
  <c r="M18" i="1" l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O7" i="1" l="1"/>
  <c r="N7" i="1" s="1"/>
  <c r="O15" i="1"/>
  <c r="N15" i="1" s="1"/>
  <c r="O14" i="1"/>
  <c r="N14" i="1" s="1"/>
  <c r="O13" i="1"/>
  <c r="N13" i="1" s="1"/>
  <c r="O6" i="1"/>
  <c r="N6" i="1" s="1"/>
  <c r="O18" i="1"/>
  <c r="N18" i="1" s="1"/>
  <c r="O12" i="1"/>
  <c r="N12" i="1" s="1"/>
  <c r="O11" i="1"/>
  <c r="N11" i="1" s="1"/>
  <c r="O10" i="1"/>
  <c r="N10" i="1" s="1"/>
  <c r="O5" i="1"/>
  <c r="N5" i="1" s="1"/>
  <c r="O4" i="1"/>
  <c r="N4" i="1" s="1"/>
  <c r="O17" i="1"/>
  <c r="N17" i="1" s="1"/>
  <c r="O16" i="1"/>
  <c r="N16" i="1" s="1"/>
  <c r="O9" i="1"/>
  <c r="N9" i="1" s="1"/>
  <c r="O8" i="1"/>
  <c r="N8" i="1" s="1"/>
  <c r="J19" i="1" l="1"/>
  <c r="K14" i="1"/>
  <c r="K13" i="1"/>
  <c r="K18" i="1"/>
  <c r="K17" i="1"/>
  <c r="K16" i="1"/>
  <c r="K15" i="1"/>
  <c r="K8" i="1"/>
  <c r="K4" i="1"/>
  <c r="K11" i="1"/>
  <c r="K7" i="1"/>
  <c r="K12" i="1"/>
  <c r="K6" i="1"/>
  <c r="K10" i="1"/>
  <c r="K9" i="1"/>
  <c r="K5" i="1"/>
  <c r="M19" i="1"/>
  <c r="K19" i="1" l="1"/>
  <c r="O19" i="1" l="1"/>
</calcChain>
</file>

<file path=xl/sharedStrings.xml><?xml version="1.0" encoding="utf-8"?>
<sst xmlns="http://schemas.openxmlformats.org/spreadsheetml/2006/main" count="179" uniqueCount="115">
  <si>
    <t>CODE</t>
  </si>
  <si>
    <t>DESCRIPTION</t>
  </si>
  <si>
    <t>PACKING</t>
  </si>
  <si>
    <t xml:space="preserve">UNIT </t>
  </si>
  <si>
    <t>BOX</t>
  </si>
  <si>
    <t>Bar Codes</t>
  </si>
  <si>
    <t>9319696015030</t>
  </si>
  <si>
    <t>9319696150106</t>
  </si>
  <si>
    <t>9319696015054</t>
  </si>
  <si>
    <t>9319696150649</t>
  </si>
  <si>
    <t xml:space="preserve">GD CODE </t>
  </si>
  <si>
    <t>SIZE</t>
  </si>
  <si>
    <t>LENGTH</t>
  </si>
  <si>
    <t>MM</t>
  </si>
  <si>
    <t>Quantity</t>
  </si>
  <si>
    <t>Pcs</t>
  </si>
  <si>
    <t>Box</t>
  </si>
  <si>
    <t>9319696150144</t>
  </si>
  <si>
    <t>9319696020027</t>
  </si>
  <si>
    <t>9319696020034</t>
  </si>
  <si>
    <t>9319696200139</t>
  </si>
  <si>
    <t>PP 1503 P/RISER M X M
80 x 15MM</t>
  </si>
  <si>
    <t>PP 1505 P/RISER M X M
125 x 15MM</t>
  </si>
  <si>
    <t>CUT 15 Flexi Cut Off Riser
15MM</t>
  </si>
  <si>
    <t>CUTMF 15 M/F Cut Off Riser
15MM</t>
  </si>
  <si>
    <t>PP 2002 P/RISER M X M
50 X 20MM</t>
  </si>
  <si>
    <t>PP 2003 P/RISER M X M
80 X 20MM</t>
  </si>
  <si>
    <t>FFC 20 F/F Couplings
20MM</t>
  </si>
  <si>
    <t>MFA 15 M/F Adaptors
15MM</t>
  </si>
  <si>
    <t>TOTAL</t>
  </si>
  <si>
    <t>PP 2006 P/RISER M X M
150 X 20MM</t>
  </si>
  <si>
    <t>9319696020065</t>
  </si>
  <si>
    <t>Total</t>
  </si>
  <si>
    <t>9313146000454</t>
  </si>
  <si>
    <t>PPA 1506 ARTIC. P/RISER 
150 X 15MM</t>
  </si>
  <si>
    <t>9319696215065</t>
  </si>
  <si>
    <t>PPA 1508 ARTIC. P/RISER
200 X 15MM</t>
  </si>
  <si>
    <t>9319696215089</t>
  </si>
  <si>
    <t>PPA 2008 ARTIC. P/RISER
200 X 20MM</t>
  </si>
  <si>
    <t>9319696220083</t>
  </si>
  <si>
    <t>PP 2504 P/RISER M X M
100 X 25MM</t>
  </si>
  <si>
    <t>9319696025046</t>
  </si>
  <si>
    <t>PP 2506 P/RISER M X M
150 X 25MM</t>
  </si>
  <si>
    <t>9391696025060</t>
  </si>
  <si>
    <t>1"</t>
  </si>
  <si>
    <t>RBI REFERENCE</t>
  </si>
  <si>
    <t>RATE @ Rs.</t>
  </si>
  <si>
    <t>Unit</t>
  </si>
  <si>
    <t>GL CODE</t>
  </si>
  <si>
    <t>8109-04</t>
  </si>
  <si>
    <t>8109-10</t>
  </si>
  <si>
    <t>8109-05</t>
  </si>
  <si>
    <t>PP1503</t>
  </si>
  <si>
    <t>PP1505</t>
  </si>
  <si>
    <t>PPA1506</t>
  </si>
  <si>
    <t>PPA1508</t>
  </si>
  <si>
    <t>CUT15</t>
  </si>
  <si>
    <t>CUTMF15</t>
  </si>
  <si>
    <t>PP2002</t>
  </si>
  <si>
    <t>PP2003</t>
  </si>
  <si>
    <t>PP2006</t>
  </si>
  <si>
    <t>PPA2008</t>
  </si>
  <si>
    <t>FFC20</t>
  </si>
  <si>
    <t>PP2504</t>
  </si>
  <si>
    <t>PP2506</t>
  </si>
  <si>
    <t>PP2506PH</t>
  </si>
  <si>
    <t>MFA15</t>
  </si>
  <si>
    <t>06.02.2023</t>
  </si>
  <si>
    <t>90443200 P/RISER M X M
1" x 1" x 150 MM</t>
  </si>
  <si>
    <t>FOB/100 PCS US$</t>
  </si>
  <si>
    <t>PO NO : 03455 DT 16.02.2026</t>
  </si>
  <si>
    <t>01.01.2025</t>
  </si>
  <si>
    <t>GRC40</t>
  </si>
  <si>
    <t>40MM CAP</t>
  </si>
  <si>
    <t>GRE15</t>
  </si>
  <si>
    <t>15MM F/F ELBOW</t>
  </si>
  <si>
    <t>GRE20</t>
  </si>
  <si>
    <t>20MM F/F ELBOW</t>
  </si>
  <si>
    <t>GRE25</t>
  </si>
  <si>
    <t>25MM F/F ELBOW</t>
  </si>
  <si>
    <t>GRFTF-15</t>
  </si>
  <si>
    <t>15 mm GR F/M TANK FITTING</t>
  </si>
  <si>
    <t>9319696500208</t>
  </si>
  <si>
    <t>GRFTF-20</t>
  </si>
  <si>
    <t>20 mm GR F/M TANK FITTING</t>
  </si>
  <si>
    <t>9319696500307</t>
  </si>
  <si>
    <t>GRFTF-25</t>
  </si>
  <si>
    <t>25 mm GR F/M TANK FITTING</t>
  </si>
  <si>
    <t>9319696500406</t>
  </si>
  <si>
    <t>GRMHT15</t>
  </si>
  <si>
    <t>15MM MALE HOSE TAIL</t>
  </si>
  <si>
    <t>GRMHT20</t>
  </si>
  <si>
    <t>20MM MALE HOSE TAIL</t>
  </si>
  <si>
    <t>GRMHT25</t>
  </si>
  <si>
    <t>25MM MALE HOSE TAIL</t>
  </si>
  <si>
    <t>GRN15</t>
  </si>
  <si>
    <t>15MM NIPPLE</t>
  </si>
  <si>
    <t>GRN20</t>
  </si>
  <si>
    <t>20MM NIPPLE</t>
  </si>
  <si>
    <t>GRN25</t>
  </si>
  <si>
    <t>25MM NIPPLE</t>
  </si>
  <si>
    <t>GRRB2015</t>
  </si>
  <si>
    <t>20*15</t>
  </si>
  <si>
    <t>20 X 15MM RED. BUSH</t>
  </si>
  <si>
    <t>GRRB2515</t>
  </si>
  <si>
    <t>25*15</t>
  </si>
  <si>
    <t>25 X 15MM RED. BUSH</t>
  </si>
  <si>
    <t>GRRB2520</t>
  </si>
  <si>
    <t>25*20</t>
  </si>
  <si>
    <t>25 X 20MM RED. BUSH</t>
  </si>
  <si>
    <t>GRRB4025</t>
  </si>
  <si>
    <t>40*25</t>
  </si>
  <si>
    <t>40 X 25MM RED. BUSH</t>
  </si>
  <si>
    <t>GRS20</t>
  </si>
  <si>
    <t>20MM SOCKET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</si>
</sst>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&quot;Rs.&quot;\ #,##0.00"/>
    <numFmt numFmtId="166" formatCode="&quot;₹&quot;\ #,##0.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57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9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2" fillId="0" borderId="4" xfId="0" applyFont="1" applyFill="1" applyBorder="1" applyAlignment="1">
      <alignment vertical="center" wrapText="1"/>
    </xf>
    <xf numFmtId="0" fontId="0" fillId="0" borderId="0" xfId="0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2" xfId="0" quotePrefix="1" applyFont="1" applyFill="1" applyBorder="1" applyAlignment="1">
      <alignment horizontal="center" vertical="center"/>
    </xf>
    <xf numFmtId="166" fontId="0" fillId="0" borderId="1" xfId="0" applyNumberFormat="1" applyFill="1" applyBorder="1" applyAlignment="1">
      <alignment vertical="center"/>
    </xf>
    <xf numFmtId="166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shrinkToFit="1"/>
    </xf>
    <xf numFmtId="164" fontId="2" fillId="0" borderId="1" xfId="1" applyNumberFormat="1" applyFont="1" applyFill="1" applyBorder="1" applyAlignment="1">
      <alignment vertical="center"/>
    </xf>
    <xf numFmtId="164" fontId="2" fillId="0" borderId="1" xfId="1" applyNumberFormat="1" applyFill="1" applyBorder="1" applyAlignment="1">
      <alignment vertical="center"/>
    </xf>
    <xf numFmtId="165" fontId="0" fillId="0" borderId="1" xfId="0" applyNumberFormat="1" applyFill="1" applyBorder="1" applyAlignment="1">
      <alignment vertical="center"/>
    </xf>
    <xf numFmtId="166" fontId="1" fillId="0" borderId="1" xfId="1" applyNumberFormat="1" applyFont="1" applyFill="1" applyBorder="1" applyAlignment="1">
      <alignment vertical="center"/>
    </xf>
    <xf numFmtId="164" fontId="1" fillId="0" borderId="1" xfId="1" applyNumberFormat="1" applyFont="1" applyFill="1" applyBorder="1" applyAlignment="1">
      <alignment vertical="center"/>
    </xf>
    <xf numFmtId="165" fontId="1" fillId="0" borderId="0" xfId="1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65" fontId="1" fillId="0" borderId="1" xfId="0" applyNumberFormat="1" applyFont="1" applyFill="1" applyBorder="1" applyAlignment="1">
      <alignment vertical="center" shrinkToFit="1"/>
    </xf>
    <xf numFmtId="166" fontId="1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shrinkToFit="1"/>
    </xf>
    <xf numFmtId="0" fontId="2" fillId="0" borderId="1" xfId="0" quotePrefix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/>
    </xf>
    <xf numFmtId="164" fontId="0" fillId="0" borderId="1" xfId="0" applyNumberFormat="1" applyFill="1" applyBorder="1" applyAlignment="1">
      <alignment vertical="center"/>
    </xf>
    <xf numFmtId="4" fontId="0" fillId="0" borderId="0" xfId="0" applyNumberFormat="1" applyFill="1" applyAlignment="1">
      <alignment vertical="center"/>
    </xf>
    <xf numFmtId="2" fontId="0" fillId="0" borderId="0" xfId="0" applyNumberFormat="1" applyFill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5" fontId="1" fillId="0" borderId="1" xfId="1" applyNumberFormat="1" applyFont="1" applyBorder="1" applyAlignment="1">
      <alignment vertical="center"/>
    </xf>
    <xf numFmtId="166" fontId="1" fillId="0" borderId="1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O19"/>
  <sheetViews>
    <sheetView tabSelected="1" workbookViewId="0">
      <selection sqref="A1:K1"/>
    </sheetView>
  </sheetViews>
  <sheetFormatPr defaultColWidth="9.140625" defaultRowHeight="12.75" x14ac:dyDescent="0.2"/>
  <cols>
    <col min="1" max="1" width="13.42578125" style="4" bestFit="1" customWidth="1"/>
    <col min="2" max="2" width="11.28515625" style="4" bestFit="1" customWidth="1"/>
    <col min="3" max="3" width="13.42578125" style="4" customWidth="1"/>
    <col min="4" max="4" width="5.140625" style="4" bestFit="1" customWidth="1"/>
    <col min="5" max="5" width="8.5703125" style="4" bestFit="1" customWidth="1"/>
    <col min="6" max="6" width="6" style="11" bestFit="1" customWidth="1"/>
    <col min="7" max="7" width="6.28515625" style="11" bestFit="1" customWidth="1"/>
    <col min="8" max="8" width="32.7109375" style="4" bestFit="1" customWidth="1"/>
    <col min="9" max="9" width="14.140625" style="4" bestFit="1" customWidth="1"/>
    <col min="10" max="10" width="7" style="4" bestFit="1" customWidth="1"/>
    <col min="11" max="11" width="7.28515625" style="4" bestFit="1" customWidth="1"/>
    <col min="12" max="16384" width="9.140625" style="4"/>
  </cols>
  <sheetData>
    <row r="1" spans="1:15" x14ac:dyDescent="0.2">
      <c r="A1" s="45" t="s">
        <v>70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0" t="s">
        <v>67</v>
      </c>
      <c r="M1" s="40"/>
      <c r="N1" s="44"/>
      <c r="O1" s="44"/>
    </row>
    <row r="2" spans="1:15" ht="19.5" customHeight="1" x14ac:dyDescent="0.2">
      <c r="A2" s="16" t="s">
        <v>0</v>
      </c>
      <c r="B2" s="16" t="s">
        <v>10</v>
      </c>
      <c r="C2" s="17" t="s">
        <v>48</v>
      </c>
      <c r="D2" s="18" t="s">
        <v>11</v>
      </c>
      <c r="E2" s="18" t="s">
        <v>12</v>
      </c>
      <c r="F2" s="41" t="s">
        <v>2</v>
      </c>
      <c r="G2" s="42"/>
      <c r="H2" s="16" t="s">
        <v>1</v>
      </c>
      <c r="I2" s="18" t="s">
        <v>5</v>
      </c>
      <c r="J2" s="41" t="s">
        <v>14</v>
      </c>
      <c r="K2" s="42"/>
      <c r="L2" s="43" t="s">
        <v>69</v>
      </c>
      <c r="M2" s="43"/>
      <c r="N2" s="43" t="s">
        <v>45</v>
      </c>
      <c r="O2" s="43"/>
    </row>
    <row r="3" spans="1:15" ht="19.5" customHeight="1" x14ac:dyDescent="0.2">
      <c r="A3" s="6"/>
      <c r="B3" s="6"/>
      <c r="C3" s="19"/>
      <c r="D3" s="18" t="s">
        <v>13</v>
      </c>
      <c r="E3" s="18" t="s">
        <v>13</v>
      </c>
      <c r="F3" s="18" t="s">
        <v>3</v>
      </c>
      <c r="G3" s="18" t="s">
        <v>4</v>
      </c>
      <c r="H3" s="1"/>
      <c r="I3" s="18"/>
      <c r="J3" s="18" t="s">
        <v>15</v>
      </c>
      <c r="K3" s="18" t="s">
        <v>16</v>
      </c>
      <c r="L3" s="18" t="s">
        <v>47</v>
      </c>
      <c r="M3" s="18" t="s">
        <v>32</v>
      </c>
      <c r="N3" s="31" t="s">
        <v>46</v>
      </c>
      <c r="O3" s="30"/>
    </row>
    <row r="4" spans="1:15" ht="25.5" x14ac:dyDescent="0.2">
      <c r="A4" s="7" t="s">
        <v>56</v>
      </c>
      <c r="B4" s="7" t="s">
        <v>56</v>
      </c>
      <c r="C4" s="20" t="s">
        <v>49</v>
      </c>
      <c r="D4" s="18">
        <v>15</v>
      </c>
      <c r="E4" s="18"/>
      <c r="F4" s="19">
        <v>50</v>
      </c>
      <c r="G4" s="19">
        <v>550</v>
      </c>
      <c r="H4" s="3" t="s">
        <v>23</v>
      </c>
      <c r="I4" s="25" t="s">
        <v>9</v>
      </c>
      <c r="J4" s="6">
        <v>3300</v>
      </c>
      <c r="K4" s="6">
        <f t="shared" ref="K4:K18" si="0">J4/G4</f>
        <v>6</v>
      </c>
      <c r="L4" s="32">
        <v>8.5</v>
      </c>
      <c r="M4" s="33">
        <f t="shared" ref="M4:M18" si="1">J4*L4/100</f>
        <v>280.5</v>
      </c>
      <c r="N4" s="34">
        <f t="shared" ref="N4:N18" si="2">O4/J4</f>
        <v>0</v>
      </c>
      <c r="O4" s="29">
        <f t="shared" ref="O4:O18" si="3">M4*$O$3</f>
        <v>0</v>
      </c>
    </row>
    <row r="5" spans="1:15" ht="25.5" x14ac:dyDescent="0.2">
      <c r="A5" s="7" t="s">
        <v>57</v>
      </c>
      <c r="B5" s="7" t="s">
        <v>57</v>
      </c>
      <c r="C5" s="20" t="s">
        <v>49</v>
      </c>
      <c r="D5" s="18">
        <v>15</v>
      </c>
      <c r="E5" s="18"/>
      <c r="F5" s="19">
        <v>50</v>
      </c>
      <c r="G5" s="19">
        <v>1200</v>
      </c>
      <c r="H5" s="3" t="s">
        <v>24</v>
      </c>
      <c r="I5" s="25" t="s">
        <v>17</v>
      </c>
      <c r="J5" s="6">
        <v>9600</v>
      </c>
      <c r="K5" s="6">
        <f t="shared" si="0"/>
        <v>8</v>
      </c>
      <c r="L5" s="32">
        <v>4.5</v>
      </c>
      <c r="M5" s="33">
        <f t="shared" si="1"/>
        <v>432</v>
      </c>
      <c r="N5" s="34">
        <f t="shared" si="2"/>
        <v>0</v>
      </c>
      <c r="O5" s="29">
        <f t="shared" si="3"/>
        <v>0</v>
      </c>
    </row>
    <row r="6" spans="1:15" ht="25.5" x14ac:dyDescent="0.2">
      <c r="A6" s="7" t="s">
        <v>62</v>
      </c>
      <c r="B6" s="7" t="s">
        <v>62</v>
      </c>
      <c r="C6" s="20" t="s">
        <v>49</v>
      </c>
      <c r="D6" s="18">
        <v>20</v>
      </c>
      <c r="E6" s="18"/>
      <c r="F6" s="19">
        <v>10</v>
      </c>
      <c r="G6" s="19">
        <v>800</v>
      </c>
      <c r="H6" s="2" t="s">
        <v>27</v>
      </c>
      <c r="I6" s="25" t="s">
        <v>20</v>
      </c>
      <c r="J6" s="6">
        <v>1600</v>
      </c>
      <c r="K6" s="6">
        <f t="shared" si="0"/>
        <v>2</v>
      </c>
      <c r="L6" s="32">
        <v>3</v>
      </c>
      <c r="M6" s="33">
        <f t="shared" si="1"/>
        <v>48</v>
      </c>
      <c r="N6" s="34">
        <f t="shared" si="2"/>
        <v>0</v>
      </c>
      <c r="O6" s="29">
        <f t="shared" si="3"/>
        <v>0</v>
      </c>
    </row>
    <row r="7" spans="1:15" ht="25.5" x14ac:dyDescent="0.2">
      <c r="A7" s="7" t="s">
        <v>66</v>
      </c>
      <c r="B7" s="7" t="s">
        <v>66</v>
      </c>
      <c r="C7" s="20" t="s">
        <v>49</v>
      </c>
      <c r="D7" s="18">
        <v>15</v>
      </c>
      <c r="E7" s="18"/>
      <c r="F7" s="19">
        <v>50</v>
      </c>
      <c r="G7" s="19">
        <v>1750</v>
      </c>
      <c r="H7" s="3" t="s">
        <v>28</v>
      </c>
      <c r="I7" s="25" t="s">
        <v>7</v>
      </c>
      <c r="J7" s="6">
        <v>1750</v>
      </c>
      <c r="K7" s="6">
        <f t="shared" si="0"/>
        <v>1</v>
      </c>
      <c r="L7" s="32">
        <v>3</v>
      </c>
      <c r="M7" s="33">
        <f t="shared" si="1"/>
        <v>52.5</v>
      </c>
      <c r="N7" s="34">
        <f t="shared" si="2"/>
        <v>0</v>
      </c>
      <c r="O7" s="29">
        <f t="shared" si="3"/>
        <v>0</v>
      </c>
    </row>
    <row r="8" spans="1:15" ht="25.5" x14ac:dyDescent="0.2">
      <c r="A8" s="7" t="s">
        <v>52</v>
      </c>
      <c r="B8" s="7" t="s">
        <v>52</v>
      </c>
      <c r="C8" s="22" t="s">
        <v>49</v>
      </c>
      <c r="D8" s="18">
        <v>15</v>
      </c>
      <c r="E8" s="18">
        <v>80</v>
      </c>
      <c r="F8" s="19">
        <v>50</v>
      </c>
      <c r="G8" s="19">
        <v>1100</v>
      </c>
      <c r="H8" s="3" t="s">
        <v>21</v>
      </c>
      <c r="I8" s="25" t="s">
        <v>6</v>
      </c>
      <c r="J8" s="6">
        <v>19800</v>
      </c>
      <c r="K8" s="6">
        <f t="shared" si="0"/>
        <v>18</v>
      </c>
      <c r="L8" s="32">
        <v>3</v>
      </c>
      <c r="M8" s="33">
        <f t="shared" si="1"/>
        <v>594</v>
      </c>
      <c r="N8" s="34">
        <f t="shared" si="2"/>
        <v>0</v>
      </c>
      <c r="O8" s="29">
        <f t="shared" si="3"/>
        <v>0</v>
      </c>
    </row>
    <row r="9" spans="1:15" ht="25.5" x14ac:dyDescent="0.2">
      <c r="A9" s="7" t="s">
        <v>53</v>
      </c>
      <c r="B9" s="7" t="s">
        <v>53</v>
      </c>
      <c r="C9" s="22" t="s">
        <v>49</v>
      </c>
      <c r="D9" s="18">
        <v>15</v>
      </c>
      <c r="E9" s="18">
        <v>125</v>
      </c>
      <c r="F9" s="19">
        <v>50</v>
      </c>
      <c r="G9" s="19">
        <v>800</v>
      </c>
      <c r="H9" s="3" t="s">
        <v>22</v>
      </c>
      <c r="I9" s="25" t="s">
        <v>8</v>
      </c>
      <c r="J9" s="6">
        <v>9600</v>
      </c>
      <c r="K9" s="6">
        <f t="shared" si="0"/>
        <v>12</v>
      </c>
      <c r="L9" s="32">
        <v>5</v>
      </c>
      <c r="M9" s="33">
        <f t="shared" si="1"/>
        <v>480</v>
      </c>
      <c r="N9" s="34">
        <f t="shared" si="2"/>
        <v>0</v>
      </c>
      <c r="O9" s="29">
        <f t="shared" si="3"/>
        <v>0</v>
      </c>
    </row>
    <row r="10" spans="1:15" ht="25.5" x14ac:dyDescent="0.2">
      <c r="A10" s="7" t="s">
        <v>58</v>
      </c>
      <c r="B10" s="7" t="s">
        <v>58</v>
      </c>
      <c r="C10" s="20" t="s">
        <v>49</v>
      </c>
      <c r="D10" s="18">
        <v>20</v>
      </c>
      <c r="E10" s="18">
        <v>50</v>
      </c>
      <c r="F10" s="19">
        <v>10</v>
      </c>
      <c r="G10" s="19">
        <v>1300</v>
      </c>
      <c r="H10" s="3" t="s">
        <v>25</v>
      </c>
      <c r="I10" s="25" t="s">
        <v>18</v>
      </c>
      <c r="J10" s="6">
        <v>2600</v>
      </c>
      <c r="K10" s="6">
        <f t="shared" si="0"/>
        <v>2</v>
      </c>
      <c r="L10" s="32">
        <v>4</v>
      </c>
      <c r="M10" s="33">
        <f t="shared" si="1"/>
        <v>104</v>
      </c>
      <c r="N10" s="34">
        <f t="shared" si="2"/>
        <v>0</v>
      </c>
      <c r="O10" s="29">
        <f t="shared" si="3"/>
        <v>0</v>
      </c>
    </row>
    <row r="11" spans="1:15" ht="25.5" x14ac:dyDescent="0.2">
      <c r="A11" s="7" t="s">
        <v>59</v>
      </c>
      <c r="B11" s="7" t="s">
        <v>59</v>
      </c>
      <c r="C11" s="20" t="s">
        <v>49</v>
      </c>
      <c r="D11" s="18">
        <v>20</v>
      </c>
      <c r="E11" s="18">
        <v>80</v>
      </c>
      <c r="F11" s="19">
        <v>10</v>
      </c>
      <c r="G11" s="19">
        <v>800</v>
      </c>
      <c r="H11" s="3" t="s">
        <v>26</v>
      </c>
      <c r="I11" s="25" t="s">
        <v>19</v>
      </c>
      <c r="J11" s="6">
        <v>1600</v>
      </c>
      <c r="K11" s="6">
        <f t="shared" si="0"/>
        <v>2</v>
      </c>
      <c r="L11" s="32">
        <v>5</v>
      </c>
      <c r="M11" s="33">
        <f t="shared" si="1"/>
        <v>80</v>
      </c>
      <c r="N11" s="34">
        <f t="shared" si="2"/>
        <v>0</v>
      </c>
      <c r="O11" s="29">
        <f t="shared" si="3"/>
        <v>0</v>
      </c>
    </row>
    <row r="12" spans="1:15" ht="25.5" x14ac:dyDescent="0.2">
      <c r="A12" s="7" t="s">
        <v>60</v>
      </c>
      <c r="B12" s="7" t="s">
        <v>60</v>
      </c>
      <c r="C12" s="20" t="s">
        <v>49</v>
      </c>
      <c r="D12" s="18">
        <v>20</v>
      </c>
      <c r="E12" s="18">
        <v>150</v>
      </c>
      <c r="F12" s="19">
        <v>10</v>
      </c>
      <c r="G12" s="19">
        <v>450</v>
      </c>
      <c r="H12" s="3" t="s">
        <v>30</v>
      </c>
      <c r="I12" s="25" t="s">
        <v>31</v>
      </c>
      <c r="J12" s="6">
        <v>1800</v>
      </c>
      <c r="K12" s="6">
        <f t="shared" si="0"/>
        <v>4</v>
      </c>
      <c r="L12" s="32">
        <v>9</v>
      </c>
      <c r="M12" s="33">
        <f t="shared" si="1"/>
        <v>162</v>
      </c>
      <c r="N12" s="34">
        <f t="shared" si="2"/>
        <v>0</v>
      </c>
      <c r="O12" s="29">
        <f t="shared" si="3"/>
        <v>0</v>
      </c>
    </row>
    <row r="13" spans="1:15" ht="25.5" x14ac:dyDescent="0.2">
      <c r="A13" s="12" t="s">
        <v>63</v>
      </c>
      <c r="B13" s="12" t="s">
        <v>63</v>
      </c>
      <c r="C13" s="22" t="s">
        <v>51</v>
      </c>
      <c r="D13" s="17">
        <v>25</v>
      </c>
      <c r="E13" s="17">
        <v>100</v>
      </c>
      <c r="F13" s="23">
        <v>10</v>
      </c>
      <c r="G13" s="23">
        <v>400</v>
      </c>
      <c r="H13" s="14" t="s">
        <v>40</v>
      </c>
      <c r="I13" s="26" t="s">
        <v>41</v>
      </c>
      <c r="J13" s="6">
        <v>800</v>
      </c>
      <c r="K13" s="6">
        <f t="shared" si="0"/>
        <v>2</v>
      </c>
      <c r="L13" s="32">
        <v>10</v>
      </c>
      <c r="M13" s="33">
        <f t="shared" si="1"/>
        <v>80</v>
      </c>
      <c r="N13" s="34">
        <f t="shared" si="2"/>
        <v>0</v>
      </c>
      <c r="O13" s="29">
        <f t="shared" si="3"/>
        <v>0</v>
      </c>
    </row>
    <row r="14" spans="1:15" ht="25.5" x14ac:dyDescent="0.2">
      <c r="A14" s="12" t="s">
        <v>64</v>
      </c>
      <c r="B14" s="12" t="s">
        <v>64</v>
      </c>
      <c r="C14" s="22" t="s">
        <v>51</v>
      </c>
      <c r="D14" s="17">
        <v>25</v>
      </c>
      <c r="E14" s="17">
        <v>150</v>
      </c>
      <c r="F14" s="19">
        <v>10</v>
      </c>
      <c r="G14" s="19">
        <v>300</v>
      </c>
      <c r="H14" s="14" t="s">
        <v>42</v>
      </c>
      <c r="I14" s="27" t="s">
        <v>43</v>
      </c>
      <c r="J14" s="6">
        <v>300</v>
      </c>
      <c r="K14" s="6">
        <f t="shared" si="0"/>
        <v>1</v>
      </c>
      <c r="L14" s="32">
        <v>11</v>
      </c>
      <c r="M14" s="33">
        <f t="shared" si="1"/>
        <v>33</v>
      </c>
      <c r="N14" s="34">
        <f t="shared" si="2"/>
        <v>0</v>
      </c>
      <c r="O14" s="29">
        <f t="shared" si="3"/>
        <v>0</v>
      </c>
    </row>
    <row r="15" spans="1:15" ht="25.5" x14ac:dyDescent="0.2">
      <c r="A15" s="1">
        <v>90443200</v>
      </c>
      <c r="B15" s="1" t="s">
        <v>65</v>
      </c>
      <c r="C15" s="18" t="s">
        <v>51</v>
      </c>
      <c r="D15" s="18" t="s">
        <v>44</v>
      </c>
      <c r="E15" s="18">
        <v>150</v>
      </c>
      <c r="F15" s="19">
        <v>10</v>
      </c>
      <c r="G15" s="19">
        <v>300</v>
      </c>
      <c r="H15" s="3" t="s">
        <v>68</v>
      </c>
      <c r="I15" s="28" t="s">
        <v>33</v>
      </c>
      <c r="J15" s="6">
        <v>900</v>
      </c>
      <c r="K15" s="6">
        <f t="shared" si="0"/>
        <v>3</v>
      </c>
      <c r="L15" s="32">
        <v>12</v>
      </c>
      <c r="M15" s="33">
        <f t="shared" si="1"/>
        <v>108</v>
      </c>
      <c r="N15" s="34">
        <f t="shared" si="2"/>
        <v>0</v>
      </c>
      <c r="O15" s="29">
        <f t="shared" si="3"/>
        <v>0</v>
      </c>
    </row>
    <row r="16" spans="1:15" ht="25.5" x14ac:dyDescent="0.2">
      <c r="A16" s="12" t="s">
        <v>54</v>
      </c>
      <c r="B16" s="12" t="s">
        <v>54</v>
      </c>
      <c r="C16" s="20" t="s">
        <v>50</v>
      </c>
      <c r="D16" s="17">
        <v>15</v>
      </c>
      <c r="E16" s="17">
        <v>150</v>
      </c>
      <c r="F16" s="24">
        <v>10</v>
      </c>
      <c r="G16" s="21">
        <v>130</v>
      </c>
      <c r="H16" s="13" t="s">
        <v>34</v>
      </c>
      <c r="I16" s="27" t="s">
        <v>35</v>
      </c>
      <c r="J16" s="6">
        <v>1950</v>
      </c>
      <c r="K16" s="6">
        <f t="shared" si="0"/>
        <v>15</v>
      </c>
      <c r="L16" s="32">
        <v>14</v>
      </c>
      <c r="M16" s="33">
        <f t="shared" si="1"/>
        <v>273</v>
      </c>
      <c r="N16" s="34">
        <f t="shared" si="2"/>
        <v>0</v>
      </c>
      <c r="O16" s="29">
        <f t="shared" si="3"/>
        <v>0</v>
      </c>
    </row>
    <row r="17" spans="1:15" ht="25.5" x14ac:dyDescent="0.2">
      <c r="A17" s="12" t="s">
        <v>55</v>
      </c>
      <c r="B17" s="12" t="s">
        <v>55</v>
      </c>
      <c r="C17" s="20" t="s">
        <v>50</v>
      </c>
      <c r="D17" s="17">
        <v>15</v>
      </c>
      <c r="E17" s="17">
        <v>200</v>
      </c>
      <c r="F17" s="21">
        <v>10</v>
      </c>
      <c r="G17" s="21">
        <v>110</v>
      </c>
      <c r="H17" s="13" t="s">
        <v>36</v>
      </c>
      <c r="I17" s="27" t="s">
        <v>37</v>
      </c>
      <c r="J17" s="6">
        <v>550</v>
      </c>
      <c r="K17" s="6">
        <f t="shared" si="0"/>
        <v>5</v>
      </c>
      <c r="L17" s="32">
        <v>15</v>
      </c>
      <c r="M17" s="33">
        <f t="shared" si="1"/>
        <v>82.5</v>
      </c>
      <c r="N17" s="34">
        <f t="shared" si="2"/>
        <v>0</v>
      </c>
      <c r="O17" s="29">
        <f t="shared" si="3"/>
        <v>0</v>
      </c>
    </row>
    <row r="18" spans="1:15" ht="25.5" x14ac:dyDescent="0.2">
      <c r="A18" s="12" t="s">
        <v>61</v>
      </c>
      <c r="B18" s="12" t="s">
        <v>61</v>
      </c>
      <c r="C18" s="20" t="s">
        <v>50</v>
      </c>
      <c r="D18" s="17">
        <v>20</v>
      </c>
      <c r="E18" s="17">
        <v>200</v>
      </c>
      <c r="F18" s="21">
        <v>5</v>
      </c>
      <c r="G18" s="21">
        <v>75</v>
      </c>
      <c r="H18" s="13" t="s">
        <v>38</v>
      </c>
      <c r="I18" s="27" t="s">
        <v>39</v>
      </c>
      <c r="J18" s="6">
        <v>300</v>
      </c>
      <c r="K18" s="6">
        <f t="shared" si="0"/>
        <v>4</v>
      </c>
      <c r="L18" s="32">
        <v>27</v>
      </c>
      <c r="M18" s="33">
        <f t="shared" si="1"/>
        <v>81</v>
      </c>
      <c r="N18" s="34">
        <f t="shared" si="2"/>
        <v>0</v>
      </c>
      <c r="O18" s="29">
        <f t="shared" si="3"/>
        <v>0</v>
      </c>
    </row>
    <row r="19" spans="1:15" x14ac:dyDescent="0.2">
      <c r="A19" s="8"/>
      <c r="B19" s="8"/>
      <c r="C19" s="8"/>
      <c r="D19" s="15"/>
      <c r="E19" s="15"/>
      <c r="F19" s="9"/>
      <c r="G19" s="9"/>
      <c r="H19" s="10"/>
      <c r="I19" s="5" t="s">
        <v>29</v>
      </c>
      <c r="J19" s="5">
        <f>SUBTOTAL(9,J4:J18)</f>
        <v>56450</v>
      </c>
      <c r="K19" s="5">
        <f>SUBTOTAL(9,K4:K18)</f>
        <v>85</v>
      </c>
      <c r="L19" s="32"/>
      <c r="M19" s="36">
        <f>SUBTOTAL(9,M4:M18)</f>
        <v>2890.5</v>
      </c>
      <c r="N19" s="37"/>
      <c r="O19" s="35">
        <f>SUBTOTAL(9,O4:O18)</f>
        <v>0</v>
      </c>
    </row>
  </sheetData>
  <sortState ref="B5:AJ47">
    <sortCondition ref="B5"/>
  </sortState>
  <mergeCells count="7">
    <mergeCell ref="L1:M1"/>
    <mergeCell ref="F2:G2"/>
    <mergeCell ref="N2:O2"/>
    <mergeCell ref="J2:K2"/>
    <mergeCell ref="L2:M2"/>
    <mergeCell ref="N1:O1"/>
    <mergeCell ref="A1:K1"/>
  </mergeCells>
  <phoneticPr fontId="0" type="noConversion"/>
  <pageMargins left="0.5" right="0.5" top="0.5" bottom="0.5" header="0" footer="0"/>
  <pageSetup paperSize="9"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A1:Q22"/>
  <sheetViews>
    <sheetView workbookViewId="0">
      <selection sqref="A1:I1"/>
    </sheetView>
  </sheetViews>
  <sheetFormatPr defaultColWidth="9.140625" defaultRowHeight="12.75" x14ac:dyDescent="0.2"/>
  <cols>
    <col min="1" max="1" width="11.28515625" style="77" bestFit="1" customWidth="1"/>
    <col min="2" max="2" width="11.28515625" style="77" customWidth="1"/>
    <col min="3" max="3" width="5.140625" style="77" bestFit="1" customWidth="1"/>
    <col min="4" max="4" width="6" style="78" bestFit="1" customWidth="1"/>
    <col min="5" max="5" width="6.28515625" style="78" bestFit="1" customWidth="1"/>
    <col min="6" max="6" width="32.7109375" style="77" bestFit="1" customWidth="1"/>
    <col min="7" max="7" width="14.140625" style="77" bestFit="1" customWidth="1"/>
    <col min="8" max="8" width="9.140625" style="77"/>
    <col min="9" max="9" width="9.28515625" style="77" bestFit="1" customWidth="1"/>
    <col min="10" max="13" width="9.140625" style="77"/>
    <col min="14" max="16384" width="9.140625" style="4"/>
  </cols>
  <sheetData>
    <row r="1" spans="1:17" x14ac:dyDescent="0.2">
      <c r="A1" s="46" t="s">
        <v>70</v>
      </c>
      <c r="B1" s="46"/>
      <c r="C1" s="46"/>
      <c r="D1" s="46"/>
      <c r="E1" s="46"/>
      <c r="F1" s="46"/>
      <c r="G1" s="46"/>
      <c r="H1" s="46"/>
      <c r="I1" s="46"/>
      <c r="J1" s="40" t="s">
        <v>71</v>
      </c>
      <c r="K1" s="40"/>
      <c r="L1" s="47"/>
      <c r="M1" s="47"/>
    </row>
    <row r="2" spans="1:17" ht="20.25" customHeight="1" x14ac:dyDescent="0.2">
      <c r="A2" s="17" t="s">
        <v>10</v>
      </c>
      <c r="B2" s="17" t="s">
        <v>48</v>
      </c>
      <c r="C2" s="17" t="s">
        <v>11</v>
      </c>
      <c r="D2" s="48" t="s">
        <v>2</v>
      </c>
      <c r="E2" s="49"/>
      <c r="F2" s="17" t="s">
        <v>1</v>
      </c>
      <c r="G2" s="17" t="s">
        <v>5</v>
      </c>
      <c r="H2" s="50" t="s">
        <v>14</v>
      </c>
      <c r="I2" s="50"/>
      <c r="J2" s="43" t="s">
        <v>69</v>
      </c>
      <c r="K2" s="43"/>
      <c r="L2" s="43" t="s">
        <v>45</v>
      </c>
      <c r="M2" s="43"/>
    </row>
    <row r="3" spans="1:17" ht="20.25" customHeight="1" x14ac:dyDescent="0.2">
      <c r="A3" s="51"/>
      <c r="B3" s="21"/>
      <c r="C3" s="17" t="s">
        <v>13</v>
      </c>
      <c r="D3" s="17" t="s">
        <v>3</v>
      </c>
      <c r="E3" s="17" t="s">
        <v>4</v>
      </c>
      <c r="F3" s="52"/>
      <c r="G3" s="17"/>
      <c r="H3" s="38" t="s">
        <v>15</v>
      </c>
      <c r="I3" s="38" t="s">
        <v>16</v>
      </c>
      <c r="J3" s="38" t="s">
        <v>47</v>
      </c>
      <c r="K3" s="38" t="s">
        <v>32</v>
      </c>
      <c r="L3" s="53" t="s">
        <v>46</v>
      </c>
      <c r="M3" s="54"/>
    </row>
    <row r="4" spans="1:17" x14ac:dyDescent="0.2">
      <c r="A4" s="55" t="s">
        <v>72</v>
      </c>
      <c r="B4" s="56" t="s">
        <v>51</v>
      </c>
      <c r="C4" s="57">
        <v>40</v>
      </c>
      <c r="D4" s="21">
        <v>10</v>
      </c>
      <c r="E4" s="23">
        <v>400</v>
      </c>
      <c r="F4" s="13" t="s">
        <v>73</v>
      </c>
      <c r="G4" s="58">
        <v>9319696100408</v>
      </c>
      <c r="H4" s="51"/>
      <c r="I4" s="51">
        <f t="shared" ref="I4:I21" si="0">H4/E4</f>
        <v>0</v>
      </c>
      <c r="J4" s="59">
        <v>26</v>
      </c>
      <c r="K4" s="59">
        <f t="shared" ref="K4:K21" si="1">H4*J4/100</f>
        <v>0</v>
      </c>
      <c r="L4" s="34" t="e">
        <f t="shared" ref="L4:L21" si="2">M4/H4</f>
        <v>#DIV/0!</v>
      </c>
      <c r="M4" s="29">
        <f t="shared" ref="M4:M21" si="3">K4*$M$3</f>
        <v>0</v>
      </c>
    </row>
    <row r="5" spans="1:17" x14ac:dyDescent="0.2">
      <c r="A5" s="55" t="s">
        <v>74</v>
      </c>
      <c r="B5" s="56" t="s">
        <v>51</v>
      </c>
      <c r="C5" s="57">
        <v>15</v>
      </c>
      <c r="D5" s="21">
        <v>10</v>
      </c>
      <c r="E5" s="23">
        <v>800</v>
      </c>
      <c r="F5" s="13" t="s">
        <v>75</v>
      </c>
      <c r="G5" s="58">
        <v>9319696300150</v>
      </c>
      <c r="H5" s="51">
        <v>4800</v>
      </c>
      <c r="I5" s="51">
        <f t="shared" si="0"/>
        <v>6</v>
      </c>
      <c r="J5" s="59">
        <v>12</v>
      </c>
      <c r="K5" s="59">
        <f t="shared" si="1"/>
        <v>576</v>
      </c>
      <c r="L5" s="34">
        <f t="shared" si="2"/>
        <v>0</v>
      </c>
      <c r="M5" s="29">
        <f t="shared" si="3"/>
        <v>0</v>
      </c>
    </row>
    <row r="6" spans="1:17" x14ac:dyDescent="0.2">
      <c r="A6" s="55" t="s">
        <v>76</v>
      </c>
      <c r="B6" s="56" t="s">
        <v>51</v>
      </c>
      <c r="C6" s="57">
        <v>20</v>
      </c>
      <c r="D6" s="21">
        <v>10</v>
      </c>
      <c r="E6" s="21">
        <v>550</v>
      </c>
      <c r="F6" s="13" t="s">
        <v>77</v>
      </c>
      <c r="G6" s="58">
        <v>9319696300204</v>
      </c>
      <c r="H6" s="51">
        <v>4400</v>
      </c>
      <c r="I6" s="51">
        <f t="shared" si="0"/>
        <v>8</v>
      </c>
      <c r="J6" s="59">
        <v>21</v>
      </c>
      <c r="K6" s="59">
        <f t="shared" si="1"/>
        <v>924</v>
      </c>
      <c r="L6" s="34">
        <f t="shared" si="2"/>
        <v>0</v>
      </c>
      <c r="M6" s="29">
        <f t="shared" si="3"/>
        <v>0</v>
      </c>
    </row>
    <row r="7" spans="1:17" x14ac:dyDescent="0.2">
      <c r="A7" s="55" t="s">
        <v>78</v>
      </c>
      <c r="B7" s="56" t="s">
        <v>51</v>
      </c>
      <c r="C7" s="57">
        <v>25</v>
      </c>
      <c r="D7" s="21">
        <v>10</v>
      </c>
      <c r="E7" s="21">
        <v>300</v>
      </c>
      <c r="F7" s="13" t="s">
        <v>79</v>
      </c>
      <c r="G7" s="58">
        <v>9319696300259</v>
      </c>
      <c r="H7" s="51">
        <v>1800</v>
      </c>
      <c r="I7" s="51">
        <f t="shared" si="0"/>
        <v>6</v>
      </c>
      <c r="J7" s="59">
        <v>32</v>
      </c>
      <c r="K7" s="59">
        <f t="shared" si="1"/>
        <v>576</v>
      </c>
      <c r="L7" s="34">
        <f t="shared" si="2"/>
        <v>0</v>
      </c>
      <c r="M7" s="29">
        <f t="shared" si="3"/>
        <v>0</v>
      </c>
    </row>
    <row r="8" spans="1:17" x14ac:dyDescent="0.2">
      <c r="A8" s="55" t="s">
        <v>80</v>
      </c>
      <c r="B8" s="60" t="s">
        <v>51</v>
      </c>
      <c r="C8" s="57">
        <v>15</v>
      </c>
      <c r="D8" s="21">
        <v>5</v>
      </c>
      <c r="E8" s="23">
        <v>200</v>
      </c>
      <c r="F8" s="61" t="s">
        <v>81</v>
      </c>
      <c r="G8" s="62" t="s">
        <v>82</v>
      </c>
      <c r="H8" s="51">
        <v>2000</v>
      </c>
      <c r="I8" s="51">
        <f t="shared" si="0"/>
        <v>10</v>
      </c>
      <c r="J8" s="59">
        <v>28.999999999999996</v>
      </c>
      <c r="K8" s="59">
        <f t="shared" si="1"/>
        <v>579.99999999999989</v>
      </c>
      <c r="L8" s="34">
        <f t="shared" si="2"/>
        <v>0</v>
      </c>
      <c r="M8" s="29">
        <f t="shared" si="3"/>
        <v>0</v>
      </c>
    </row>
    <row r="9" spans="1:17" x14ac:dyDescent="0.2">
      <c r="A9" s="55" t="s">
        <v>83</v>
      </c>
      <c r="B9" s="60" t="s">
        <v>51</v>
      </c>
      <c r="C9" s="57">
        <v>20</v>
      </c>
      <c r="D9" s="19">
        <v>5</v>
      </c>
      <c r="E9" s="19">
        <v>150</v>
      </c>
      <c r="F9" s="61" t="s">
        <v>84</v>
      </c>
      <c r="G9" s="62" t="s">
        <v>85</v>
      </c>
      <c r="H9" s="51">
        <v>2100</v>
      </c>
      <c r="I9" s="39">
        <f t="shared" si="0"/>
        <v>14</v>
      </c>
      <c r="J9" s="59">
        <v>37</v>
      </c>
      <c r="K9" s="59">
        <f t="shared" si="1"/>
        <v>777</v>
      </c>
      <c r="L9" s="34">
        <f t="shared" si="2"/>
        <v>0</v>
      </c>
      <c r="M9" s="29">
        <f t="shared" si="3"/>
        <v>0</v>
      </c>
    </row>
    <row r="10" spans="1:17" x14ac:dyDescent="0.2">
      <c r="A10" s="55" t="s">
        <v>86</v>
      </c>
      <c r="B10" s="60" t="s">
        <v>51</v>
      </c>
      <c r="C10" s="57">
        <v>25</v>
      </c>
      <c r="D10" s="19">
        <v>5</v>
      </c>
      <c r="E10" s="19">
        <v>125</v>
      </c>
      <c r="F10" s="61" t="s">
        <v>87</v>
      </c>
      <c r="G10" s="62" t="s">
        <v>88</v>
      </c>
      <c r="H10" s="51">
        <v>2000</v>
      </c>
      <c r="I10" s="39">
        <f t="shared" si="0"/>
        <v>16</v>
      </c>
      <c r="J10" s="59">
        <v>52</v>
      </c>
      <c r="K10" s="59">
        <f t="shared" si="1"/>
        <v>1040</v>
      </c>
      <c r="L10" s="34">
        <f t="shared" si="2"/>
        <v>0</v>
      </c>
      <c r="M10" s="29">
        <f t="shared" si="3"/>
        <v>0</v>
      </c>
    </row>
    <row r="11" spans="1:17" x14ac:dyDescent="0.2">
      <c r="A11" s="55" t="s">
        <v>89</v>
      </c>
      <c r="B11" s="56" t="s">
        <v>51</v>
      </c>
      <c r="C11" s="57">
        <v>15</v>
      </c>
      <c r="D11" s="21">
        <v>10</v>
      </c>
      <c r="E11" s="21">
        <v>1500</v>
      </c>
      <c r="F11" s="14" t="s">
        <v>90</v>
      </c>
      <c r="G11" s="58">
        <v>9319696120154</v>
      </c>
      <c r="H11" s="51">
        <v>3000</v>
      </c>
      <c r="I11" s="51">
        <f t="shared" si="0"/>
        <v>2</v>
      </c>
      <c r="J11" s="59">
        <v>8</v>
      </c>
      <c r="K11" s="59">
        <f t="shared" si="1"/>
        <v>240</v>
      </c>
      <c r="L11" s="34">
        <f t="shared" si="2"/>
        <v>0</v>
      </c>
      <c r="M11" s="29">
        <f t="shared" si="3"/>
        <v>0</v>
      </c>
    </row>
    <row r="12" spans="1:17" x14ac:dyDescent="0.2">
      <c r="A12" s="55" t="s">
        <v>91</v>
      </c>
      <c r="B12" s="56" t="s">
        <v>51</v>
      </c>
      <c r="C12" s="57">
        <v>20</v>
      </c>
      <c r="D12" s="21">
        <v>10</v>
      </c>
      <c r="E12" s="21">
        <v>780</v>
      </c>
      <c r="F12" s="13" t="s">
        <v>92</v>
      </c>
      <c r="G12" s="58">
        <v>9319696120208</v>
      </c>
      <c r="H12" s="51">
        <v>1560</v>
      </c>
      <c r="I12" s="51">
        <f t="shared" si="0"/>
        <v>2</v>
      </c>
      <c r="J12" s="59">
        <v>11</v>
      </c>
      <c r="K12" s="59">
        <f t="shared" si="1"/>
        <v>171.6</v>
      </c>
      <c r="L12" s="34">
        <f t="shared" si="2"/>
        <v>0</v>
      </c>
      <c r="M12" s="29">
        <f t="shared" si="3"/>
        <v>0</v>
      </c>
    </row>
    <row r="13" spans="1:17" x14ac:dyDescent="0.2">
      <c r="A13" s="55" t="s">
        <v>93</v>
      </c>
      <c r="B13" s="56" t="s">
        <v>51</v>
      </c>
      <c r="C13" s="57">
        <v>25</v>
      </c>
      <c r="D13" s="21">
        <v>10</v>
      </c>
      <c r="E13" s="21">
        <v>550</v>
      </c>
      <c r="F13" s="13" t="s">
        <v>94</v>
      </c>
      <c r="G13" s="58">
        <v>9319696120253</v>
      </c>
      <c r="H13" s="51">
        <v>2200</v>
      </c>
      <c r="I13" s="51">
        <f t="shared" si="0"/>
        <v>4</v>
      </c>
      <c r="J13" s="59">
        <v>13</v>
      </c>
      <c r="K13" s="59">
        <f t="shared" si="1"/>
        <v>286</v>
      </c>
      <c r="L13" s="34">
        <f t="shared" si="2"/>
        <v>0</v>
      </c>
      <c r="M13" s="29">
        <f t="shared" si="3"/>
        <v>0</v>
      </c>
    </row>
    <row r="14" spans="1:17" x14ac:dyDescent="0.2">
      <c r="A14" s="63" t="s">
        <v>95</v>
      </c>
      <c r="B14" s="60" t="s">
        <v>51</v>
      </c>
      <c r="C14" s="64">
        <v>15</v>
      </c>
      <c r="D14" s="19">
        <v>10</v>
      </c>
      <c r="E14" s="19">
        <v>1900</v>
      </c>
      <c r="F14" s="3" t="s">
        <v>96</v>
      </c>
      <c r="G14" s="65">
        <v>9319696400157</v>
      </c>
      <c r="H14" s="39">
        <v>19000</v>
      </c>
      <c r="I14" s="39">
        <f t="shared" si="0"/>
        <v>10</v>
      </c>
      <c r="J14" s="66">
        <v>9</v>
      </c>
      <c r="K14" s="66">
        <f t="shared" si="1"/>
        <v>1710</v>
      </c>
      <c r="L14" s="34">
        <f t="shared" si="2"/>
        <v>0</v>
      </c>
      <c r="M14" s="29">
        <f t="shared" si="3"/>
        <v>0</v>
      </c>
      <c r="P14" s="67"/>
      <c r="Q14" s="68"/>
    </row>
    <row r="15" spans="1:17" x14ac:dyDescent="0.2">
      <c r="A15" s="63" t="s">
        <v>97</v>
      </c>
      <c r="B15" s="60" t="s">
        <v>51</v>
      </c>
      <c r="C15" s="64">
        <v>20</v>
      </c>
      <c r="D15" s="19">
        <v>10</v>
      </c>
      <c r="E15" s="19">
        <v>890</v>
      </c>
      <c r="F15" s="3" t="s">
        <v>98</v>
      </c>
      <c r="G15" s="65">
        <v>9319696400201</v>
      </c>
      <c r="H15" s="39">
        <v>8010</v>
      </c>
      <c r="I15" s="39">
        <f t="shared" si="0"/>
        <v>9</v>
      </c>
      <c r="J15" s="66">
        <v>10</v>
      </c>
      <c r="K15" s="66">
        <f t="shared" si="1"/>
        <v>801</v>
      </c>
      <c r="L15" s="34">
        <f t="shared" si="2"/>
        <v>0</v>
      </c>
      <c r="M15" s="29">
        <f t="shared" si="3"/>
        <v>0</v>
      </c>
      <c r="P15" s="67"/>
      <c r="Q15" s="68"/>
    </row>
    <row r="16" spans="1:17" x14ac:dyDescent="0.2">
      <c r="A16" s="63" t="s">
        <v>99</v>
      </c>
      <c r="B16" s="60" t="s">
        <v>51</v>
      </c>
      <c r="C16" s="64">
        <v>25</v>
      </c>
      <c r="D16" s="19">
        <v>10</v>
      </c>
      <c r="E16" s="19">
        <v>600</v>
      </c>
      <c r="F16" s="3" t="s">
        <v>100</v>
      </c>
      <c r="G16" s="65">
        <v>9319696400256</v>
      </c>
      <c r="H16" s="39">
        <v>7200</v>
      </c>
      <c r="I16" s="39">
        <f t="shared" si="0"/>
        <v>12</v>
      </c>
      <c r="J16" s="66">
        <v>16</v>
      </c>
      <c r="K16" s="66">
        <f t="shared" si="1"/>
        <v>1152</v>
      </c>
      <c r="L16" s="34">
        <f t="shared" si="2"/>
        <v>0</v>
      </c>
      <c r="M16" s="29">
        <f t="shared" si="3"/>
        <v>0</v>
      </c>
      <c r="P16" s="67"/>
      <c r="Q16" s="68"/>
    </row>
    <row r="17" spans="1:13" x14ac:dyDescent="0.2">
      <c r="A17" s="55" t="s">
        <v>101</v>
      </c>
      <c r="B17" s="56" t="s">
        <v>51</v>
      </c>
      <c r="C17" s="57" t="s">
        <v>102</v>
      </c>
      <c r="D17" s="21">
        <v>10</v>
      </c>
      <c r="E17" s="21">
        <v>2000</v>
      </c>
      <c r="F17" s="13" t="s">
        <v>103</v>
      </c>
      <c r="G17" s="58">
        <v>9319696720156</v>
      </c>
      <c r="H17" s="51">
        <v>8000</v>
      </c>
      <c r="I17" s="51">
        <f t="shared" si="0"/>
        <v>4</v>
      </c>
      <c r="J17" s="59">
        <v>8</v>
      </c>
      <c r="K17" s="59">
        <f t="shared" si="1"/>
        <v>640</v>
      </c>
      <c r="L17" s="34">
        <f t="shared" si="2"/>
        <v>0</v>
      </c>
      <c r="M17" s="29">
        <f t="shared" si="3"/>
        <v>0</v>
      </c>
    </row>
    <row r="18" spans="1:13" x14ac:dyDescent="0.2">
      <c r="A18" s="55" t="s">
        <v>104</v>
      </c>
      <c r="B18" s="56" t="s">
        <v>51</v>
      </c>
      <c r="C18" s="57" t="s">
        <v>105</v>
      </c>
      <c r="D18" s="21">
        <v>10</v>
      </c>
      <c r="E18" s="21">
        <v>1200</v>
      </c>
      <c r="F18" s="13" t="s">
        <v>106</v>
      </c>
      <c r="G18" s="58">
        <v>9319696725151</v>
      </c>
      <c r="H18" s="51">
        <v>2400</v>
      </c>
      <c r="I18" s="51">
        <f t="shared" si="0"/>
        <v>2</v>
      </c>
      <c r="J18" s="59">
        <v>13</v>
      </c>
      <c r="K18" s="59">
        <f t="shared" si="1"/>
        <v>312</v>
      </c>
      <c r="L18" s="34">
        <f t="shared" si="2"/>
        <v>0</v>
      </c>
      <c r="M18" s="29">
        <f t="shared" si="3"/>
        <v>0</v>
      </c>
    </row>
    <row r="19" spans="1:13" x14ac:dyDescent="0.2">
      <c r="A19" s="55" t="s">
        <v>107</v>
      </c>
      <c r="B19" s="56" t="s">
        <v>51</v>
      </c>
      <c r="C19" s="57" t="s">
        <v>108</v>
      </c>
      <c r="D19" s="21">
        <v>10</v>
      </c>
      <c r="E19" s="21">
        <v>1100</v>
      </c>
      <c r="F19" s="13" t="s">
        <v>109</v>
      </c>
      <c r="G19" s="58">
        <v>9319696725205</v>
      </c>
      <c r="H19" s="51">
        <v>4400</v>
      </c>
      <c r="I19" s="51">
        <f t="shared" si="0"/>
        <v>4</v>
      </c>
      <c r="J19" s="59">
        <v>12</v>
      </c>
      <c r="K19" s="59">
        <f t="shared" si="1"/>
        <v>528</v>
      </c>
      <c r="L19" s="34">
        <f t="shared" si="2"/>
        <v>0</v>
      </c>
      <c r="M19" s="29">
        <f t="shared" si="3"/>
        <v>0</v>
      </c>
    </row>
    <row r="20" spans="1:13" x14ac:dyDescent="0.2">
      <c r="A20" s="55" t="s">
        <v>110</v>
      </c>
      <c r="B20" s="56" t="s">
        <v>51</v>
      </c>
      <c r="C20" s="57" t="s">
        <v>111</v>
      </c>
      <c r="D20" s="21">
        <v>10</v>
      </c>
      <c r="E20" s="21">
        <v>500</v>
      </c>
      <c r="F20" s="13" t="s">
        <v>112</v>
      </c>
      <c r="G20" s="58">
        <v>9319696740253</v>
      </c>
      <c r="H20" s="51">
        <v>2000</v>
      </c>
      <c r="I20" s="51">
        <f t="shared" si="0"/>
        <v>4</v>
      </c>
      <c r="J20" s="59">
        <v>21</v>
      </c>
      <c r="K20" s="59">
        <f t="shared" si="1"/>
        <v>420</v>
      </c>
      <c r="L20" s="34">
        <f t="shared" si="2"/>
        <v>0</v>
      </c>
      <c r="M20" s="29">
        <f t="shared" si="3"/>
        <v>0</v>
      </c>
    </row>
    <row r="21" spans="1:13" x14ac:dyDescent="0.2">
      <c r="A21" s="55" t="s">
        <v>113</v>
      </c>
      <c r="B21" s="56" t="s">
        <v>51</v>
      </c>
      <c r="C21" s="19">
        <v>20</v>
      </c>
      <c r="D21" s="21">
        <v>10</v>
      </c>
      <c r="E21" s="21">
        <v>750</v>
      </c>
      <c r="F21" s="14" t="s">
        <v>114</v>
      </c>
      <c r="G21" s="58">
        <v>9319696502004</v>
      </c>
      <c r="H21" s="51">
        <v>9000</v>
      </c>
      <c r="I21" s="51">
        <f t="shared" si="0"/>
        <v>12</v>
      </c>
      <c r="J21" s="59">
        <v>16</v>
      </c>
      <c r="K21" s="59">
        <f t="shared" si="1"/>
        <v>1440</v>
      </c>
      <c r="L21" s="34">
        <f t="shared" si="2"/>
        <v>0</v>
      </c>
      <c r="M21" s="29">
        <f t="shared" si="3"/>
        <v>0</v>
      </c>
    </row>
    <row r="22" spans="1:13" x14ac:dyDescent="0.2">
      <c r="A22" s="69"/>
      <c r="B22" s="69"/>
      <c r="C22" s="70"/>
      <c r="D22" s="71"/>
      <c r="E22" s="71"/>
      <c r="F22" s="72"/>
      <c r="G22" s="73" t="s">
        <v>29</v>
      </c>
      <c r="H22" s="73">
        <f>SUBTOTAL(9,H4:H21)</f>
        <v>83870</v>
      </c>
      <c r="I22" s="73">
        <f>SUBTOTAL(9,I4:I21)</f>
        <v>125</v>
      </c>
      <c r="J22" s="59"/>
      <c r="K22" s="74">
        <f>SUBTOTAL(9,K4:K21)</f>
        <v>12173.6</v>
      </c>
      <c r="L22" s="75"/>
      <c r="M22" s="76">
        <f>SUBTOTAL(9,M4:M21)</f>
        <v>0</v>
      </c>
    </row>
  </sheetData>
  <mergeCells count="7">
    <mergeCell ref="A1:I1"/>
    <mergeCell ref="J1:K1"/>
    <mergeCell ref="L1:M1"/>
    <mergeCell ref="D2:E2"/>
    <mergeCell ref="H2:I2"/>
    <mergeCell ref="J2:K2"/>
    <mergeCell ref="L2:M2"/>
  </mergeCells>
  <pageMargins left="0.51181102362204722" right="0.51181102362204722" top="0.51181102362204722" bottom="0.51181102362204722" header="0" footer="0"/>
  <pageSetup paperSize="9" scale="4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SalesPP</vt:lpstr>
      <vt:lpstr>SalesGRN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Jaikvin</dc:creator>
  <cp:lastModifiedBy>Admin</cp:lastModifiedBy>
  <cp:lastPrinted>2021-08-10T05:25:17Z</cp:lastPrinted>
  <dcterms:created xsi:type="dcterms:W3CDTF">2008-10-02T09:29:29Z</dcterms:created>
  <dcterms:modified xsi:type="dcterms:W3CDTF">2026-05-29T10:44:13Z</dcterms:modified>
</cp:coreProperties>
</file>