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545"/>
  </bookViews>
  <sheets>
    <sheet name="PackingPP" sheetId="1" r:id="rId1"/>
    <sheet name="PackingGRN" sheetId="2" r:id="rId2"/>
  </sheets>
  <definedNames>
    <definedName name="_xlnm._FilterDatabase" localSheetId="1" hidden="1">PackingGRN!#REF!</definedName>
    <definedName name="_xlnm._FilterDatabase" localSheetId="0" hidden="1">PackingPP!$B$3:$H$18</definedName>
  </definedNames>
  <calcPr calcId="152511"/>
</workbook>
</file>

<file path=xl/calcChain.xml><?xml version="1.0" encoding="utf-8"?>
<calcChain xmlns="http://schemas.openxmlformats.org/spreadsheetml/2006/main">
  <c r="M21" i="2" l="1"/>
  <c r="L21" i="2"/>
  <c r="J21" i="2"/>
  <c r="I21" i="2"/>
  <c r="J20" i="2"/>
  <c r="K20" i="2" s="1"/>
  <c r="J19" i="2"/>
  <c r="K19" i="2" s="1"/>
  <c r="K18" i="2"/>
  <c r="J18" i="2"/>
  <c r="J17" i="2"/>
  <c r="K17" i="2" s="1"/>
  <c r="J16" i="2"/>
  <c r="K16" i="2" s="1"/>
  <c r="K15" i="2"/>
  <c r="J15" i="2"/>
  <c r="J14" i="2"/>
  <c r="K14" i="2" s="1"/>
  <c r="J13" i="2"/>
  <c r="K13" i="2" s="1"/>
  <c r="K12" i="2"/>
  <c r="J12" i="2"/>
  <c r="J11" i="2"/>
  <c r="K11" i="2" s="1"/>
  <c r="J10" i="2"/>
  <c r="K10" i="2" s="1"/>
  <c r="K9" i="2"/>
  <c r="J9" i="2"/>
  <c r="J8" i="2"/>
  <c r="K8" i="2" s="1"/>
  <c r="J7" i="2"/>
  <c r="K7" i="2" s="1"/>
  <c r="K6" i="2"/>
  <c r="J6" i="2"/>
  <c r="J5" i="2"/>
  <c r="K5" i="2" s="1"/>
  <c r="J4" i="2"/>
  <c r="K4" i="2" s="1"/>
  <c r="K21" i="2" l="1"/>
  <c r="K19" i="1" l="1"/>
  <c r="L14" i="1"/>
  <c r="L13" i="1"/>
  <c r="L18" i="1"/>
  <c r="L17" i="1"/>
  <c r="L16" i="1"/>
  <c r="L15" i="1"/>
  <c r="L8" i="1"/>
  <c r="L4" i="1"/>
  <c r="L11" i="1"/>
  <c r="L7" i="1"/>
  <c r="L12" i="1"/>
  <c r="L6" i="1"/>
  <c r="L10" i="1"/>
  <c r="L9" i="1"/>
  <c r="L5" i="1"/>
  <c r="M11" i="1" l="1"/>
  <c r="M5" i="1"/>
  <c r="M16" i="1"/>
  <c r="M18" i="1"/>
  <c r="M10" i="1"/>
  <c r="M4" i="1"/>
  <c r="M6" i="1"/>
  <c r="M15" i="1"/>
  <c r="M14" i="1"/>
  <c r="M9" i="1"/>
  <c r="M8" i="1"/>
  <c r="M7" i="1"/>
  <c r="L19" i="1"/>
  <c r="M17" i="1"/>
  <c r="M13" i="1"/>
  <c r="M12" i="1"/>
  <c r="M19" i="1" l="1"/>
  <c r="O19" i="1"/>
  <c r="N19" i="1"/>
</calcChain>
</file>

<file path=xl/sharedStrings.xml><?xml version="1.0" encoding="utf-8"?>
<sst xmlns="http://schemas.openxmlformats.org/spreadsheetml/2006/main" count="172" uniqueCount="110">
  <si>
    <t>CODE</t>
  </si>
  <si>
    <t>DESCRIPTION</t>
  </si>
  <si>
    <t>PACKING</t>
  </si>
  <si>
    <t xml:space="preserve">UNIT </t>
  </si>
  <si>
    <t>BOX</t>
  </si>
  <si>
    <t>Bar Codes</t>
  </si>
  <si>
    <t>9319696015030</t>
  </si>
  <si>
    <t>9319696150106</t>
  </si>
  <si>
    <t>9319696015054</t>
  </si>
  <si>
    <t>9319696150649</t>
  </si>
  <si>
    <t xml:space="preserve">GD CODE </t>
  </si>
  <si>
    <t>SIZE</t>
  </si>
  <si>
    <t>LENGTH</t>
  </si>
  <si>
    <t>MM</t>
  </si>
  <si>
    <t>Quantity</t>
  </si>
  <si>
    <t>Pcs</t>
  </si>
  <si>
    <t>Box</t>
  </si>
  <si>
    <t>Volumn</t>
  </si>
  <si>
    <t>9319696150144</t>
  </si>
  <si>
    <t>9319696020027</t>
  </si>
  <si>
    <t>9319696020034</t>
  </si>
  <si>
    <t>9319696200139</t>
  </si>
  <si>
    <t>PP 1503 P/RISER M X M
80 x 15MM</t>
  </si>
  <si>
    <t>PP 1505 P/RISER M X M
125 x 15MM</t>
  </si>
  <si>
    <t>CUT 15 Flexi Cut Off Riser
15MM</t>
  </si>
  <si>
    <t>CUTMF 15 M/F Cut Off Riser
15MM</t>
  </si>
  <si>
    <t>PP 2002 P/RISER M X M
50 X 20MM</t>
  </si>
  <si>
    <t>PP 2003 P/RISER M X M
80 X 20MM</t>
  </si>
  <si>
    <t>FFC 20 F/F Couplings
20MM</t>
  </si>
  <si>
    <t>MFA 15 M/F Adaptors
15MM</t>
  </si>
  <si>
    <t>TOTAL</t>
  </si>
  <si>
    <t>PP 2006 P/RISER M X M
150 X 20MM</t>
  </si>
  <si>
    <t>9319696020065</t>
  </si>
  <si>
    <t>Total Nett
KGS</t>
  </si>
  <si>
    <t>Total Gross
Kgs</t>
  </si>
  <si>
    <t>9313146000454</t>
  </si>
  <si>
    <t>PPA 1506 ARTIC. P/RISER 
150 X 15MM</t>
  </si>
  <si>
    <t>9319696215065</t>
  </si>
  <si>
    <t>PPA 1508 ARTIC. P/RISER
200 X 15MM</t>
  </si>
  <si>
    <t>9319696215089</t>
  </si>
  <si>
    <t>PPA 2008 ARTIC. P/RISER
200 X 20MM</t>
  </si>
  <si>
    <t>9319696220083</t>
  </si>
  <si>
    <t>PP 2504 P/RISER M X M
100 X 25MM</t>
  </si>
  <si>
    <t>9319696025046</t>
  </si>
  <si>
    <t>PP 2506 P/RISER M X M
150 X 25MM</t>
  </si>
  <si>
    <t>9391696025060</t>
  </si>
  <si>
    <t>1"</t>
  </si>
  <si>
    <t>HSN CODES</t>
  </si>
  <si>
    <t>GL CODE</t>
  </si>
  <si>
    <t>8109-04</t>
  </si>
  <si>
    <t>8109-10</t>
  </si>
  <si>
    <t>8109-05</t>
  </si>
  <si>
    <t>PP1503</t>
  </si>
  <si>
    <t>PP1505</t>
  </si>
  <si>
    <t>PPA1506</t>
  </si>
  <si>
    <t>PPA1508</t>
  </si>
  <si>
    <t>CUT15</t>
  </si>
  <si>
    <t>CUTMF15</t>
  </si>
  <si>
    <t>PP2002</t>
  </si>
  <si>
    <t>PP2003</t>
  </si>
  <si>
    <t>PP2006</t>
  </si>
  <si>
    <t>PPA2008</t>
  </si>
  <si>
    <t>FFC20</t>
  </si>
  <si>
    <t>PP2504</t>
  </si>
  <si>
    <t>PP2506</t>
  </si>
  <si>
    <t>PP2506PH</t>
  </si>
  <si>
    <t>MFA15</t>
  </si>
  <si>
    <t>90443200 P/RISER M X M
1" x 1" x 150 MM</t>
  </si>
  <si>
    <t>PO NO : 03455 DT 16.02.2026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</si>
  <si>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</si>
  <si>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</si>
  <si>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</si>
  <si>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</si>
  <si>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</si>
  <si>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</si>
  <si>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</si>
  <si>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</si>
  <si>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</si>
  <si>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</si>
  <si>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</si>
  <si>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</si>
  <si>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</si>
  <si>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</si>
  <si>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</si>
  <si>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</si>
  <si>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</si>
  <si>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</si>
  <si>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</si>
  <si>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</si>
  <si>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</si>
  <si>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</si>
  <si>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</si>
  <si>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</si>
  <si>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</si>
  <si>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</si>
  <si>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</si>
  <si>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</si>
  <si>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20*15</t>
  </si>
  <si>
    <t>20 X 15MM RED. BUSH</t>
  </si>
  <si>
    <t>GRRB2515</t>
  </si>
  <si>
    <t>25*15</t>
  </si>
  <si>
    <t>25 X 15MM RED. BUSH</t>
  </si>
  <si>
    <t>GRRB2520</t>
  </si>
  <si>
    <t>25*20</t>
  </si>
  <si>
    <t>25 X 20MM RED. BUSH</t>
  </si>
  <si>
    <t>GRRB4025</t>
  </si>
  <si>
    <t>40*25</t>
  </si>
  <si>
    <t>40 X 25MM RED. BUSH</t>
  </si>
  <si>
    <t>GRS20</t>
  </si>
  <si>
    <t>20MM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</si>
</sst>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5" fontId="2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shrinkToFi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/>
    <xf numFmtId="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O19"/>
  <sheetViews>
    <sheetView tabSelected="1" workbookViewId="0">
      <selection sqref="A1:O1"/>
    </sheetView>
  </sheetViews>
  <sheetFormatPr defaultColWidth="9.140625" defaultRowHeight="12.75" x14ac:dyDescent="0.2"/>
  <cols>
    <col min="1" max="1" width="13.42578125" style="4" bestFit="1" customWidth="1"/>
    <col min="2" max="2" width="11.28515625" style="4" bestFit="1" customWidth="1"/>
    <col min="3" max="3" width="13.42578125" style="4" customWidth="1"/>
    <col min="4" max="4" width="5.140625" style="4" bestFit="1" customWidth="1"/>
    <col min="5" max="5" width="8.5703125" style="4" bestFit="1" customWidth="1"/>
    <col min="6" max="6" width="6" style="11" bestFit="1" customWidth="1"/>
    <col min="7" max="7" width="6.28515625" style="11" bestFit="1" customWidth="1"/>
    <col min="8" max="8" width="32.7109375" style="4" bestFit="1" customWidth="1"/>
    <col min="9" max="9" width="14.140625" style="4" bestFit="1" customWidth="1"/>
    <col min="10" max="10" width="14.140625" style="4" customWidth="1"/>
    <col min="11" max="11" width="7" style="4" bestFit="1" customWidth="1"/>
    <col min="12" max="12" width="7.28515625" style="4" bestFit="1" customWidth="1"/>
    <col min="13" max="13" width="8" style="4" bestFit="1" customWidth="1"/>
    <col min="14" max="16384" width="9.140625" style="4"/>
  </cols>
  <sheetData>
    <row r="1" spans="1:15" x14ac:dyDescent="0.2">
      <c r="A1" s="37" t="s">
        <v>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</row>
    <row r="2" spans="1:15" ht="19.5" customHeight="1" x14ac:dyDescent="0.2">
      <c r="A2" s="16" t="s">
        <v>0</v>
      </c>
      <c r="B2" s="16" t="s">
        <v>10</v>
      </c>
      <c r="C2" s="18" t="s">
        <v>48</v>
      </c>
      <c r="D2" s="19" t="s">
        <v>11</v>
      </c>
      <c r="E2" s="19" t="s">
        <v>12</v>
      </c>
      <c r="F2" s="34" t="s">
        <v>2</v>
      </c>
      <c r="G2" s="35"/>
      <c r="H2" s="16" t="s">
        <v>1</v>
      </c>
      <c r="I2" s="19" t="s">
        <v>5</v>
      </c>
      <c r="J2" s="19" t="s">
        <v>47</v>
      </c>
      <c r="K2" s="34" t="s">
        <v>14</v>
      </c>
      <c r="L2" s="35"/>
      <c r="M2" s="19" t="s">
        <v>17</v>
      </c>
      <c r="N2" s="36" t="s">
        <v>33</v>
      </c>
      <c r="O2" s="36" t="s">
        <v>34</v>
      </c>
    </row>
    <row r="3" spans="1:15" ht="19.5" customHeight="1" x14ac:dyDescent="0.2">
      <c r="A3" s="6"/>
      <c r="B3" s="6"/>
      <c r="C3" s="20"/>
      <c r="D3" s="19" t="s">
        <v>13</v>
      </c>
      <c r="E3" s="19" t="s">
        <v>13</v>
      </c>
      <c r="F3" s="19" t="s">
        <v>3</v>
      </c>
      <c r="G3" s="19" t="s">
        <v>4</v>
      </c>
      <c r="H3" s="1"/>
      <c r="I3" s="19"/>
      <c r="J3" s="19"/>
      <c r="K3" s="19" t="s">
        <v>15</v>
      </c>
      <c r="L3" s="19" t="s">
        <v>16</v>
      </c>
      <c r="M3" s="20"/>
      <c r="N3" s="36"/>
      <c r="O3" s="36"/>
    </row>
    <row r="4" spans="1:15" ht="25.5" x14ac:dyDescent="0.2">
      <c r="A4" s="7" t="s">
        <v>56</v>
      </c>
      <c r="B4" s="7" t="s">
        <v>56</v>
      </c>
      <c r="C4" s="21" t="s">
        <v>49</v>
      </c>
      <c r="D4" s="19">
        <v>15</v>
      </c>
      <c r="E4" s="19"/>
      <c r="F4" s="20">
        <v>50</v>
      </c>
      <c r="G4" s="20">
        <v>550</v>
      </c>
      <c r="H4" s="3" t="s">
        <v>24</v>
      </c>
      <c r="I4" s="26" t="s">
        <v>9</v>
      </c>
      <c r="J4" s="17">
        <v>3917.4</v>
      </c>
      <c r="K4" s="6">
        <v>3300</v>
      </c>
      <c r="L4" s="6">
        <f t="shared" ref="L4:L18" si="0">K4/G4</f>
        <v>6</v>
      </c>
      <c r="M4" s="30">
        <f t="shared" ref="M4:M18" si="1">L4*0.06</f>
        <v>0.36</v>
      </c>
      <c r="N4" s="32">
        <v>60</v>
      </c>
      <c r="O4" s="32">
        <v>66</v>
      </c>
    </row>
    <row r="5" spans="1:15" ht="25.5" x14ac:dyDescent="0.2">
      <c r="A5" s="7" t="s">
        <v>57</v>
      </c>
      <c r="B5" s="7" t="s">
        <v>57</v>
      </c>
      <c r="C5" s="21" t="s">
        <v>49</v>
      </c>
      <c r="D5" s="19">
        <v>15</v>
      </c>
      <c r="E5" s="19"/>
      <c r="F5" s="20">
        <v>50</v>
      </c>
      <c r="G5" s="20">
        <v>1200</v>
      </c>
      <c r="H5" s="3" t="s">
        <v>25</v>
      </c>
      <c r="I5" s="26" t="s">
        <v>18</v>
      </c>
      <c r="J5" s="17">
        <v>3917.4</v>
      </c>
      <c r="K5" s="6">
        <v>9600</v>
      </c>
      <c r="L5" s="6">
        <f t="shared" si="0"/>
        <v>8</v>
      </c>
      <c r="M5" s="30">
        <f t="shared" si="1"/>
        <v>0.48</v>
      </c>
      <c r="N5" s="32">
        <v>82.4</v>
      </c>
      <c r="O5" s="32">
        <v>90.4</v>
      </c>
    </row>
    <row r="6" spans="1:15" ht="25.5" x14ac:dyDescent="0.2">
      <c r="A6" s="7" t="s">
        <v>62</v>
      </c>
      <c r="B6" s="7" t="s">
        <v>62</v>
      </c>
      <c r="C6" s="21" t="s">
        <v>49</v>
      </c>
      <c r="D6" s="19">
        <v>20</v>
      </c>
      <c r="E6" s="19"/>
      <c r="F6" s="20">
        <v>10</v>
      </c>
      <c r="G6" s="20">
        <v>800</v>
      </c>
      <c r="H6" s="2" t="s">
        <v>28</v>
      </c>
      <c r="I6" s="26" t="s">
        <v>21</v>
      </c>
      <c r="J6" s="17">
        <v>3917.4</v>
      </c>
      <c r="K6" s="6">
        <v>1600</v>
      </c>
      <c r="L6" s="6">
        <f t="shared" si="0"/>
        <v>2</v>
      </c>
      <c r="M6" s="30">
        <f t="shared" si="1"/>
        <v>0.12</v>
      </c>
      <c r="N6" s="32">
        <v>24</v>
      </c>
      <c r="O6" s="32">
        <v>26.2</v>
      </c>
    </row>
    <row r="7" spans="1:15" ht="25.5" x14ac:dyDescent="0.2">
      <c r="A7" s="7" t="s">
        <v>66</v>
      </c>
      <c r="B7" s="7" t="s">
        <v>66</v>
      </c>
      <c r="C7" s="21" t="s">
        <v>49</v>
      </c>
      <c r="D7" s="19">
        <v>15</v>
      </c>
      <c r="E7" s="19"/>
      <c r="F7" s="20">
        <v>50</v>
      </c>
      <c r="G7" s="20">
        <v>1750</v>
      </c>
      <c r="H7" s="3" t="s">
        <v>29</v>
      </c>
      <c r="I7" s="26" t="s">
        <v>7</v>
      </c>
      <c r="J7" s="17">
        <v>3917.4</v>
      </c>
      <c r="K7" s="6">
        <v>1750</v>
      </c>
      <c r="L7" s="6">
        <f t="shared" si="0"/>
        <v>1</v>
      </c>
      <c r="M7" s="30">
        <f t="shared" si="1"/>
        <v>0.06</v>
      </c>
      <c r="N7" s="32">
        <v>12.3</v>
      </c>
      <c r="O7" s="32">
        <v>13.3</v>
      </c>
    </row>
    <row r="8" spans="1:15" ht="25.5" x14ac:dyDescent="0.2">
      <c r="A8" s="7" t="s">
        <v>52</v>
      </c>
      <c r="B8" s="7" t="s">
        <v>52</v>
      </c>
      <c r="C8" s="23" t="s">
        <v>49</v>
      </c>
      <c r="D8" s="19">
        <v>15</v>
      </c>
      <c r="E8" s="19">
        <v>80</v>
      </c>
      <c r="F8" s="20">
        <v>50</v>
      </c>
      <c r="G8" s="20">
        <v>1100</v>
      </c>
      <c r="H8" s="3" t="s">
        <v>22</v>
      </c>
      <c r="I8" s="26" t="s">
        <v>6</v>
      </c>
      <c r="J8" s="17">
        <v>3917.4</v>
      </c>
      <c r="K8" s="6">
        <v>19800</v>
      </c>
      <c r="L8" s="6">
        <f t="shared" si="0"/>
        <v>18</v>
      </c>
      <c r="M8" s="30">
        <f t="shared" si="1"/>
        <v>1.08</v>
      </c>
      <c r="N8" s="32">
        <v>230.4</v>
      </c>
      <c r="O8" s="32">
        <v>248.4</v>
      </c>
    </row>
    <row r="9" spans="1:15" ht="25.5" x14ac:dyDescent="0.2">
      <c r="A9" s="7" t="s">
        <v>53</v>
      </c>
      <c r="B9" s="7" t="s">
        <v>53</v>
      </c>
      <c r="C9" s="23" t="s">
        <v>49</v>
      </c>
      <c r="D9" s="19">
        <v>15</v>
      </c>
      <c r="E9" s="19">
        <v>125</v>
      </c>
      <c r="F9" s="20">
        <v>50</v>
      </c>
      <c r="G9" s="20">
        <v>800</v>
      </c>
      <c r="H9" s="3" t="s">
        <v>23</v>
      </c>
      <c r="I9" s="26" t="s">
        <v>8</v>
      </c>
      <c r="J9" s="17">
        <v>3917.4</v>
      </c>
      <c r="K9" s="6">
        <v>9600</v>
      </c>
      <c r="L9" s="6">
        <f t="shared" si="0"/>
        <v>12</v>
      </c>
      <c r="M9" s="30">
        <f t="shared" si="1"/>
        <v>0.72</v>
      </c>
      <c r="N9" s="32">
        <v>174</v>
      </c>
      <c r="O9" s="32">
        <v>186</v>
      </c>
    </row>
    <row r="10" spans="1:15" ht="25.5" x14ac:dyDescent="0.2">
      <c r="A10" s="7" t="s">
        <v>58</v>
      </c>
      <c r="B10" s="7" t="s">
        <v>58</v>
      </c>
      <c r="C10" s="21" t="s">
        <v>49</v>
      </c>
      <c r="D10" s="19">
        <v>20</v>
      </c>
      <c r="E10" s="19">
        <v>50</v>
      </c>
      <c r="F10" s="20">
        <v>10</v>
      </c>
      <c r="G10" s="20">
        <v>1300</v>
      </c>
      <c r="H10" s="3" t="s">
        <v>26</v>
      </c>
      <c r="I10" s="26" t="s">
        <v>19</v>
      </c>
      <c r="J10" s="17">
        <v>3917.4</v>
      </c>
      <c r="K10" s="6">
        <v>2600</v>
      </c>
      <c r="L10" s="6">
        <f t="shared" si="0"/>
        <v>2</v>
      </c>
      <c r="M10" s="30">
        <f t="shared" si="1"/>
        <v>0.12</v>
      </c>
      <c r="N10" s="32">
        <v>24.6</v>
      </c>
      <c r="O10" s="32">
        <v>26.6</v>
      </c>
    </row>
    <row r="11" spans="1:15" ht="25.5" x14ac:dyDescent="0.2">
      <c r="A11" s="7" t="s">
        <v>59</v>
      </c>
      <c r="B11" s="7" t="s">
        <v>59</v>
      </c>
      <c r="C11" s="21" t="s">
        <v>49</v>
      </c>
      <c r="D11" s="19">
        <v>20</v>
      </c>
      <c r="E11" s="19">
        <v>80</v>
      </c>
      <c r="F11" s="20">
        <v>10</v>
      </c>
      <c r="G11" s="20">
        <v>800</v>
      </c>
      <c r="H11" s="3" t="s">
        <v>27</v>
      </c>
      <c r="I11" s="26" t="s">
        <v>20</v>
      </c>
      <c r="J11" s="17">
        <v>3917.4</v>
      </c>
      <c r="K11" s="6">
        <v>1600</v>
      </c>
      <c r="L11" s="6">
        <f t="shared" si="0"/>
        <v>2</v>
      </c>
      <c r="M11" s="30">
        <f t="shared" si="1"/>
        <v>0.12</v>
      </c>
      <c r="N11" s="32">
        <v>25.6</v>
      </c>
      <c r="O11" s="32">
        <v>27.6</v>
      </c>
    </row>
    <row r="12" spans="1:15" ht="25.5" x14ac:dyDescent="0.2">
      <c r="A12" s="7" t="s">
        <v>60</v>
      </c>
      <c r="B12" s="7" t="s">
        <v>60</v>
      </c>
      <c r="C12" s="21" t="s">
        <v>49</v>
      </c>
      <c r="D12" s="19">
        <v>20</v>
      </c>
      <c r="E12" s="19">
        <v>150</v>
      </c>
      <c r="F12" s="20">
        <v>10</v>
      </c>
      <c r="G12" s="20">
        <v>450</v>
      </c>
      <c r="H12" s="3" t="s">
        <v>31</v>
      </c>
      <c r="I12" s="26" t="s">
        <v>32</v>
      </c>
      <c r="J12" s="17">
        <v>3917.4</v>
      </c>
      <c r="K12" s="6">
        <v>1800</v>
      </c>
      <c r="L12" s="6">
        <f t="shared" si="0"/>
        <v>4</v>
      </c>
      <c r="M12" s="30">
        <f t="shared" si="1"/>
        <v>0.24</v>
      </c>
      <c r="N12" s="32">
        <v>65.2</v>
      </c>
      <c r="O12" s="32">
        <v>69.2</v>
      </c>
    </row>
    <row r="13" spans="1:15" ht="25.5" x14ac:dyDescent="0.2">
      <c r="A13" s="12" t="s">
        <v>63</v>
      </c>
      <c r="B13" s="12" t="s">
        <v>63</v>
      </c>
      <c r="C13" s="23" t="s">
        <v>51</v>
      </c>
      <c r="D13" s="18">
        <v>25</v>
      </c>
      <c r="E13" s="18">
        <v>100</v>
      </c>
      <c r="F13" s="24">
        <v>10</v>
      </c>
      <c r="G13" s="24">
        <v>400</v>
      </c>
      <c r="H13" s="14" t="s">
        <v>42</v>
      </c>
      <c r="I13" s="27" t="s">
        <v>43</v>
      </c>
      <c r="J13" s="17">
        <v>3917.4</v>
      </c>
      <c r="K13" s="6">
        <v>800</v>
      </c>
      <c r="L13" s="6">
        <f t="shared" si="0"/>
        <v>2</v>
      </c>
      <c r="M13" s="30">
        <f t="shared" si="1"/>
        <v>0.12</v>
      </c>
      <c r="N13" s="32">
        <v>26</v>
      </c>
      <c r="O13" s="32">
        <v>28</v>
      </c>
    </row>
    <row r="14" spans="1:15" ht="25.5" x14ac:dyDescent="0.2">
      <c r="A14" s="12" t="s">
        <v>64</v>
      </c>
      <c r="B14" s="12" t="s">
        <v>64</v>
      </c>
      <c r="C14" s="23" t="s">
        <v>51</v>
      </c>
      <c r="D14" s="18">
        <v>25</v>
      </c>
      <c r="E14" s="18">
        <v>150</v>
      </c>
      <c r="F14" s="20">
        <v>10</v>
      </c>
      <c r="G14" s="20">
        <v>300</v>
      </c>
      <c r="H14" s="14" t="s">
        <v>44</v>
      </c>
      <c r="I14" s="28" t="s">
        <v>45</v>
      </c>
      <c r="J14" s="17">
        <v>3917.4</v>
      </c>
      <c r="K14" s="6">
        <v>300</v>
      </c>
      <c r="L14" s="6">
        <f t="shared" si="0"/>
        <v>1</v>
      </c>
      <c r="M14" s="30">
        <f t="shared" si="1"/>
        <v>0.06</v>
      </c>
      <c r="N14" s="32">
        <v>13</v>
      </c>
      <c r="O14" s="32">
        <v>14</v>
      </c>
    </row>
    <row r="15" spans="1:15" ht="25.5" x14ac:dyDescent="0.2">
      <c r="A15" s="1">
        <v>90443200</v>
      </c>
      <c r="B15" s="1" t="s">
        <v>65</v>
      </c>
      <c r="C15" s="19" t="s">
        <v>51</v>
      </c>
      <c r="D15" s="19" t="s">
        <v>46</v>
      </c>
      <c r="E15" s="19">
        <v>150</v>
      </c>
      <c r="F15" s="20">
        <v>10</v>
      </c>
      <c r="G15" s="20">
        <v>300</v>
      </c>
      <c r="H15" s="3" t="s">
        <v>67</v>
      </c>
      <c r="I15" s="29" t="s">
        <v>35</v>
      </c>
      <c r="J15" s="17">
        <v>3917.4</v>
      </c>
      <c r="K15" s="6">
        <v>900</v>
      </c>
      <c r="L15" s="6">
        <f t="shared" si="0"/>
        <v>3</v>
      </c>
      <c r="M15" s="30">
        <f t="shared" si="1"/>
        <v>0.18</v>
      </c>
      <c r="N15" s="32">
        <v>39</v>
      </c>
      <c r="O15" s="32">
        <v>42</v>
      </c>
    </row>
    <row r="16" spans="1:15" ht="25.5" x14ac:dyDescent="0.2">
      <c r="A16" s="12" t="s">
        <v>54</v>
      </c>
      <c r="B16" s="12" t="s">
        <v>54</v>
      </c>
      <c r="C16" s="21" t="s">
        <v>50</v>
      </c>
      <c r="D16" s="18">
        <v>15</v>
      </c>
      <c r="E16" s="18">
        <v>150</v>
      </c>
      <c r="F16" s="25">
        <v>10</v>
      </c>
      <c r="G16" s="22">
        <v>130</v>
      </c>
      <c r="H16" s="13" t="s">
        <v>36</v>
      </c>
      <c r="I16" s="28" t="s">
        <v>37</v>
      </c>
      <c r="J16" s="17">
        <v>3917.4</v>
      </c>
      <c r="K16" s="6">
        <v>1950</v>
      </c>
      <c r="L16" s="6">
        <f t="shared" si="0"/>
        <v>15</v>
      </c>
      <c r="M16" s="30">
        <f t="shared" si="1"/>
        <v>0.89999999999999991</v>
      </c>
      <c r="N16" s="32">
        <v>127.5</v>
      </c>
      <c r="O16" s="32">
        <v>142.5</v>
      </c>
    </row>
    <row r="17" spans="1:15" ht="25.5" x14ac:dyDescent="0.2">
      <c r="A17" s="12" t="s">
        <v>55</v>
      </c>
      <c r="B17" s="12" t="s">
        <v>55</v>
      </c>
      <c r="C17" s="21" t="s">
        <v>50</v>
      </c>
      <c r="D17" s="18">
        <v>15</v>
      </c>
      <c r="E17" s="18">
        <v>200</v>
      </c>
      <c r="F17" s="22">
        <v>10</v>
      </c>
      <c r="G17" s="22">
        <v>110</v>
      </c>
      <c r="H17" s="13" t="s">
        <v>38</v>
      </c>
      <c r="I17" s="28" t="s">
        <v>39</v>
      </c>
      <c r="J17" s="17">
        <v>3917.4</v>
      </c>
      <c r="K17" s="6">
        <v>550</v>
      </c>
      <c r="L17" s="6">
        <f t="shared" si="0"/>
        <v>5</v>
      </c>
      <c r="M17" s="30">
        <f t="shared" si="1"/>
        <v>0.3</v>
      </c>
      <c r="N17" s="32">
        <v>42.5</v>
      </c>
      <c r="O17" s="32">
        <v>47.5</v>
      </c>
    </row>
    <row r="18" spans="1:15" ht="25.5" x14ac:dyDescent="0.2">
      <c r="A18" s="12" t="s">
        <v>61</v>
      </c>
      <c r="B18" s="12" t="s">
        <v>61</v>
      </c>
      <c r="C18" s="21" t="s">
        <v>50</v>
      </c>
      <c r="D18" s="18">
        <v>20</v>
      </c>
      <c r="E18" s="18">
        <v>200</v>
      </c>
      <c r="F18" s="22">
        <v>5</v>
      </c>
      <c r="G18" s="22">
        <v>75</v>
      </c>
      <c r="H18" s="13" t="s">
        <v>40</v>
      </c>
      <c r="I18" s="28" t="s">
        <v>41</v>
      </c>
      <c r="J18" s="17">
        <v>3917.4</v>
      </c>
      <c r="K18" s="6">
        <v>300</v>
      </c>
      <c r="L18" s="6">
        <f t="shared" si="0"/>
        <v>4</v>
      </c>
      <c r="M18" s="30">
        <f t="shared" si="1"/>
        <v>0.24</v>
      </c>
      <c r="N18" s="32">
        <v>32.799999999999997</v>
      </c>
      <c r="O18" s="32">
        <v>36.799999999999997</v>
      </c>
    </row>
    <row r="19" spans="1:15" x14ac:dyDescent="0.2">
      <c r="A19" s="8"/>
      <c r="B19" s="8"/>
      <c r="C19" s="8"/>
      <c r="D19" s="15"/>
      <c r="E19" s="15"/>
      <c r="F19" s="9"/>
      <c r="G19" s="9"/>
      <c r="H19" s="10"/>
      <c r="I19" s="5" t="s">
        <v>30</v>
      </c>
      <c r="J19" s="5"/>
      <c r="K19" s="5">
        <f>SUBTOTAL(9,K4:K18)</f>
        <v>56450</v>
      </c>
      <c r="L19" s="5">
        <f>SUBTOTAL(9,L4:L18)</f>
        <v>85</v>
      </c>
      <c r="M19" s="31">
        <f>SUBTOTAL(9,M4:M18)</f>
        <v>5.1000000000000005</v>
      </c>
      <c r="N19" s="33">
        <f>SUBTOTAL(9,N4:N18)</f>
        <v>979.30000000000007</v>
      </c>
      <c r="O19" s="33">
        <f>SUBTOTAL(9,O4:O18)</f>
        <v>1064.5</v>
      </c>
    </row>
  </sheetData>
  <sortState ref="B5:AJ47">
    <sortCondition ref="B5"/>
  </sortState>
  <mergeCells count="5">
    <mergeCell ref="F2:G2"/>
    <mergeCell ref="K2:L2"/>
    <mergeCell ref="N2:N3"/>
    <mergeCell ref="O2:O3"/>
    <mergeCell ref="A1:O1"/>
  </mergeCells>
  <phoneticPr fontId="0" type="noConversion"/>
  <pageMargins left="0.5" right="0.5" top="0.5" bottom="0.5" header="0" footer="0"/>
  <pageSetup paperSize="9"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1"/>
  <sheetViews>
    <sheetView workbookViewId="0">
      <selection sqref="A1:M1"/>
    </sheetView>
  </sheetViews>
  <sheetFormatPr defaultColWidth="9.140625" defaultRowHeight="12.75" x14ac:dyDescent="0.2"/>
  <cols>
    <col min="1" max="1" width="11.28515625" style="71" bestFit="1" customWidth="1"/>
    <col min="2" max="2" width="11.28515625" style="71" customWidth="1"/>
    <col min="3" max="3" width="5.140625" style="71" bestFit="1" customWidth="1"/>
    <col min="4" max="4" width="6" style="72" bestFit="1" customWidth="1"/>
    <col min="5" max="5" width="6.28515625" style="72" bestFit="1" customWidth="1"/>
    <col min="6" max="6" width="32.7109375" style="71" bestFit="1" customWidth="1"/>
    <col min="7" max="7" width="14.140625" style="71" bestFit="1" customWidth="1"/>
    <col min="8" max="8" width="14.140625" style="71" customWidth="1"/>
    <col min="9" max="9" width="9.140625" style="71"/>
    <col min="10" max="11" width="9.28515625" style="71" bestFit="1" customWidth="1"/>
    <col min="12" max="13" width="9.140625" style="71"/>
    <col min="14" max="16384" width="9.140625" style="4"/>
  </cols>
  <sheetData>
    <row r="1" spans="1:17" x14ac:dyDescent="0.2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7" ht="20.25" customHeight="1" x14ac:dyDescent="0.2">
      <c r="A2" s="18" t="s">
        <v>10</v>
      </c>
      <c r="B2" s="18" t="s">
        <v>48</v>
      </c>
      <c r="C2" s="18" t="s">
        <v>11</v>
      </c>
      <c r="D2" s="41" t="s">
        <v>2</v>
      </c>
      <c r="E2" s="42"/>
      <c r="F2" s="18" t="s">
        <v>1</v>
      </c>
      <c r="G2" s="18" t="s">
        <v>5</v>
      </c>
      <c r="H2" s="18" t="s">
        <v>47</v>
      </c>
      <c r="I2" s="43" t="s">
        <v>14</v>
      </c>
      <c r="J2" s="43"/>
      <c r="K2" s="19" t="s">
        <v>17</v>
      </c>
      <c r="L2" s="44" t="s">
        <v>33</v>
      </c>
      <c r="M2" s="44" t="s">
        <v>34</v>
      </c>
    </row>
    <row r="3" spans="1:17" ht="20.25" customHeight="1" x14ac:dyDescent="0.2">
      <c r="A3" s="45"/>
      <c r="B3" s="22"/>
      <c r="C3" s="18" t="s">
        <v>13</v>
      </c>
      <c r="D3" s="18" t="s">
        <v>3</v>
      </c>
      <c r="E3" s="18" t="s">
        <v>4</v>
      </c>
      <c r="F3" s="46"/>
      <c r="G3" s="18"/>
      <c r="H3" s="18"/>
      <c r="I3" s="19" t="s">
        <v>15</v>
      </c>
      <c r="J3" s="19" t="s">
        <v>16</v>
      </c>
      <c r="K3" s="45"/>
      <c r="L3" s="44"/>
      <c r="M3" s="44"/>
    </row>
    <row r="4" spans="1:17" x14ac:dyDescent="0.2">
      <c r="A4" s="47" t="s">
        <v>69</v>
      </c>
      <c r="B4" s="48" t="s">
        <v>51</v>
      </c>
      <c r="C4" s="49">
        <v>15</v>
      </c>
      <c r="D4" s="22">
        <v>10</v>
      </c>
      <c r="E4" s="24">
        <v>800</v>
      </c>
      <c r="F4" s="13" t="s">
        <v>70</v>
      </c>
      <c r="G4" s="50">
        <v>9319696300150</v>
      </c>
      <c r="H4" s="51">
        <v>3917.4</v>
      </c>
      <c r="I4" s="45">
        <v>4800</v>
      </c>
      <c r="J4" s="45">
        <f t="shared" ref="J4:J20" si="0">I4/E4</f>
        <v>6</v>
      </c>
      <c r="K4" s="52">
        <f t="shared" ref="K4:K20" si="1">J4*0.06</f>
        <v>0.36</v>
      </c>
      <c r="L4" s="53">
        <v>100.80000000000001</v>
      </c>
      <c r="M4" s="53">
        <v>111</v>
      </c>
    </row>
    <row r="5" spans="1:17" x14ac:dyDescent="0.2">
      <c r="A5" s="47" t="s">
        <v>71</v>
      </c>
      <c r="B5" s="48" t="s">
        <v>51</v>
      </c>
      <c r="C5" s="49">
        <v>20</v>
      </c>
      <c r="D5" s="22">
        <v>10</v>
      </c>
      <c r="E5" s="22">
        <v>550</v>
      </c>
      <c r="F5" s="13" t="s">
        <v>72</v>
      </c>
      <c r="G5" s="50">
        <v>9319696300204</v>
      </c>
      <c r="H5" s="51">
        <v>3917.4</v>
      </c>
      <c r="I5" s="45">
        <v>4400</v>
      </c>
      <c r="J5" s="45">
        <f t="shared" si="0"/>
        <v>8</v>
      </c>
      <c r="K5" s="52">
        <f t="shared" si="1"/>
        <v>0.48</v>
      </c>
      <c r="L5" s="53">
        <v>154</v>
      </c>
      <c r="M5" s="53">
        <v>164</v>
      </c>
    </row>
    <row r="6" spans="1:17" x14ac:dyDescent="0.2">
      <c r="A6" s="47" t="s">
        <v>73</v>
      </c>
      <c r="B6" s="48" t="s">
        <v>51</v>
      </c>
      <c r="C6" s="49">
        <v>25</v>
      </c>
      <c r="D6" s="22">
        <v>10</v>
      </c>
      <c r="E6" s="22">
        <v>300</v>
      </c>
      <c r="F6" s="13" t="s">
        <v>74</v>
      </c>
      <c r="G6" s="50">
        <v>9319696300259</v>
      </c>
      <c r="H6" s="51">
        <v>3917.4</v>
      </c>
      <c r="I6" s="45">
        <v>1800</v>
      </c>
      <c r="J6" s="45">
        <f t="shared" si="0"/>
        <v>6</v>
      </c>
      <c r="K6" s="52">
        <f t="shared" si="1"/>
        <v>0.36</v>
      </c>
      <c r="L6" s="53">
        <v>99</v>
      </c>
      <c r="M6" s="53">
        <v>106.19999999999999</v>
      </c>
    </row>
    <row r="7" spans="1:17" x14ac:dyDescent="0.2">
      <c r="A7" s="47" t="s">
        <v>75</v>
      </c>
      <c r="B7" s="54" t="s">
        <v>51</v>
      </c>
      <c r="C7" s="49">
        <v>15</v>
      </c>
      <c r="D7" s="22">
        <v>5</v>
      </c>
      <c r="E7" s="24">
        <v>200</v>
      </c>
      <c r="F7" s="55" t="s">
        <v>76</v>
      </c>
      <c r="G7" s="56" t="s">
        <v>77</v>
      </c>
      <c r="H7" s="51">
        <v>3917.4</v>
      </c>
      <c r="I7" s="45">
        <v>2000</v>
      </c>
      <c r="J7" s="45">
        <f t="shared" si="0"/>
        <v>10</v>
      </c>
      <c r="K7" s="52">
        <f t="shared" si="1"/>
        <v>0.6</v>
      </c>
      <c r="L7" s="53">
        <v>150</v>
      </c>
      <c r="M7" s="53">
        <v>160</v>
      </c>
    </row>
    <row r="8" spans="1:17" x14ac:dyDescent="0.2">
      <c r="A8" s="47" t="s">
        <v>78</v>
      </c>
      <c r="B8" s="54" t="s">
        <v>51</v>
      </c>
      <c r="C8" s="49">
        <v>20</v>
      </c>
      <c r="D8" s="20">
        <v>5</v>
      </c>
      <c r="E8" s="20">
        <v>150</v>
      </c>
      <c r="F8" s="55" t="s">
        <v>79</v>
      </c>
      <c r="G8" s="56" t="s">
        <v>80</v>
      </c>
      <c r="H8" s="51">
        <v>3917.4</v>
      </c>
      <c r="I8" s="45">
        <v>2100</v>
      </c>
      <c r="J8" s="6">
        <f t="shared" si="0"/>
        <v>14</v>
      </c>
      <c r="K8" s="52">
        <f t="shared" si="1"/>
        <v>0.84</v>
      </c>
      <c r="L8" s="53">
        <v>221.20000000000002</v>
      </c>
      <c r="M8" s="53">
        <v>235.20000000000002</v>
      </c>
    </row>
    <row r="9" spans="1:17" x14ac:dyDescent="0.2">
      <c r="A9" s="47" t="s">
        <v>81</v>
      </c>
      <c r="B9" s="54" t="s">
        <v>51</v>
      </c>
      <c r="C9" s="49">
        <v>25</v>
      </c>
      <c r="D9" s="20">
        <v>5</v>
      </c>
      <c r="E9" s="20">
        <v>125</v>
      </c>
      <c r="F9" s="55" t="s">
        <v>82</v>
      </c>
      <c r="G9" s="56" t="s">
        <v>83</v>
      </c>
      <c r="H9" s="51">
        <v>3917.4</v>
      </c>
      <c r="I9" s="45">
        <v>2000</v>
      </c>
      <c r="J9" s="6">
        <f t="shared" si="0"/>
        <v>16</v>
      </c>
      <c r="K9" s="52">
        <f t="shared" si="1"/>
        <v>0.96</v>
      </c>
      <c r="L9" s="53">
        <v>249.6</v>
      </c>
      <c r="M9" s="53">
        <v>265.60000000000002</v>
      </c>
    </row>
    <row r="10" spans="1:17" x14ac:dyDescent="0.2">
      <c r="A10" s="47" t="s">
        <v>84</v>
      </c>
      <c r="B10" s="48" t="s">
        <v>51</v>
      </c>
      <c r="C10" s="49">
        <v>15</v>
      </c>
      <c r="D10" s="22">
        <v>10</v>
      </c>
      <c r="E10" s="22">
        <v>1500</v>
      </c>
      <c r="F10" s="14" t="s">
        <v>85</v>
      </c>
      <c r="G10" s="50">
        <v>9319696120154</v>
      </c>
      <c r="H10" s="51">
        <v>3917.4</v>
      </c>
      <c r="I10" s="45">
        <v>3000</v>
      </c>
      <c r="J10" s="45">
        <f t="shared" si="0"/>
        <v>2</v>
      </c>
      <c r="K10" s="52">
        <f t="shared" si="1"/>
        <v>0.12</v>
      </c>
      <c r="L10" s="53">
        <v>27</v>
      </c>
      <c r="M10" s="53">
        <v>30.4</v>
      </c>
    </row>
    <row r="11" spans="1:17" x14ac:dyDescent="0.2">
      <c r="A11" s="47" t="s">
        <v>86</v>
      </c>
      <c r="B11" s="48" t="s">
        <v>51</v>
      </c>
      <c r="C11" s="49">
        <v>20</v>
      </c>
      <c r="D11" s="22">
        <v>10</v>
      </c>
      <c r="E11" s="22">
        <v>780</v>
      </c>
      <c r="F11" s="13" t="s">
        <v>87</v>
      </c>
      <c r="G11" s="50">
        <v>9319696120208</v>
      </c>
      <c r="H11" s="51">
        <v>3917.4</v>
      </c>
      <c r="I11" s="45">
        <v>1560</v>
      </c>
      <c r="J11" s="45">
        <f t="shared" si="0"/>
        <v>2</v>
      </c>
      <c r="K11" s="52">
        <f t="shared" si="1"/>
        <v>0.12</v>
      </c>
      <c r="L11" s="53">
        <v>24.96</v>
      </c>
      <c r="M11" s="53">
        <v>27.6</v>
      </c>
    </row>
    <row r="12" spans="1:17" x14ac:dyDescent="0.2">
      <c r="A12" s="47" t="s">
        <v>88</v>
      </c>
      <c r="B12" s="48" t="s">
        <v>51</v>
      </c>
      <c r="C12" s="49">
        <v>25</v>
      </c>
      <c r="D12" s="22">
        <v>10</v>
      </c>
      <c r="E12" s="22">
        <v>550</v>
      </c>
      <c r="F12" s="13" t="s">
        <v>89</v>
      </c>
      <c r="G12" s="50">
        <v>9319696120253</v>
      </c>
      <c r="H12" s="51">
        <v>3917.4</v>
      </c>
      <c r="I12" s="45">
        <v>2200</v>
      </c>
      <c r="J12" s="45">
        <f t="shared" si="0"/>
        <v>4</v>
      </c>
      <c r="K12" s="52">
        <f t="shared" si="1"/>
        <v>0.24</v>
      </c>
      <c r="L12" s="53">
        <v>51.2</v>
      </c>
      <c r="M12" s="53">
        <v>56</v>
      </c>
    </row>
    <row r="13" spans="1:17" x14ac:dyDescent="0.2">
      <c r="A13" s="57" t="s">
        <v>90</v>
      </c>
      <c r="B13" s="54" t="s">
        <v>51</v>
      </c>
      <c r="C13" s="58">
        <v>15</v>
      </c>
      <c r="D13" s="20">
        <v>10</v>
      </c>
      <c r="E13" s="20">
        <v>1900</v>
      </c>
      <c r="F13" s="3" t="s">
        <v>91</v>
      </c>
      <c r="G13" s="59">
        <v>9319696400157</v>
      </c>
      <c r="H13" s="60">
        <v>3917.4</v>
      </c>
      <c r="I13" s="6">
        <v>19000</v>
      </c>
      <c r="J13" s="6">
        <f t="shared" si="0"/>
        <v>10</v>
      </c>
      <c r="K13" s="30">
        <f t="shared" si="1"/>
        <v>0.6</v>
      </c>
      <c r="L13" s="61">
        <v>171</v>
      </c>
      <c r="M13" s="61">
        <v>182</v>
      </c>
      <c r="P13" s="62"/>
      <c r="Q13" s="63"/>
    </row>
    <row r="14" spans="1:17" x14ac:dyDescent="0.2">
      <c r="A14" s="57" t="s">
        <v>92</v>
      </c>
      <c r="B14" s="54" t="s">
        <v>51</v>
      </c>
      <c r="C14" s="58">
        <v>20</v>
      </c>
      <c r="D14" s="20">
        <v>10</v>
      </c>
      <c r="E14" s="20">
        <v>890</v>
      </c>
      <c r="F14" s="3" t="s">
        <v>93</v>
      </c>
      <c r="G14" s="59">
        <v>9319696400201</v>
      </c>
      <c r="H14" s="60">
        <v>3917.4</v>
      </c>
      <c r="I14" s="6">
        <v>8010</v>
      </c>
      <c r="J14" s="6">
        <f t="shared" si="0"/>
        <v>9</v>
      </c>
      <c r="K14" s="30">
        <f t="shared" si="1"/>
        <v>0.54</v>
      </c>
      <c r="L14" s="61">
        <v>107.10000000000001</v>
      </c>
      <c r="M14" s="61">
        <v>119.7</v>
      </c>
      <c r="P14" s="62"/>
      <c r="Q14" s="63"/>
    </row>
    <row r="15" spans="1:17" x14ac:dyDescent="0.2">
      <c r="A15" s="57" t="s">
        <v>94</v>
      </c>
      <c r="B15" s="54" t="s">
        <v>51</v>
      </c>
      <c r="C15" s="58">
        <v>25</v>
      </c>
      <c r="D15" s="20">
        <v>10</v>
      </c>
      <c r="E15" s="20">
        <v>600</v>
      </c>
      <c r="F15" s="3" t="s">
        <v>95</v>
      </c>
      <c r="G15" s="59">
        <v>9319696400256</v>
      </c>
      <c r="H15" s="60">
        <v>3917.4</v>
      </c>
      <c r="I15" s="6">
        <v>7200</v>
      </c>
      <c r="J15" s="6">
        <f t="shared" si="0"/>
        <v>12</v>
      </c>
      <c r="K15" s="30">
        <f t="shared" si="1"/>
        <v>0.72</v>
      </c>
      <c r="L15" s="61">
        <v>187.2</v>
      </c>
      <c r="M15" s="61">
        <v>204</v>
      </c>
      <c r="P15" s="62"/>
      <c r="Q15" s="63"/>
    </row>
    <row r="16" spans="1:17" x14ac:dyDescent="0.2">
      <c r="A16" s="47" t="s">
        <v>96</v>
      </c>
      <c r="B16" s="48" t="s">
        <v>51</v>
      </c>
      <c r="C16" s="49" t="s">
        <v>97</v>
      </c>
      <c r="D16" s="22">
        <v>10</v>
      </c>
      <c r="E16" s="22">
        <v>2000</v>
      </c>
      <c r="F16" s="13" t="s">
        <v>98</v>
      </c>
      <c r="G16" s="50">
        <v>9319696720156</v>
      </c>
      <c r="H16" s="51">
        <v>3917.4</v>
      </c>
      <c r="I16" s="45">
        <v>8000</v>
      </c>
      <c r="J16" s="45">
        <f t="shared" si="0"/>
        <v>4</v>
      </c>
      <c r="K16" s="52">
        <f t="shared" si="1"/>
        <v>0.24</v>
      </c>
      <c r="L16" s="53">
        <v>67.2</v>
      </c>
      <c r="M16" s="53">
        <v>75.2</v>
      </c>
    </row>
    <row r="17" spans="1:13" x14ac:dyDescent="0.2">
      <c r="A17" s="47" t="s">
        <v>99</v>
      </c>
      <c r="B17" s="48" t="s">
        <v>51</v>
      </c>
      <c r="C17" s="49" t="s">
        <v>100</v>
      </c>
      <c r="D17" s="22">
        <v>10</v>
      </c>
      <c r="E17" s="22">
        <v>1200</v>
      </c>
      <c r="F17" s="13" t="s">
        <v>101</v>
      </c>
      <c r="G17" s="50">
        <v>9319696725151</v>
      </c>
      <c r="H17" s="51">
        <v>3917.4</v>
      </c>
      <c r="I17" s="45">
        <v>2400</v>
      </c>
      <c r="J17" s="45">
        <f t="shared" si="0"/>
        <v>2</v>
      </c>
      <c r="K17" s="52">
        <f t="shared" si="1"/>
        <v>0.12</v>
      </c>
      <c r="L17" s="53">
        <v>41.8</v>
      </c>
      <c r="M17" s="53">
        <v>44.8</v>
      </c>
    </row>
    <row r="18" spans="1:13" x14ac:dyDescent="0.2">
      <c r="A18" s="47" t="s">
        <v>102</v>
      </c>
      <c r="B18" s="48" t="s">
        <v>51</v>
      </c>
      <c r="C18" s="49" t="s">
        <v>103</v>
      </c>
      <c r="D18" s="22">
        <v>10</v>
      </c>
      <c r="E18" s="22">
        <v>1100</v>
      </c>
      <c r="F18" s="13" t="s">
        <v>104</v>
      </c>
      <c r="G18" s="50">
        <v>9319696725205</v>
      </c>
      <c r="H18" s="51">
        <v>3917.4</v>
      </c>
      <c r="I18" s="45">
        <v>4400</v>
      </c>
      <c r="J18" s="45">
        <f t="shared" si="0"/>
        <v>4</v>
      </c>
      <c r="K18" s="52">
        <f t="shared" si="1"/>
        <v>0.24</v>
      </c>
      <c r="L18" s="53">
        <v>59.6</v>
      </c>
      <c r="M18" s="53">
        <v>65.2</v>
      </c>
    </row>
    <row r="19" spans="1:13" x14ac:dyDescent="0.2">
      <c r="A19" s="47" t="s">
        <v>105</v>
      </c>
      <c r="B19" s="48" t="s">
        <v>51</v>
      </c>
      <c r="C19" s="49" t="s">
        <v>106</v>
      </c>
      <c r="D19" s="22">
        <v>10</v>
      </c>
      <c r="E19" s="22">
        <v>500</v>
      </c>
      <c r="F19" s="13" t="s">
        <v>107</v>
      </c>
      <c r="G19" s="50">
        <v>9319696740253</v>
      </c>
      <c r="H19" s="51">
        <v>3917.4</v>
      </c>
      <c r="I19" s="45">
        <v>2000</v>
      </c>
      <c r="J19" s="45">
        <f t="shared" si="0"/>
        <v>4</v>
      </c>
      <c r="K19" s="52">
        <f t="shared" si="1"/>
        <v>0.24</v>
      </c>
      <c r="L19" s="53">
        <v>83.2</v>
      </c>
      <c r="M19" s="53">
        <v>87.6</v>
      </c>
    </row>
    <row r="20" spans="1:13" x14ac:dyDescent="0.2">
      <c r="A20" s="47" t="s">
        <v>108</v>
      </c>
      <c r="B20" s="48" t="s">
        <v>51</v>
      </c>
      <c r="C20" s="20">
        <v>20</v>
      </c>
      <c r="D20" s="22">
        <v>10</v>
      </c>
      <c r="E20" s="22">
        <v>750</v>
      </c>
      <c r="F20" s="14" t="s">
        <v>109</v>
      </c>
      <c r="G20" s="50">
        <v>9319696502004</v>
      </c>
      <c r="H20" s="51">
        <v>3917.4</v>
      </c>
      <c r="I20" s="45">
        <v>9000</v>
      </c>
      <c r="J20" s="45">
        <f t="shared" si="0"/>
        <v>12</v>
      </c>
      <c r="K20" s="52">
        <f t="shared" si="1"/>
        <v>0.72</v>
      </c>
      <c r="L20" s="53">
        <v>237.60000000000002</v>
      </c>
      <c r="M20" s="53">
        <v>258</v>
      </c>
    </row>
    <row r="21" spans="1:13" x14ac:dyDescent="0.2">
      <c r="A21" s="64"/>
      <c r="B21" s="64"/>
      <c r="C21" s="65"/>
      <c r="D21" s="66"/>
      <c r="E21" s="66"/>
      <c r="F21" s="67"/>
      <c r="G21" s="68" t="s">
        <v>30</v>
      </c>
      <c r="H21" s="68"/>
      <c r="I21" s="68">
        <f>SUBTOTAL(9,I4:I20)</f>
        <v>83870</v>
      </c>
      <c r="J21" s="68">
        <f>SUBTOTAL(9,J4:J20)</f>
        <v>125</v>
      </c>
      <c r="K21" s="69">
        <f>SUBTOTAL(9,K4:K20)</f>
        <v>7.5</v>
      </c>
      <c r="L21" s="70">
        <f>SUBTOTAL(9,L4:L20)</f>
        <v>2032.46</v>
      </c>
      <c r="M21" s="70">
        <f>SUBTOTAL(9,M4:M20)</f>
        <v>2192.5</v>
      </c>
    </row>
  </sheetData>
  <mergeCells count="5">
    <mergeCell ref="A1:M1"/>
    <mergeCell ref="D2:E2"/>
    <mergeCell ref="I2:J2"/>
    <mergeCell ref="L2:L3"/>
    <mergeCell ref="M2:M3"/>
  </mergeCells>
  <pageMargins left="0.51181102362204722" right="0.51181102362204722" top="0.51181102362204722" bottom="0.51181102362204722" header="0" footer="0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PackingPP</vt:lpstr>
      <vt:lpstr>PackingGRN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2026-02-17T06:21:24Z</cp:lastPrinted>
  <dcterms:created xsi:type="dcterms:W3CDTF">2008-10-02T09:29:29Z</dcterms:created>
  <dcterms:modified xsi:type="dcterms:W3CDTF">2026-05-29T10:41:00Z</dcterms:modified>
</cp:coreProperties>
</file>