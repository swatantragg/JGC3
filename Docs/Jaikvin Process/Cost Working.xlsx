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Jaikvin Process\"/>
    </mc:Choice>
  </mc:AlternateContent>
  <bookViews>
    <workbookView xWindow="-105" yWindow="-105" windowWidth="19425" windowHeight="10305"/>
  </bookViews>
  <sheets>
    <sheet name="Cost Working" sheetId="44" r:id="rId1"/>
  </sheets>
  <definedNames>
    <definedName name="_xlnm._FilterDatabase" localSheetId="0" hidden="1">'Cost Working'!$V$3:$V$7</definedName>
  </definedNames>
  <calcPr calcId="162913"/>
</workbook>
</file>

<file path=xl/calcChain.xml><?xml version="1.0" encoding="utf-8"?>
<calcChain xmlns="http://schemas.openxmlformats.org/spreadsheetml/2006/main">
  <c r="W7" i="44" l="1"/>
  <c r="X7" i="44" s="1"/>
  <c r="P7" i="44"/>
  <c r="N7" i="44"/>
  <c r="L7" i="44"/>
  <c r="M7" i="44" s="1"/>
  <c r="K7" i="44"/>
  <c r="I7" i="44"/>
  <c r="J7" i="44" s="1"/>
  <c r="W6" i="44"/>
  <c r="X6" i="44" s="1"/>
  <c r="P6" i="44"/>
  <c r="N6" i="44"/>
  <c r="L6" i="44"/>
  <c r="M6" i="44" s="1"/>
  <c r="K6" i="44"/>
  <c r="I6" i="44"/>
  <c r="J6" i="44" s="1"/>
  <c r="W5" i="44"/>
  <c r="X5" i="44" s="1"/>
  <c r="P5" i="44"/>
  <c r="N5" i="44"/>
  <c r="L5" i="44"/>
  <c r="M5" i="44" s="1"/>
  <c r="K5" i="44"/>
  <c r="I5" i="44"/>
  <c r="J5" i="44" s="1"/>
  <c r="W4" i="44"/>
  <c r="X4" i="44" s="1"/>
  <c r="P4" i="44"/>
  <c r="N4" i="44"/>
  <c r="L4" i="44"/>
  <c r="M4" i="44" s="1"/>
  <c r="K4" i="44"/>
  <c r="I4" i="44"/>
  <c r="J4" i="44" s="1"/>
  <c r="Q5" i="44" l="1"/>
  <c r="R5" i="44" s="1"/>
  <c r="Q6" i="44"/>
  <c r="R6" i="44" s="1"/>
  <c r="T6" i="44" s="1"/>
  <c r="Q7" i="44"/>
  <c r="R7" i="44" s="1"/>
  <c r="T7" i="44" s="1"/>
  <c r="Q4" i="44"/>
  <c r="R4" i="44" s="1"/>
  <c r="Z4" i="44" l="1"/>
  <c r="AA4" i="44" s="1"/>
  <c r="T4" i="44"/>
  <c r="Z5" i="44"/>
  <c r="AA5" i="44" s="1"/>
  <c r="T5" i="44"/>
  <c r="Z7" i="44"/>
  <c r="AA7" i="44" s="1"/>
  <c r="Z6" i="44"/>
  <c r="AA6" i="44" s="1"/>
</calcChain>
</file>

<file path=xl/sharedStrings.xml><?xml version="1.0" encoding="utf-8"?>
<sst xmlns="http://schemas.openxmlformats.org/spreadsheetml/2006/main" count="41" uniqueCount="34">
  <si>
    <t xml:space="preserve">CODE </t>
  </si>
  <si>
    <t xml:space="preserve">PACKING </t>
  </si>
  <si>
    <t>UNIT</t>
  </si>
  <si>
    <t>Per Pc</t>
  </si>
  <si>
    <t>GD CODE</t>
  </si>
  <si>
    <t>BOX</t>
  </si>
  <si>
    <t xml:space="preserve">SIZE </t>
  </si>
  <si>
    <t>15 MM (1/2") 21.5x15x19.04</t>
  </si>
  <si>
    <t>PE-1518-PH</t>
  </si>
  <si>
    <t>PP-1518</t>
  </si>
  <si>
    <t>1/2"</t>
  </si>
  <si>
    <t>PURCHASE PRICE</t>
  </si>
  <si>
    <t>No of Sheets / Box</t>
  </si>
  <si>
    <t>BARCODES</t>
  </si>
  <si>
    <t>Barcodes Cost / Box</t>
  </si>
  <si>
    <t>PER BOX</t>
  </si>
  <si>
    <t>Per Box</t>
  </si>
  <si>
    <t>PP-1515</t>
  </si>
  <si>
    <t>TRANSPORT</t>
  </si>
  <si>
    <t>DIA
MM / IN</t>
  </si>
  <si>
    <t>LEN
MM</t>
  </si>
  <si>
    <t>%</t>
  </si>
  <si>
    <t>Boxes / FCL</t>
  </si>
  <si>
    <t>Total Cost</t>
  </si>
  <si>
    <t>DIFFERENCE
INR</t>
  </si>
  <si>
    <t>DIFFCE</t>
  </si>
  <si>
    <t>PER UNIT 09.08.23</t>
  </si>
  <si>
    <t>PP-1509</t>
  </si>
  <si>
    <t>FOB MUMBAI</t>
  </si>
  <si>
    <t>US$
01.01.25</t>
  </si>
  <si>
    <t>Profit / Pc</t>
  </si>
  <si>
    <t>AVG %</t>
  </si>
  <si>
    <t>PER UNIT 26.03.26</t>
  </si>
  <si>
    <t>US$
26.03.26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</si>
</sst>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₹&quot;\ #,##0.00"/>
    <numFmt numFmtId="166" formatCode="[$$-409]#,##0.00"/>
    <numFmt numFmtId="169" formatCode="[$$-409]#,##0.0000"/>
    <numFmt numFmtId="170" formatCode="[$$-409]#,##0.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7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7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3" fillId="0" borderId="0"/>
    <xf numFmtId="0" fontId="3" fillId="0" borderId="0"/>
    <xf numFmtId="0" fontId="1" fillId="0" borderId="0"/>
  </cellStyleXfs>
  <cellXfs count="102">
    <xf numFmtId="0" fontId="0" fillId="0" borderId="0" xfId="0"/>
    <xf numFmtId="0" fontId="3" fillId="0" borderId="0" xfId="2" applyAlignment="1">
      <alignment vertical="center"/>
    </xf>
    <xf numFmtId="0" fontId="3" fillId="0" borderId="0" xfId="2" applyAlignment="1">
      <alignment horizontal="left" vertical="center"/>
    </xf>
    <xf numFmtId="0" fontId="3" fillId="0" borderId="0" xfId="2" applyAlignment="1">
      <alignment horizontal="center" vertical="center"/>
    </xf>
    <xf numFmtId="165" fontId="7" fillId="0" borderId="3" xfId="0" applyNumberFormat="1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5" fontId="10" fillId="0" borderId="4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3" fillId="2" borderId="6" xfId="2" applyFill="1" applyBorder="1" applyAlignment="1">
      <alignment horizontal="center" vertical="center"/>
    </xf>
    <xf numFmtId="0" fontId="3" fillId="2" borderId="3" xfId="2" applyFill="1" applyBorder="1" applyAlignment="1">
      <alignment horizontal="center" vertical="center"/>
    </xf>
    <xf numFmtId="0" fontId="4" fillId="2" borderId="7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3" fillId="2" borderId="2" xfId="2" applyFill="1" applyBorder="1" applyAlignment="1">
      <alignment horizontal="center" vertical="center"/>
    </xf>
    <xf numFmtId="0" fontId="3" fillId="2" borderId="8" xfId="2" applyFill="1" applyBorder="1" applyAlignment="1">
      <alignment horizontal="center" vertical="center"/>
    </xf>
    <xf numFmtId="165" fontId="3" fillId="2" borderId="6" xfId="2" applyNumberFormat="1" applyFill="1" applyBorder="1" applyAlignment="1">
      <alignment horizontal="center" vertical="center"/>
    </xf>
    <xf numFmtId="165" fontId="3" fillId="2" borderId="8" xfId="2" applyNumberFormat="1" applyFill="1" applyBorder="1" applyAlignment="1">
      <alignment horizontal="center" vertical="center"/>
    </xf>
    <xf numFmtId="165" fontId="3" fillId="2" borderId="9" xfId="2" applyNumberFormat="1" applyFill="1" applyBorder="1" applyAlignment="1">
      <alignment horizontal="center" vertical="center"/>
    </xf>
    <xf numFmtId="165" fontId="3" fillId="2" borderId="10" xfId="2" applyNumberFormat="1" applyFill="1" applyBorder="1" applyAlignment="1">
      <alignment horizontal="center" vertical="center"/>
    </xf>
    <xf numFmtId="1" fontId="3" fillId="2" borderId="2" xfId="2" applyNumberFormat="1" applyFill="1" applyBorder="1" applyAlignment="1">
      <alignment horizontal="center" vertical="center"/>
    </xf>
    <xf numFmtId="165" fontId="2" fillId="2" borderId="10" xfId="2" applyNumberFormat="1" applyFont="1" applyFill="1" applyBorder="1" applyAlignment="1">
      <alignment horizontal="center" vertical="center"/>
    </xf>
    <xf numFmtId="2" fontId="3" fillId="2" borderId="6" xfId="2" applyNumberFormat="1" applyFill="1" applyBorder="1" applyAlignment="1">
      <alignment horizontal="center" vertical="center"/>
    </xf>
    <xf numFmtId="2" fontId="3" fillId="2" borderId="8" xfId="2" applyNumberFormat="1" applyFill="1" applyBorder="1" applyAlignment="1">
      <alignment horizontal="center" vertical="center"/>
    </xf>
    <xf numFmtId="0" fontId="2" fillId="2" borderId="11" xfId="2" applyFont="1" applyFill="1" applyBorder="1" applyAlignment="1">
      <alignment vertical="center"/>
    </xf>
    <xf numFmtId="0" fontId="2" fillId="2" borderId="12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 wrapText="1" shrinkToFit="1"/>
    </xf>
    <xf numFmtId="0" fontId="2" fillId="2" borderId="12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 wrapText="1"/>
    </xf>
    <xf numFmtId="0" fontId="8" fillId="2" borderId="13" xfId="3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center" vertical="center"/>
    </xf>
    <xf numFmtId="0" fontId="2" fillId="2" borderId="12" xfId="2" quotePrefix="1" applyFont="1" applyFill="1" applyBorder="1" applyAlignment="1">
      <alignment horizontal="center" vertical="center" wrapText="1"/>
    </xf>
    <xf numFmtId="0" fontId="2" fillId="2" borderId="16" xfId="2" applyFont="1" applyFill="1" applyBorder="1" applyAlignment="1">
      <alignment horizontal="center" vertical="center"/>
    </xf>
    <xf numFmtId="1" fontId="3" fillId="2" borderId="3" xfId="2" applyNumberFormat="1" applyFill="1" applyBorder="1" applyAlignment="1">
      <alignment horizontal="center" vertical="center"/>
    </xf>
    <xf numFmtId="0" fontId="3" fillId="2" borderId="5" xfId="2" applyFill="1" applyBorder="1" applyAlignment="1">
      <alignment vertical="center"/>
    </xf>
    <xf numFmtId="0" fontId="3" fillId="2" borderId="6" xfId="2" applyFill="1" applyBorder="1" applyAlignment="1">
      <alignment vertical="center"/>
    </xf>
    <xf numFmtId="165" fontId="2" fillId="2" borderId="9" xfId="2" applyNumberFormat="1" applyFont="1" applyFill="1" applyBorder="1" applyAlignment="1">
      <alignment horizontal="center" vertical="center"/>
    </xf>
    <xf numFmtId="0" fontId="2" fillId="2" borderId="26" xfId="2" applyFont="1" applyFill="1" applyBorder="1" applyAlignment="1">
      <alignment horizontal="center" vertical="center" wrapText="1"/>
    </xf>
    <xf numFmtId="0" fontId="2" fillId="2" borderId="26" xfId="2" quotePrefix="1" applyFont="1" applyFill="1" applyBorder="1" applyAlignment="1">
      <alignment horizontal="center" vertical="center" wrapText="1"/>
    </xf>
    <xf numFmtId="165" fontId="3" fillId="0" borderId="27" xfId="0" applyNumberFormat="1" applyFont="1" applyBorder="1" applyAlignment="1">
      <alignment horizontal="center"/>
    </xf>
    <xf numFmtId="165" fontId="3" fillId="0" borderId="28" xfId="0" applyNumberFormat="1" applyFont="1" applyBorder="1" applyAlignment="1">
      <alignment horizontal="center"/>
    </xf>
    <xf numFmtId="166" fontId="10" fillId="0" borderId="4" xfId="2" applyNumberFormat="1" applyFont="1" applyBorder="1" applyAlignment="1">
      <alignment horizontal="center" vertical="center"/>
    </xf>
    <xf numFmtId="166" fontId="7" fillId="0" borderId="4" xfId="2" applyNumberFormat="1" applyFont="1" applyBorder="1" applyAlignment="1">
      <alignment horizontal="center" vertical="center"/>
    </xf>
    <xf numFmtId="166" fontId="10" fillId="0" borderId="1" xfId="2" applyNumberFormat="1" applyFont="1" applyBorder="1" applyAlignment="1">
      <alignment horizontal="center" vertical="center"/>
    </xf>
    <xf numFmtId="166" fontId="7" fillId="0" borderId="1" xfId="2" applyNumberFormat="1" applyFont="1" applyBorder="1" applyAlignment="1">
      <alignment horizontal="center" vertical="center"/>
    </xf>
    <xf numFmtId="0" fontId="2" fillId="2" borderId="31" xfId="2" applyFont="1" applyFill="1" applyBorder="1" applyAlignment="1">
      <alignment vertical="center"/>
    </xf>
    <xf numFmtId="0" fontId="2" fillId="2" borderId="32" xfId="2" applyFont="1" applyFill="1" applyBorder="1" applyAlignment="1">
      <alignment horizontal="center" vertical="center"/>
    </xf>
    <xf numFmtId="0" fontId="2" fillId="2" borderId="33" xfId="2" applyFont="1" applyFill="1" applyBorder="1" applyAlignment="1">
      <alignment horizontal="center" vertical="center" wrapText="1" shrinkToFit="1"/>
    </xf>
    <xf numFmtId="0" fontId="2" fillId="2" borderId="32" xfId="2" applyFont="1" applyFill="1" applyBorder="1" applyAlignment="1">
      <alignment horizontal="center" vertical="center" wrapText="1"/>
    </xf>
    <xf numFmtId="0" fontId="2" fillId="2" borderId="33" xfId="2" applyFont="1" applyFill="1" applyBorder="1" applyAlignment="1">
      <alignment horizontal="center" vertical="center"/>
    </xf>
    <xf numFmtId="0" fontId="6" fillId="2" borderId="33" xfId="2" applyFont="1" applyFill="1" applyBorder="1" applyAlignment="1">
      <alignment horizontal="center" vertical="center" wrapText="1"/>
    </xf>
    <xf numFmtId="0" fontId="2" fillId="2" borderId="35" xfId="2" applyFont="1" applyFill="1" applyBorder="1" applyAlignment="1">
      <alignment horizontal="center" vertical="center" wrapText="1"/>
    </xf>
    <xf numFmtId="0" fontId="8" fillId="2" borderId="33" xfId="3" applyFont="1" applyFill="1" applyBorder="1" applyAlignment="1">
      <alignment horizontal="center" vertical="center" wrapText="1"/>
    </xf>
    <xf numFmtId="165" fontId="3" fillId="0" borderId="32" xfId="2" applyNumberFormat="1" applyBorder="1" applyAlignment="1">
      <alignment horizontal="center" vertical="center" wrapText="1"/>
    </xf>
    <xf numFmtId="0" fontId="2" fillId="2" borderId="33" xfId="2" applyFont="1" applyFill="1" applyBorder="1" applyAlignment="1">
      <alignment horizontal="center" vertical="center" wrapText="1"/>
    </xf>
    <xf numFmtId="0" fontId="2" fillId="2" borderId="36" xfId="2" applyFont="1" applyFill="1" applyBorder="1" applyAlignment="1">
      <alignment horizontal="center" vertical="center" wrapText="1"/>
    </xf>
    <xf numFmtId="0" fontId="2" fillId="2" borderId="36" xfId="2" applyFont="1" applyFill="1" applyBorder="1" applyAlignment="1">
      <alignment horizontal="center" vertical="center"/>
    </xf>
    <xf numFmtId="0" fontId="2" fillId="2" borderId="32" xfId="2" quotePrefix="1" applyFont="1" applyFill="1" applyBorder="1" applyAlignment="1">
      <alignment horizontal="center" vertical="center" wrapText="1"/>
    </xf>
    <xf numFmtId="166" fontId="9" fillId="2" borderId="34" xfId="2" applyNumberFormat="1" applyFont="1" applyFill="1" applyBorder="1" applyAlignment="1">
      <alignment horizontal="center" vertical="center" wrapText="1"/>
    </xf>
    <xf numFmtId="0" fontId="9" fillId="2" borderId="34" xfId="2" quotePrefix="1" applyFont="1" applyFill="1" applyBorder="1" applyAlignment="1">
      <alignment horizontal="center" vertical="center" wrapText="1"/>
    </xf>
    <xf numFmtId="4" fontId="3" fillId="0" borderId="27" xfId="0" applyNumberFormat="1" applyFont="1" applyBorder="1" applyAlignment="1">
      <alignment horizontal="center"/>
    </xf>
    <xf numFmtId="4" fontId="3" fillId="0" borderId="28" xfId="0" applyNumberFormat="1" applyFont="1" applyBorder="1" applyAlignment="1">
      <alignment horizontal="center"/>
    </xf>
    <xf numFmtId="0" fontId="2" fillId="2" borderId="5" xfId="2" applyFont="1" applyFill="1" applyBorder="1" applyAlignment="1">
      <alignment horizontal="left" vertical="center"/>
    </xf>
    <xf numFmtId="0" fontId="2" fillId="2" borderId="6" xfId="2" applyFont="1" applyFill="1" applyBorder="1" applyAlignment="1">
      <alignment horizontal="left" vertical="center"/>
    </xf>
    <xf numFmtId="0" fontId="3" fillId="2" borderId="8" xfId="2" applyFill="1" applyBorder="1" applyAlignment="1">
      <alignment vertical="center"/>
    </xf>
    <xf numFmtId="165" fontId="3" fillId="2" borderId="7" xfId="2" applyNumberFormat="1" applyFill="1" applyBorder="1" applyAlignment="1">
      <alignment vertical="center"/>
    </xf>
    <xf numFmtId="2" fontId="3" fillId="2" borderId="1" xfId="2" applyNumberFormat="1" applyFill="1" applyBorder="1" applyAlignment="1">
      <alignment vertical="center"/>
    </xf>
    <xf numFmtId="0" fontId="3" fillId="2" borderId="4" xfId="2" applyFill="1" applyBorder="1" applyAlignment="1">
      <alignment vertical="center"/>
    </xf>
    <xf numFmtId="0" fontId="3" fillId="2" borderId="34" xfId="2" applyFill="1" applyBorder="1" applyAlignment="1">
      <alignment horizontal="center" vertical="center"/>
    </xf>
    <xf numFmtId="0" fontId="3" fillId="2" borderId="32" xfId="2" applyFill="1" applyBorder="1" applyAlignment="1">
      <alignment horizontal="center" vertical="center"/>
    </xf>
    <xf numFmtId="0" fontId="2" fillId="2" borderId="38" xfId="2" applyFont="1" applyFill="1" applyBorder="1" applyAlignment="1">
      <alignment horizontal="center" vertical="center"/>
    </xf>
    <xf numFmtId="0" fontId="2" fillId="2" borderId="39" xfId="2" applyFont="1" applyFill="1" applyBorder="1" applyAlignment="1">
      <alignment horizontal="center" vertical="center"/>
    </xf>
    <xf numFmtId="0" fontId="2" fillId="2" borderId="37" xfId="2" quotePrefix="1" applyFont="1" applyFill="1" applyBorder="1" applyAlignment="1">
      <alignment horizontal="center" vertical="center"/>
    </xf>
    <xf numFmtId="165" fontId="9" fillId="0" borderId="31" xfId="2" applyNumberFormat="1" applyFont="1" applyBorder="1" applyAlignment="1">
      <alignment horizontal="center" vertical="center" wrapText="1"/>
    </xf>
    <xf numFmtId="165" fontId="6" fillId="2" borderId="34" xfId="2" applyNumberFormat="1" applyFont="1" applyFill="1" applyBorder="1" applyAlignment="1">
      <alignment horizontal="center" vertical="center" wrapText="1"/>
    </xf>
    <xf numFmtId="165" fontId="9" fillId="0" borderId="33" xfId="2" applyNumberFormat="1" applyFont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center" vertical="center"/>
    </xf>
    <xf numFmtId="0" fontId="2" fillId="2" borderId="17" xfId="2" applyFont="1" applyFill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/>
    </xf>
    <xf numFmtId="165" fontId="3" fillId="0" borderId="28" xfId="0" applyNumberFormat="1" applyFont="1" applyFill="1" applyBorder="1" applyAlignment="1">
      <alignment horizontal="center"/>
    </xf>
    <xf numFmtId="4" fontId="3" fillId="0" borderId="28" xfId="0" applyNumberFormat="1" applyFont="1" applyFill="1" applyBorder="1" applyAlignment="1">
      <alignment horizontal="center"/>
    </xf>
    <xf numFmtId="169" fontId="10" fillId="2" borderId="2" xfId="2" applyNumberFormat="1" applyFont="1" applyFill="1" applyBorder="1" applyAlignment="1">
      <alignment horizontal="center" vertical="center"/>
    </xf>
    <xf numFmtId="169" fontId="10" fillId="2" borderId="3" xfId="2" applyNumberFormat="1" applyFont="1" applyFill="1" applyBorder="1" applyAlignment="1">
      <alignment horizontal="center" vertical="center"/>
    </xf>
    <xf numFmtId="0" fontId="2" fillId="0" borderId="24" xfId="2" applyFont="1" applyFill="1" applyBorder="1" applyAlignment="1">
      <alignment horizontal="center" vertical="center"/>
    </xf>
    <xf numFmtId="0" fontId="2" fillId="0" borderId="23" xfId="2" quotePrefix="1" applyFont="1" applyFill="1" applyBorder="1" applyAlignment="1">
      <alignment horizontal="center" vertical="center" wrapText="1"/>
    </xf>
    <xf numFmtId="2" fontId="3" fillId="0" borderId="23" xfId="2" applyNumberFormat="1" applyFill="1" applyBorder="1" applyAlignment="1">
      <alignment horizontal="center" vertical="center"/>
    </xf>
    <xf numFmtId="0" fontId="3" fillId="0" borderId="0" xfId="2" applyFill="1" applyBorder="1" applyAlignment="1">
      <alignment vertical="center"/>
    </xf>
    <xf numFmtId="170" fontId="10" fillId="0" borderId="1" xfId="2" applyNumberFormat="1" applyFont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2" fillId="2" borderId="18" xfId="2" applyFont="1" applyFill="1" applyBorder="1" applyAlignment="1">
      <alignment horizontal="center" vertical="center"/>
    </xf>
    <xf numFmtId="0" fontId="2" fillId="2" borderId="19" xfId="2" applyFont="1" applyFill="1" applyBorder="1" applyAlignment="1">
      <alignment horizontal="center" vertical="center"/>
    </xf>
    <xf numFmtId="0" fontId="3" fillId="2" borderId="22" xfId="2" applyFill="1" applyBorder="1" applyAlignment="1">
      <alignment horizontal="center" vertical="center"/>
    </xf>
    <xf numFmtId="0" fontId="3" fillId="2" borderId="18" xfId="2" applyFill="1" applyBorder="1" applyAlignment="1">
      <alignment horizontal="center" vertical="center"/>
    </xf>
    <xf numFmtId="0" fontId="3" fillId="2" borderId="19" xfId="2" applyFill="1" applyBorder="1" applyAlignment="1">
      <alignment horizontal="center" vertical="center"/>
    </xf>
    <xf numFmtId="0" fontId="9" fillId="2" borderId="29" xfId="2" applyFont="1" applyFill="1" applyBorder="1" applyAlignment="1">
      <alignment horizontal="center" vertical="center" wrapText="1"/>
    </xf>
    <xf numFmtId="0" fontId="9" fillId="2" borderId="30" xfId="2" applyFont="1" applyFill="1" applyBorder="1" applyAlignment="1">
      <alignment horizontal="center" vertical="center" wrapText="1"/>
    </xf>
    <xf numFmtId="0" fontId="2" fillId="2" borderId="20" xfId="2" applyFont="1" applyFill="1" applyBorder="1" applyAlignment="1">
      <alignment horizontal="center" vertical="center"/>
    </xf>
    <xf numFmtId="0" fontId="2" fillId="2" borderId="17" xfId="2" applyFont="1" applyFill="1" applyBorder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5" xfId="2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3"/>
    <cellStyle name="Normal 3" xfId="2"/>
    <cellStyle name="Normal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tabSelected="1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140625" defaultRowHeight="12.75" x14ac:dyDescent="0.2"/>
  <cols>
    <col min="1" max="1" width="12.7109375" style="1" bestFit="1" customWidth="1"/>
    <col min="2" max="2" width="13.42578125" style="1" bestFit="1" customWidth="1"/>
    <col min="3" max="3" width="5.5703125" style="1" customWidth="1"/>
    <col min="4" max="4" width="8.5703125" style="1" customWidth="1"/>
    <col min="5" max="5" width="6" style="1" customWidth="1"/>
    <col min="6" max="6" width="6.28515625" style="1" customWidth="1"/>
    <col min="7" max="7" width="10.140625" style="1" bestFit="1" customWidth="1"/>
    <col min="8" max="8" width="10.140625" style="1" customWidth="1"/>
    <col min="9" max="9" width="13" style="1" customWidth="1"/>
    <col min="10" max="10" width="10.140625" style="1" customWidth="1"/>
    <col min="11" max="11" width="10.140625" style="1" bestFit="1" customWidth="1"/>
    <col min="12" max="12" width="7.28515625" style="1" bestFit="1" customWidth="1"/>
    <col min="13" max="13" width="10.140625" style="1" bestFit="1" customWidth="1"/>
    <col min="14" max="14" width="12.42578125" style="1" bestFit="1" customWidth="1"/>
    <col min="15" max="15" width="7.7109375" style="2" bestFit="1" customWidth="1"/>
    <col min="16" max="16" width="11.140625" style="1" bestFit="1" customWidth="1"/>
    <col min="17" max="17" width="10.140625" style="1" bestFit="1" customWidth="1"/>
    <col min="18" max="18" width="8.5703125" style="1" bestFit="1" customWidth="1"/>
    <col min="19" max="19" width="10.7109375" style="88" customWidth="1"/>
    <col min="20" max="25" width="9.140625" style="1"/>
    <col min="26" max="26" width="9.85546875" style="1" bestFit="1" customWidth="1"/>
    <col min="27" max="16384" width="9.140625" style="1"/>
  </cols>
  <sheetData>
    <row r="1" spans="1:28" s="3" customFormat="1" x14ac:dyDescent="0.2">
      <c r="A1" s="34" t="s">
        <v>4</v>
      </c>
      <c r="B1" s="79" t="s">
        <v>0</v>
      </c>
      <c r="C1" s="91" t="s">
        <v>6</v>
      </c>
      <c r="D1" s="92"/>
      <c r="E1" s="98" t="s">
        <v>1</v>
      </c>
      <c r="F1" s="99"/>
      <c r="G1" s="98" t="s">
        <v>11</v>
      </c>
      <c r="H1" s="100"/>
      <c r="I1" s="101"/>
      <c r="J1" s="101"/>
      <c r="K1" s="99"/>
      <c r="L1" s="98" t="s">
        <v>13</v>
      </c>
      <c r="M1" s="99"/>
      <c r="N1" s="78" t="s">
        <v>18</v>
      </c>
      <c r="O1" s="91"/>
      <c r="P1" s="92"/>
      <c r="Q1" s="90" t="s">
        <v>23</v>
      </c>
      <c r="R1" s="92"/>
      <c r="S1" s="85"/>
      <c r="T1" s="90" t="s">
        <v>28</v>
      </c>
      <c r="U1" s="91"/>
      <c r="V1" s="91"/>
      <c r="W1" s="91"/>
      <c r="X1" s="92"/>
      <c r="Z1" s="93"/>
      <c r="AA1" s="94"/>
      <c r="AB1" s="95"/>
    </row>
    <row r="2" spans="1:28" s="3" customFormat="1" ht="39" thickBot="1" x14ac:dyDescent="0.25">
      <c r="A2" s="22" t="s">
        <v>7</v>
      </c>
      <c r="B2" s="23"/>
      <c r="C2" s="24" t="s">
        <v>19</v>
      </c>
      <c r="D2" s="25" t="s">
        <v>20</v>
      </c>
      <c r="E2" s="26" t="s">
        <v>2</v>
      </c>
      <c r="F2" s="23" t="s">
        <v>5</v>
      </c>
      <c r="G2" s="27" t="s">
        <v>26</v>
      </c>
      <c r="H2" s="28" t="s">
        <v>32</v>
      </c>
      <c r="I2" s="39" t="s">
        <v>24</v>
      </c>
      <c r="J2" s="40" t="s">
        <v>21</v>
      </c>
      <c r="K2" s="25" t="s">
        <v>15</v>
      </c>
      <c r="L2" s="29" t="s">
        <v>12</v>
      </c>
      <c r="M2" s="25" t="s">
        <v>14</v>
      </c>
      <c r="N2" s="30" t="s">
        <v>15</v>
      </c>
      <c r="O2" s="31" t="s">
        <v>22</v>
      </c>
      <c r="P2" s="30" t="s">
        <v>16</v>
      </c>
      <c r="Q2" s="30" t="s">
        <v>16</v>
      </c>
      <c r="R2" s="32" t="s">
        <v>3</v>
      </c>
      <c r="S2" s="86"/>
      <c r="T2" s="96" t="s">
        <v>33</v>
      </c>
      <c r="U2" s="97"/>
      <c r="V2" s="27" t="s">
        <v>29</v>
      </c>
      <c r="W2" s="33" t="s">
        <v>25</v>
      </c>
      <c r="X2" s="33" t="s">
        <v>21</v>
      </c>
      <c r="Z2" s="72" t="s">
        <v>30</v>
      </c>
      <c r="AA2" s="74" t="s">
        <v>21</v>
      </c>
      <c r="AB2" s="73" t="s">
        <v>31</v>
      </c>
    </row>
    <row r="3" spans="1:28" s="3" customFormat="1" ht="13.5" thickBot="1" x14ac:dyDescent="0.25">
      <c r="A3" s="47"/>
      <c r="B3" s="48"/>
      <c r="C3" s="49"/>
      <c r="D3" s="50"/>
      <c r="E3" s="51"/>
      <c r="F3" s="48"/>
      <c r="G3" s="52"/>
      <c r="H3" s="61"/>
      <c r="I3" s="53"/>
      <c r="J3" s="53"/>
      <c r="K3" s="50"/>
      <c r="L3" s="54"/>
      <c r="M3" s="55">
        <v>20</v>
      </c>
      <c r="N3" s="55">
        <v>15000</v>
      </c>
      <c r="O3" s="56"/>
      <c r="P3" s="55">
        <v>50000</v>
      </c>
      <c r="Q3" s="57"/>
      <c r="R3" s="58"/>
      <c r="S3" s="86"/>
      <c r="T3" s="77">
        <v>90</v>
      </c>
      <c r="U3" s="60"/>
      <c r="V3" s="76">
        <v>81.5</v>
      </c>
      <c r="W3" s="59"/>
      <c r="X3" s="59"/>
      <c r="Z3" s="75">
        <v>94.5</v>
      </c>
      <c r="AA3" s="70"/>
      <c r="AB3" s="71"/>
    </row>
    <row r="4" spans="1:28" ht="12.75" customHeight="1" x14ac:dyDescent="0.2">
      <c r="A4" s="10" t="s">
        <v>27</v>
      </c>
      <c r="B4" s="11" t="s">
        <v>27</v>
      </c>
      <c r="C4" s="12">
        <v>15</v>
      </c>
      <c r="D4" s="13">
        <v>225</v>
      </c>
      <c r="E4" s="12">
        <v>10</v>
      </c>
      <c r="F4" s="13">
        <v>400</v>
      </c>
      <c r="G4" s="5">
        <v>8.4600000000000009</v>
      </c>
      <c r="H4" s="80">
        <v>9.5</v>
      </c>
      <c r="I4" s="81">
        <f t="shared" ref="I4:I7" si="0">H4-G4</f>
        <v>1.0399999999999991</v>
      </c>
      <c r="J4" s="82">
        <f t="shared" ref="J4:J7" si="1">I4*100/G4</f>
        <v>12.293144208037814</v>
      </c>
      <c r="K4" s="15">
        <f t="shared" ref="K4:K7" si="2">H4*F4</f>
        <v>3800</v>
      </c>
      <c r="L4" s="12">
        <f t="shared" ref="L4:L7" si="3">ROUNDUP(F4/125,)</f>
        <v>4</v>
      </c>
      <c r="M4" s="15">
        <f t="shared" ref="M4:M7" si="4">L4*$M$3</f>
        <v>80</v>
      </c>
      <c r="N4" s="17">
        <f t="shared" ref="N4:N7" si="5">ROUNDUP($N$3/O4,)</f>
        <v>25</v>
      </c>
      <c r="O4" s="18">
        <v>600</v>
      </c>
      <c r="P4" s="17">
        <f t="shared" ref="P4:P7" si="6">ROUND($P$3/O4,)</f>
        <v>83</v>
      </c>
      <c r="Q4" s="17">
        <f t="shared" ref="Q4:Q7" si="7">K4+M4+N4+P4</f>
        <v>3988</v>
      </c>
      <c r="R4" s="19">
        <f t="shared" ref="R4:R7" si="8">Q4/F4</f>
        <v>9.9700000000000006</v>
      </c>
      <c r="S4" s="87"/>
      <c r="T4" s="83">
        <f>(R4*1)/$T$3</f>
        <v>0.11077777777777778</v>
      </c>
      <c r="U4" s="89">
        <v>7.1999999999999995E-2</v>
      </c>
      <c r="V4" s="46">
        <v>0.06</v>
      </c>
      <c r="W4" s="21">
        <f t="shared" ref="W4:W7" si="9">U4-V4</f>
        <v>1.1999999999999997E-2</v>
      </c>
      <c r="X4" s="21">
        <f t="shared" ref="X4" si="10">W4*100/V4</f>
        <v>19.999999999999996</v>
      </c>
      <c r="Z4" s="36">
        <f t="shared" ref="Z4" si="11">(U4*$Z$3)-R4</f>
        <v>-3.1660000000000013</v>
      </c>
      <c r="AA4" s="69">
        <f t="shared" ref="AA4" si="12">Z4*100/R4</f>
        <v>-31.755265797392187</v>
      </c>
      <c r="AB4" s="37"/>
    </row>
    <row r="5" spans="1:28" ht="12.75" customHeight="1" x14ac:dyDescent="0.2">
      <c r="A5" s="10" t="s">
        <v>17</v>
      </c>
      <c r="B5" s="11" t="s">
        <v>17</v>
      </c>
      <c r="C5" s="12">
        <v>15</v>
      </c>
      <c r="D5" s="13">
        <v>375</v>
      </c>
      <c r="E5" s="12">
        <v>10</v>
      </c>
      <c r="F5" s="13">
        <v>200</v>
      </c>
      <c r="G5" s="5">
        <v>12.42</v>
      </c>
      <c r="H5" s="7">
        <v>14.4</v>
      </c>
      <c r="I5" s="42">
        <f t="shared" si="0"/>
        <v>1.9800000000000004</v>
      </c>
      <c r="J5" s="63">
        <f t="shared" si="1"/>
        <v>15.942028985507251</v>
      </c>
      <c r="K5" s="15">
        <f t="shared" si="2"/>
        <v>2880</v>
      </c>
      <c r="L5" s="12">
        <f t="shared" si="3"/>
        <v>2</v>
      </c>
      <c r="M5" s="15">
        <f t="shared" si="4"/>
        <v>40</v>
      </c>
      <c r="N5" s="17">
        <f t="shared" si="5"/>
        <v>25</v>
      </c>
      <c r="O5" s="18">
        <v>600</v>
      </c>
      <c r="P5" s="17">
        <f t="shared" si="6"/>
        <v>83</v>
      </c>
      <c r="Q5" s="17">
        <f t="shared" si="7"/>
        <v>3028</v>
      </c>
      <c r="R5" s="19">
        <f t="shared" si="8"/>
        <v>15.14</v>
      </c>
      <c r="S5" s="87"/>
      <c r="T5" s="83">
        <f t="shared" ref="T5:T7" si="13">(R5*1)/$T$3</f>
        <v>0.16822222222222222</v>
      </c>
      <c r="U5" s="45">
        <v>0.22</v>
      </c>
      <c r="V5" s="46">
        <v>0.18</v>
      </c>
      <c r="W5" s="21">
        <f t="shared" si="9"/>
        <v>4.0000000000000008E-2</v>
      </c>
      <c r="X5" s="21">
        <f t="shared" ref="X5:X7" si="14">W5*100/V5</f>
        <v>22.222222222222229</v>
      </c>
      <c r="Z5" s="67">
        <f t="shared" ref="Z5:Z7" si="15">(U5*$Z$3)-R5</f>
        <v>5.6499999999999986</v>
      </c>
      <c r="AA5" s="68">
        <f t="shared" ref="AA5:AA7" si="16">Z5*100/R5</f>
        <v>37.318361955085855</v>
      </c>
      <c r="AB5" s="66"/>
    </row>
    <row r="6" spans="1:28" ht="12.75" customHeight="1" x14ac:dyDescent="0.2">
      <c r="A6" s="10" t="s">
        <v>9</v>
      </c>
      <c r="B6" s="11" t="s">
        <v>9</v>
      </c>
      <c r="C6" s="12">
        <v>15</v>
      </c>
      <c r="D6" s="13">
        <v>457</v>
      </c>
      <c r="E6" s="12">
        <v>10</v>
      </c>
      <c r="F6" s="13">
        <v>200</v>
      </c>
      <c r="G6" s="5">
        <v>14.04</v>
      </c>
      <c r="H6" s="7">
        <v>16.739999999999998</v>
      </c>
      <c r="I6" s="42">
        <f t="shared" si="0"/>
        <v>2.6999999999999993</v>
      </c>
      <c r="J6" s="63">
        <f t="shared" si="1"/>
        <v>19.230769230769226</v>
      </c>
      <c r="K6" s="15">
        <f t="shared" si="2"/>
        <v>3347.9999999999995</v>
      </c>
      <c r="L6" s="12">
        <f t="shared" si="3"/>
        <v>2</v>
      </c>
      <c r="M6" s="15">
        <f t="shared" si="4"/>
        <v>40</v>
      </c>
      <c r="N6" s="17">
        <f t="shared" si="5"/>
        <v>26</v>
      </c>
      <c r="O6" s="18">
        <v>587.92672481092109</v>
      </c>
      <c r="P6" s="17">
        <f t="shared" si="6"/>
        <v>85</v>
      </c>
      <c r="Q6" s="17">
        <f t="shared" si="7"/>
        <v>3498.9999999999995</v>
      </c>
      <c r="R6" s="19">
        <f t="shared" si="8"/>
        <v>17.494999999999997</v>
      </c>
      <c r="S6" s="87"/>
      <c r="T6" s="83">
        <f t="shared" si="13"/>
        <v>0.19438888888888886</v>
      </c>
      <c r="U6" s="45">
        <v>0.24</v>
      </c>
      <c r="V6" s="46">
        <v>0.2</v>
      </c>
      <c r="W6" s="21">
        <f t="shared" si="9"/>
        <v>3.999999999999998E-2</v>
      </c>
      <c r="X6" s="21">
        <f t="shared" si="14"/>
        <v>19.999999999999989</v>
      </c>
      <c r="Z6" s="67">
        <f t="shared" si="15"/>
        <v>5.1850000000000023</v>
      </c>
      <c r="AA6" s="68">
        <f t="shared" si="16"/>
        <v>29.637039154044029</v>
      </c>
      <c r="AB6" s="66"/>
    </row>
    <row r="7" spans="1:28" ht="12.75" customHeight="1" x14ac:dyDescent="0.2">
      <c r="A7" s="64" t="s">
        <v>8</v>
      </c>
      <c r="B7" s="65">
        <v>90441400</v>
      </c>
      <c r="C7" s="9" t="s">
        <v>10</v>
      </c>
      <c r="D7" s="8">
        <v>450</v>
      </c>
      <c r="E7" s="9">
        <v>10</v>
      </c>
      <c r="F7" s="8">
        <v>200</v>
      </c>
      <c r="G7" s="4">
        <v>14.04</v>
      </c>
      <c r="H7" s="6">
        <v>16.739999999999998</v>
      </c>
      <c r="I7" s="41">
        <f t="shared" si="0"/>
        <v>2.6999999999999993</v>
      </c>
      <c r="J7" s="62">
        <f t="shared" si="1"/>
        <v>19.230769230769226</v>
      </c>
      <c r="K7" s="14">
        <f t="shared" si="2"/>
        <v>3347.9999999999995</v>
      </c>
      <c r="L7" s="9">
        <f t="shared" si="3"/>
        <v>2</v>
      </c>
      <c r="M7" s="14">
        <f t="shared" si="4"/>
        <v>40</v>
      </c>
      <c r="N7" s="16">
        <f t="shared" si="5"/>
        <v>26</v>
      </c>
      <c r="O7" s="35">
        <v>587.92672481092109</v>
      </c>
      <c r="P7" s="16">
        <f t="shared" si="6"/>
        <v>85</v>
      </c>
      <c r="Q7" s="16">
        <f t="shared" si="7"/>
        <v>3498.9999999999995</v>
      </c>
      <c r="R7" s="38">
        <f t="shared" si="8"/>
        <v>17.494999999999997</v>
      </c>
      <c r="S7" s="87"/>
      <c r="T7" s="84">
        <f t="shared" si="13"/>
        <v>0.19438888888888886</v>
      </c>
      <c r="U7" s="43">
        <v>0.24</v>
      </c>
      <c r="V7" s="44">
        <v>0.2</v>
      </c>
      <c r="W7" s="20">
        <f t="shared" si="9"/>
        <v>3.999999999999998E-2</v>
      </c>
      <c r="X7" s="20">
        <f t="shared" si="14"/>
        <v>19.999999999999989</v>
      </c>
      <c r="Z7" s="67">
        <f t="shared" si="15"/>
        <v>5.1850000000000023</v>
      </c>
      <c r="AA7" s="68">
        <f t="shared" si="16"/>
        <v>29.637039154044029</v>
      </c>
      <c r="AB7" s="66"/>
    </row>
  </sheetData>
  <autoFilter ref="V3:V7"/>
  <mergeCells count="9">
    <mergeCell ref="T1:X1"/>
    <mergeCell ref="Z1:AB1"/>
    <mergeCell ref="T2:U2"/>
    <mergeCell ref="C1:D1"/>
    <mergeCell ref="E1:F1"/>
    <mergeCell ref="G1:K1"/>
    <mergeCell ref="L1:M1"/>
    <mergeCell ref="O1:P1"/>
    <mergeCell ref="Q1:R1"/>
  </mergeCells>
  <pageMargins left="0.75" right="0.75" top="1" bottom="1" header="0.5" footer="0.5"/>
  <pageSetup paperSize="9" scale="72" orientation="landscape" horizontalDpi="4294967295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Jaikvin</dc:creator>
  <cp:lastModifiedBy>Admin</cp:lastModifiedBy>
  <cp:lastPrinted>2021-03-24T05:53:35Z</cp:lastPrinted>
  <dcterms:created xsi:type="dcterms:W3CDTF">2008-10-01T08:03:21Z</dcterms:created>
  <dcterms:modified xsi:type="dcterms:W3CDTF">2026-07-09T09:35:02Z</dcterms:modified>
</cp:coreProperties>
</file>